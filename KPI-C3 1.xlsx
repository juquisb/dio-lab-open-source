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lio Bueno\Downloads\"/>
    </mc:Choice>
  </mc:AlternateContent>
  <xr:revisionPtr revIDLastSave="0" documentId="13_ncr:1_{FE379BF9-C48E-477A-A00D-6CC6E3E90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  <sheet name="Analise Aging" sheetId="2" r:id="rId2"/>
    <sheet name="%Devolvidos" sheetId="5" r:id="rId3"/>
    <sheet name="KPIs" sheetId="8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D771" i="1" s="1"/>
  <c r="AC772" i="1"/>
  <c r="AD772" i="1" s="1"/>
  <c r="AC773" i="1"/>
  <c r="AD773" i="1" s="1"/>
  <c r="AC774" i="1"/>
  <c r="AD774" i="1" s="1"/>
  <c r="AC775" i="1"/>
  <c r="AD775" i="1" s="1"/>
  <c r="AC776" i="1"/>
  <c r="AD776" i="1" s="1"/>
  <c r="AC777" i="1"/>
  <c r="AD777" i="1" s="1"/>
  <c r="AC778" i="1"/>
  <c r="AD778" i="1" s="1"/>
  <c r="AC779" i="1"/>
  <c r="AD779" i="1" s="1"/>
  <c r="AC780" i="1"/>
  <c r="AD780" i="1" s="1"/>
  <c r="AC781" i="1"/>
  <c r="AD781" i="1" s="1"/>
  <c r="AC782" i="1"/>
  <c r="AD782" i="1" s="1"/>
  <c r="AC783" i="1"/>
  <c r="AD783" i="1" s="1"/>
  <c r="AC784" i="1"/>
  <c r="AD784" i="1" s="1"/>
  <c r="AC785" i="1"/>
  <c r="AD785" i="1" s="1"/>
  <c r="AC786" i="1"/>
  <c r="AD786" i="1" s="1"/>
  <c r="AC787" i="1"/>
  <c r="AD787" i="1" s="1"/>
  <c r="AC788" i="1"/>
  <c r="AD788" i="1" s="1"/>
  <c r="AC789" i="1"/>
  <c r="AD789" i="1" s="1"/>
  <c r="AC790" i="1"/>
  <c r="AD790" i="1" s="1"/>
  <c r="AC791" i="1"/>
  <c r="AD791" i="1" s="1"/>
  <c r="AC792" i="1"/>
  <c r="AD792" i="1" s="1"/>
  <c r="AC793" i="1"/>
  <c r="AD793" i="1" s="1"/>
  <c r="AC794" i="1"/>
  <c r="AD794" i="1" s="1"/>
  <c r="AC795" i="1"/>
  <c r="AD795" i="1" s="1"/>
  <c r="AC796" i="1"/>
  <c r="AD796" i="1" s="1"/>
  <c r="AC797" i="1"/>
  <c r="AD797" i="1" s="1"/>
  <c r="AC798" i="1"/>
  <c r="AD798" i="1" s="1"/>
  <c r="AC799" i="1"/>
  <c r="AD799" i="1" s="1"/>
  <c r="AC800" i="1"/>
  <c r="AD800" i="1" s="1"/>
  <c r="AC801" i="1"/>
  <c r="AD801" i="1" s="1"/>
  <c r="AC802" i="1"/>
  <c r="AD802" i="1" s="1"/>
  <c r="AC803" i="1"/>
  <c r="AD803" i="1" s="1"/>
  <c r="AC804" i="1"/>
  <c r="AD804" i="1" s="1"/>
  <c r="AC805" i="1"/>
  <c r="AD805" i="1" s="1"/>
  <c r="AC806" i="1"/>
  <c r="AD806" i="1" s="1"/>
  <c r="AC807" i="1"/>
  <c r="AD807" i="1" s="1"/>
  <c r="AC808" i="1"/>
  <c r="AD808" i="1" s="1"/>
  <c r="AC809" i="1"/>
  <c r="AD809" i="1" s="1"/>
  <c r="AC810" i="1"/>
  <c r="AD810" i="1" s="1"/>
  <c r="AC811" i="1"/>
  <c r="AD811" i="1" s="1"/>
  <c r="AC812" i="1"/>
  <c r="AD812" i="1" s="1"/>
  <c r="AC813" i="1"/>
  <c r="AD813" i="1" s="1"/>
  <c r="AC814" i="1"/>
  <c r="AD814" i="1" s="1"/>
  <c r="AC815" i="1"/>
  <c r="AD815" i="1" s="1"/>
  <c r="AC816" i="1"/>
  <c r="AD816" i="1" s="1"/>
  <c r="AC817" i="1"/>
  <c r="AD817" i="1" s="1"/>
  <c r="AC818" i="1"/>
  <c r="AD818" i="1" s="1"/>
  <c r="AC819" i="1"/>
  <c r="AD819" i="1" s="1"/>
  <c r="AC820" i="1"/>
  <c r="AD820" i="1" s="1"/>
  <c r="AC821" i="1"/>
  <c r="AD821" i="1" s="1"/>
  <c r="AC822" i="1"/>
  <c r="AD822" i="1" s="1"/>
  <c r="AC823" i="1"/>
  <c r="AD823" i="1" s="1"/>
  <c r="AC824" i="1"/>
  <c r="AD824" i="1" s="1"/>
  <c r="AC825" i="1"/>
  <c r="AD825" i="1" s="1"/>
  <c r="AC826" i="1"/>
  <c r="AD826" i="1" s="1"/>
  <c r="AC827" i="1"/>
  <c r="AD827" i="1" s="1"/>
  <c r="AC828" i="1"/>
  <c r="AD828" i="1" s="1"/>
  <c r="AC829" i="1"/>
  <c r="AD829" i="1" s="1"/>
  <c r="AC830" i="1"/>
  <c r="AD830" i="1" s="1"/>
  <c r="AC831" i="1"/>
  <c r="AD831" i="1" s="1"/>
  <c r="AC832" i="1"/>
  <c r="AD832" i="1" s="1"/>
  <c r="AC833" i="1"/>
  <c r="AD833" i="1" s="1"/>
  <c r="AC834" i="1"/>
  <c r="AD834" i="1" s="1"/>
  <c r="AC835" i="1"/>
  <c r="AD835" i="1" s="1"/>
  <c r="AC836" i="1"/>
  <c r="AD836" i="1" s="1"/>
  <c r="AC837" i="1"/>
  <c r="AD837" i="1" s="1"/>
  <c r="AC838" i="1"/>
  <c r="AD838" i="1" s="1"/>
  <c r="AC839" i="1"/>
  <c r="AD839" i="1" s="1"/>
  <c r="AC840" i="1"/>
  <c r="AD840" i="1" s="1"/>
  <c r="AC841" i="1"/>
  <c r="AD841" i="1" s="1"/>
  <c r="AC842" i="1"/>
  <c r="AD842" i="1" s="1"/>
  <c r="AC843" i="1"/>
  <c r="AD843" i="1" s="1"/>
  <c r="AC844" i="1"/>
  <c r="AD844" i="1" s="1"/>
  <c r="AC845" i="1"/>
  <c r="AD845" i="1" s="1"/>
  <c r="AC846" i="1"/>
  <c r="AD846" i="1" s="1"/>
  <c r="AC847" i="1"/>
  <c r="AD847" i="1" s="1"/>
  <c r="AC848" i="1"/>
  <c r="AD848" i="1" s="1"/>
  <c r="AC849" i="1"/>
  <c r="AD849" i="1" s="1"/>
  <c r="AC850" i="1"/>
  <c r="AD850" i="1" s="1"/>
  <c r="AC851" i="1"/>
  <c r="AD851" i="1" s="1"/>
  <c r="AC852" i="1"/>
  <c r="AD852" i="1" s="1"/>
  <c r="AC853" i="1"/>
  <c r="AD853" i="1" s="1"/>
  <c r="AC854" i="1"/>
  <c r="AD854" i="1" s="1"/>
  <c r="AC855" i="1"/>
  <c r="AD855" i="1" s="1"/>
  <c r="AC856" i="1"/>
  <c r="AD856" i="1" s="1"/>
  <c r="AC857" i="1"/>
  <c r="AD857" i="1" s="1"/>
  <c r="AC858" i="1"/>
  <c r="AD858" i="1" s="1"/>
  <c r="AC859" i="1"/>
  <c r="AD859" i="1" s="1"/>
  <c r="AC860" i="1"/>
  <c r="AD860" i="1" s="1"/>
  <c r="AC861" i="1"/>
  <c r="AD861" i="1" s="1"/>
  <c r="AC862" i="1"/>
  <c r="AD862" i="1" s="1"/>
  <c r="AC863" i="1"/>
  <c r="AD863" i="1" s="1"/>
  <c r="AC864" i="1"/>
  <c r="AD864" i="1" s="1"/>
  <c r="AC865" i="1"/>
  <c r="AD865" i="1" s="1"/>
  <c r="AC866" i="1"/>
  <c r="AD866" i="1" s="1"/>
  <c r="AC867" i="1"/>
  <c r="AD867" i="1" s="1"/>
  <c r="AC868" i="1"/>
  <c r="AD868" i="1" s="1"/>
  <c r="AC869" i="1"/>
  <c r="AD869" i="1" s="1"/>
  <c r="AC870" i="1"/>
  <c r="AD870" i="1" s="1"/>
  <c r="AC871" i="1"/>
  <c r="AD871" i="1" s="1"/>
  <c r="AC872" i="1"/>
  <c r="AD872" i="1" s="1"/>
  <c r="AC873" i="1"/>
  <c r="AD873" i="1" s="1"/>
  <c r="AC874" i="1"/>
  <c r="AD874" i="1" s="1"/>
  <c r="AC875" i="1"/>
  <c r="AD875" i="1" s="1"/>
  <c r="AC876" i="1"/>
  <c r="AD876" i="1" s="1"/>
  <c r="AC877" i="1"/>
  <c r="AD877" i="1" s="1"/>
  <c r="AC878" i="1"/>
  <c r="AD878" i="1" s="1"/>
  <c r="AC879" i="1"/>
  <c r="AD879" i="1" s="1"/>
  <c r="AC880" i="1"/>
  <c r="AD880" i="1" s="1"/>
  <c r="AC881" i="1"/>
  <c r="AD881" i="1" s="1"/>
  <c r="AC882" i="1"/>
  <c r="AD882" i="1" s="1"/>
  <c r="AC883" i="1"/>
  <c r="AD883" i="1" s="1"/>
  <c r="AC884" i="1"/>
  <c r="AD884" i="1" s="1"/>
  <c r="AC885" i="1"/>
  <c r="AD885" i="1" s="1"/>
  <c r="AC886" i="1"/>
  <c r="AD886" i="1" s="1"/>
  <c r="AC887" i="1"/>
  <c r="AD887" i="1" s="1"/>
  <c r="AC888" i="1"/>
  <c r="AD888" i="1" s="1"/>
  <c r="AC889" i="1"/>
  <c r="AD889" i="1" s="1"/>
  <c r="AC890" i="1"/>
  <c r="AD890" i="1" s="1"/>
  <c r="AC891" i="1"/>
  <c r="AD891" i="1" s="1"/>
  <c r="AC892" i="1"/>
  <c r="AD892" i="1" s="1"/>
  <c r="AC893" i="1"/>
  <c r="AD893" i="1" s="1"/>
  <c r="AC894" i="1"/>
  <c r="AD894" i="1" s="1"/>
  <c r="AC895" i="1"/>
  <c r="AD895" i="1" s="1"/>
  <c r="AC896" i="1"/>
  <c r="AD896" i="1" s="1"/>
  <c r="AC897" i="1"/>
  <c r="AD897" i="1" s="1"/>
  <c r="AC898" i="1"/>
  <c r="AD898" i="1" s="1"/>
  <c r="AC899" i="1"/>
  <c r="AD899" i="1" s="1"/>
  <c r="AC900" i="1"/>
  <c r="AD900" i="1" s="1"/>
  <c r="AC901" i="1"/>
  <c r="AD901" i="1" s="1"/>
  <c r="AC902" i="1"/>
  <c r="AD902" i="1" s="1"/>
  <c r="AC903" i="1"/>
  <c r="AD903" i="1" s="1"/>
  <c r="AC904" i="1"/>
  <c r="AD904" i="1" s="1"/>
  <c r="AC905" i="1"/>
  <c r="AD905" i="1" s="1"/>
  <c r="AC906" i="1"/>
  <c r="AD906" i="1" s="1"/>
  <c r="AC907" i="1"/>
  <c r="AD907" i="1" s="1"/>
  <c r="AC908" i="1"/>
  <c r="AD908" i="1" s="1"/>
  <c r="AC909" i="1"/>
  <c r="AD909" i="1" s="1"/>
  <c r="AC910" i="1"/>
  <c r="AD910" i="1" s="1"/>
  <c r="AC911" i="1"/>
  <c r="AD911" i="1" s="1"/>
  <c r="AC912" i="1"/>
  <c r="AD912" i="1" s="1"/>
  <c r="AC913" i="1"/>
  <c r="AD913" i="1" s="1"/>
  <c r="AC914" i="1"/>
  <c r="AD914" i="1" s="1"/>
  <c r="AC915" i="1"/>
  <c r="AD915" i="1" s="1"/>
  <c r="AC916" i="1"/>
  <c r="AD916" i="1" s="1"/>
  <c r="AC917" i="1"/>
  <c r="AD917" i="1" s="1"/>
  <c r="AC918" i="1"/>
  <c r="AD918" i="1" s="1"/>
  <c r="AC919" i="1"/>
  <c r="AD919" i="1" s="1"/>
  <c r="AC920" i="1"/>
  <c r="AD920" i="1" s="1"/>
  <c r="AC921" i="1"/>
  <c r="AD921" i="1" s="1"/>
  <c r="AC922" i="1"/>
  <c r="AD922" i="1" s="1"/>
  <c r="AC923" i="1"/>
  <c r="AD923" i="1" s="1"/>
  <c r="AC924" i="1"/>
  <c r="AD924" i="1" s="1"/>
  <c r="AC925" i="1"/>
  <c r="AD925" i="1" s="1"/>
  <c r="AC926" i="1"/>
  <c r="AD926" i="1" s="1"/>
  <c r="AC927" i="1"/>
  <c r="AD927" i="1" s="1"/>
  <c r="AC928" i="1"/>
  <c r="AD928" i="1" s="1"/>
  <c r="AC929" i="1"/>
  <c r="AD929" i="1" s="1"/>
  <c r="AC930" i="1"/>
  <c r="AD930" i="1" s="1"/>
  <c r="AC931" i="1"/>
  <c r="AD931" i="1" s="1"/>
  <c r="AC932" i="1"/>
  <c r="AD932" i="1" s="1"/>
  <c r="AC933" i="1"/>
  <c r="AD933" i="1" s="1"/>
  <c r="AC934" i="1"/>
  <c r="AD934" i="1" s="1"/>
  <c r="AC935" i="1"/>
  <c r="AD935" i="1" s="1"/>
  <c r="AC936" i="1"/>
  <c r="AD936" i="1" s="1"/>
  <c r="AC937" i="1"/>
  <c r="AD937" i="1" s="1"/>
  <c r="AC938" i="1"/>
  <c r="AD938" i="1" s="1"/>
  <c r="AC939" i="1"/>
  <c r="AD939" i="1" s="1"/>
  <c r="AC940" i="1"/>
  <c r="AD940" i="1" s="1"/>
  <c r="AC941" i="1"/>
  <c r="AD941" i="1" s="1"/>
  <c r="AC942" i="1"/>
  <c r="AD942" i="1" s="1"/>
  <c r="AC943" i="1"/>
  <c r="AD943" i="1" s="1"/>
  <c r="AC944" i="1"/>
  <c r="AD944" i="1" s="1"/>
  <c r="AC945" i="1"/>
  <c r="AD945" i="1" s="1"/>
  <c r="AC946" i="1"/>
  <c r="AD946" i="1" s="1"/>
  <c r="AC947" i="1"/>
  <c r="AD947" i="1" s="1"/>
  <c r="AC948" i="1"/>
  <c r="AD948" i="1" s="1"/>
  <c r="AC949" i="1"/>
  <c r="AD949" i="1" s="1"/>
  <c r="AC950" i="1"/>
  <c r="AD950" i="1" s="1"/>
  <c r="AC951" i="1"/>
  <c r="AD951" i="1" s="1"/>
  <c r="AC952" i="1"/>
  <c r="AD952" i="1" s="1"/>
  <c r="AC953" i="1"/>
  <c r="AD953" i="1" s="1"/>
  <c r="AC954" i="1"/>
  <c r="AD954" i="1" s="1"/>
  <c r="AC955" i="1"/>
  <c r="AD955" i="1" s="1"/>
  <c r="AC956" i="1"/>
  <c r="AD956" i="1" s="1"/>
  <c r="AC957" i="1"/>
  <c r="AD957" i="1" s="1"/>
  <c r="AC958" i="1"/>
  <c r="AD958" i="1" s="1"/>
  <c r="AC959" i="1"/>
  <c r="AD959" i="1" s="1"/>
  <c r="AC960" i="1"/>
  <c r="AD960" i="1" s="1"/>
  <c r="AC961" i="1"/>
  <c r="AD961" i="1" s="1"/>
  <c r="AC962" i="1"/>
  <c r="AD962" i="1" s="1"/>
  <c r="AC963" i="1"/>
  <c r="AD963" i="1" s="1"/>
  <c r="AC964" i="1"/>
  <c r="AD964" i="1" s="1"/>
  <c r="AC965" i="1"/>
  <c r="AD965" i="1" s="1"/>
  <c r="AC966" i="1"/>
  <c r="AD966" i="1" s="1"/>
  <c r="AC967" i="1"/>
  <c r="AD967" i="1" s="1"/>
  <c r="AC968" i="1"/>
  <c r="AD968" i="1" s="1"/>
  <c r="AC969" i="1"/>
  <c r="AD969" i="1" s="1"/>
  <c r="AC970" i="1"/>
  <c r="AD970" i="1" s="1"/>
  <c r="AC971" i="1"/>
  <c r="AD971" i="1" s="1"/>
  <c r="AC972" i="1"/>
  <c r="AD972" i="1" s="1"/>
  <c r="AC973" i="1"/>
  <c r="AD973" i="1" s="1"/>
  <c r="AC974" i="1"/>
  <c r="AD974" i="1" s="1"/>
  <c r="AC975" i="1"/>
  <c r="AD975" i="1" s="1"/>
  <c r="AC976" i="1"/>
  <c r="AD976" i="1" s="1"/>
  <c r="AC977" i="1"/>
  <c r="AD977" i="1" s="1"/>
  <c r="AC978" i="1"/>
  <c r="AD978" i="1" s="1"/>
  <c r="AC979" i="1"/>
  <c r="AD979" i="1" s="1"/>
  <c r="AC980" i="1"/>
  <c r="AD980" i="1" s="1"/>
  <c r="AC981" i="1"/>
  <c r="AD981" i="1" s="1"/>
  <c r="AC982" i="1"/>
  <c r="AD982" i="1" s="1"/>
  <c r="AC983" i="1"/>
  <c r="AD983" i="1" s="1"/>
  <c r="AC984" i="1"/>
  <c r="AD984" i="1" s="1"/>
  <c r="AC985" i="1"/>
  <c r="AD985" i="1" s="1"/>
  <c r="AC986" i="1"/>
  <c r="AD986" i="1" s="1"/>
  <c r="AC987" i="1"/>
  <c r="AD987" i="1" s="1"/>
  <c r="AC988" i="1"/>
  <c r="AD988" i="1" s="1"/>
  <c r="AC989" i="1"/>
  <c r="AD989" i="1" s="1"/>
  <c r="AC990" i="1"/>
  <c r="AD990" i="1" s="1"/>
  <c r="AC991" i="1"/>
  <c r="AD991" i="1" s="1"/>
  <c r="AC992" i="1"/>
  <c r="AD992" i="1" s="1"/>
  <c r="AC993" i="1"/>
  <c r="AD993" i="1" s="1"/>
  <c r="AC994" i="1"/>
  <c r="AD994" i="1" s="1"/>
  <c r="AC995" i="1"/>
  <c r="AD995" i="1" s="1"/>
  <c r="AC996" i="1"/>
  <c r="AD996" i="1" s="1"/>
  <c r="AC997" i="1"/>
  <c r="AD997" i="1" s="1"/>
  <c r="AC998" i="1"/>
  <c r="AD998" i="1" s="1"/>
  <c r="AC999" i="1"/>
  <c r="AD999" i="1" s="1"/>
  <c r="AC1000" i="1"/>
  <c r="AD1000" i="1" s="1"/>
  <c r="AC1001" i="1"/>
  <c r="AD1001" i="1" s="1"/>
  <c r="AC1002" i="1"/>
  <c r="AD1002" i="1" s="1"/>
  <c r="AC1003" i="1"/>
  <c r="AD1003" i="1" s="1"/>
  <c r="AC1004" i="1"/>
  <c r="AD1004" i="1" s="1"/>
  <c r="AC1005" i="1"/>
  <c r="AD1005" i="1" s="1"/>
  <c r="AC1006" i="1"/>
  <c r="AD1006" i="1" s="1"/>
  <c r="AC1007" i="1"/>
  <c r="AD1007" i="1" s="1"/>
  <c r="AC1008" i="1"/>
  <c r="AD1008" i="1" s="1"/>
  <c r="AC1009" i="1"/>
  <c r="AD1009" i="1" s="1"/>
  <c r="AC1010" i="1"/>
  <c r="AD1010" i="1" s="1"/>
  <c r="AC1011" i="1"/>
  <c r="AD1011" i="1" s="1"/>
  <c r="AC1012" i="1"/>
  <c r="AD1012" i="1" s="1"/>
  <c r="AC1013" i="1"/>
  <c r="AD1013" i="1" s="1"/>
  <c r="AC1014" i="1"/>
  <c r="AD1014" i="1" s="1"/>
  <c r="AC1015" i="1"/>
  <c r="AD1015" i="1" s="1"/>
  <c r="AC1016" i="1"/>
  <c r="AD1016" i="1" s="1"/>
  <c r="AC1017" i="1"/>
  <c r="AD1017" i="1" s="1"/>
  <c r="AC1018" i="1"/>
  <c r="AD1018" i="1" s="1"/>
  <c r="AC1019" i="1"/>
  <c r="AD1019" i="1" s="1"/>
  <c r="AC1020" i="1"/>
  <c r="AD1020" i="1" s="1"/>
  <c r="AC1021" i="1"/>
  <c r="AD1021" i="1" s="1"/>
  <c r="AC1022" i="1"/>
  <c r="AD1022" i="1" s="1"/>
  <c r="AC1023" i="1"/>
  <c r="AD1023" i="1" s="1"/>
  <c r="AC1024" i="1"/>
  <c r="AD1024" i="1" s="1"/>
  <c r="AC1025" i="1"/>
  <c r="AD1025" i="1" s="1"/>
  <c r="AC1026" i="1"/>
  <c r="AD1026" i="1" s="1"/>
  <c r="AC1027" i="1"/>
  <c r="AD1027" i="1" s="1"/>
  <c r="AC1028" i="1"/>
  <c r="AD1028" i="1" s="1"/>
  <c r="AC1029" i="1"/>
  <c r="AD1029" i="1" s="1"/>
  <c r="AC1030" i="1"/>
  <c r="AD1030" i="1" s="1"/>
  <c r="AC1031" i="1"/>
  <c r="AD1031" i="1" s="1"/>
  <c r="AC1032" i="1"/>
  <c r="AD1032" i="1" s="1"/>
  <c r="AC1033" i="1"/>
  <c r="AD1033" i="1" s="1"/>
  <c r="AC1034" i="1"/>
  <c r="AD1034" i="1" s="1"/>
  <c r="AC1035" i="1"/>
  <c r="AD1035" i="1" s="1"/>
  <c r="AC1036" i="1"/>
  <c r="AD1036" i="1" s="1"/>
  <c r="AC1037" i="1"/>
  <c r="AD1037" i="1" s="1"/>
  <c r="AC1038" i="1"/>
  <c r="AD1038" i="1" s="1"/>
  <c r="AC1039" i="1"/>
  <c r="AD1039" i="1" s="1"/>
  <c r="AC1040" i="1"/>
  <c r="AD1040" i="1" s="1"/>
  <c r="AC1041" i="1"/>
  <c r="AD1041" i="1" s="1"/>
  <c r="AC1042" i="1"/>
  <c r="AD1042" i="1" s="1"/>
  <c r="AC1043" i="1"/>
  <c r="AD1043" i="1" s="1"/>
  <c r="AC1044" i="1"/>
  <c r="AD1044" i="1" s="1"/>
  <c r="AC1045" i="1"/>
  <c r="AD1045" i="1" s="1"/>
  <c r="AC1046" i="1"/>
  <c r="AD1046" i="1" s="1"/>
  <c r="AC1047" i="1"/>
  <c r="AD1047" i="1" s="1"/>
  <c r="AC1048" i="1"/>
  <c r="AD1048" i="1" s="1"/>
  <c r="AC1049" i="1"/>
  <c r="AD1049" i="1" s="1"/>
  <c r="AC1050" i="1"/>
  <c r="AD1050" i="1" s="1"/>
  <c r="AC1051" i="1"/>
  <c r="AD1051" i="1" s="1"/>
  <c r="AC1052" i="1"/>
  <c r="AD1052" i="1" s="1"/>
  <c r="AC1053" i="1"/>
  <c r="AD1053" i="1" s="1"/>
  <c r="AC1054" i="1"/>
  <c r="AD1054" i="1" s="1"/>
  <c r="AC1055" i="1"/>
  <c r="AD1055" i="1" s="1"/>
  <c r="AC1056" i="1"/>
  <c r="AD1056" i="1" s="1"/>
  <c r="AC1057" i="1"/>
  <c r="AD1057" i="1" s="1"/>
  <c r="AC1058" i="1"/>
  <c r="AD1058" i="1" s="1"/>
  <c r="AC1059" i="1"/>
  <c r="AD1059" i="1" s="1"/>
  <c r="AC1060" i="1"/>
  <c r="AD1060" i="1" s="1"/>
  <c r="AC1061" i="1"/>
  <c r="AD1061" i="1" s="1"/>
  <c r="AC1062" i="1"/>
  <c r="AD1062" i="1" s="1"/>
  <c r="AC1063" i="1"/>
  <c r="AD1063" i="1" s="1"/>
  <c r="AC1064" i="1"/>
  <c r="AD1064" i="1" s="1"/>
  <c r="AC1065" i="1"/>
  <c r="AD1065" i="1" s="1"/>
  <c r="AC1066" i="1"/>
  <c r="AD1066" i="1" s="1"/>
  <c r="AC1067" i="1"/>
  <c r="AD1067" i="1" s="1"/>
  <c r="AC1068" i="1"/>
  <c r="AD1068" i="1" s="1"/>
  <c r="AC1069" i="1"/>
  <c r="AD1069" i="1" s="1"/>
  <c r="AC1070" i="1"/>
  <c r="AD1070" i="1" s="1"/>
  <c r="AC1071" i="1"/>
  <c r="AD1071" i="1" s="1"/>
  <c r="AC1072" i="1"/>
  <c r="AD1072" i="1" s="1"/>
  <c r="AC1073" i="1"/>
  <c r="AD1073" i="1" s="1"/>
  <c r="AC1074" i="1"/>
  <c r="AD1074" i="1" s="1"/>
  <c r="AC1075" i="1"/>
  <c r="AD1075" i="1" s="1"/>
  <c r="AC1076" i="1"/>
  <c r="AD1076" i="1" s="1"/>
  <c r="AC1077" i="1"/>
  <c r="AD1077" i="1" s="1"/>
  <c r="AC1078" i="1"/>
  <c r="AD1078" i="1" s="1"/>
  <c r="AC1079" i="1"/>
  <c r="AD1079" i="1" s="1"/>
  <c r="AC1080" i="1"/>
  <c r="AD1080" i="1" s="1"/>
  <c r="AC1081" i="1"/>
  <c r="AD1081" i="1" s="1"/>
  <c r="AC1082" i="1"/>
  <c r="AD1082" i="1" s="1"/>
  <c r="AC1083" i="1"/>
  <c r="AD1083" i="1" s="1"/>
  <c r="AC1084" i="1"/>
  <c r="AD1084" i="1" s="1"/>
  <c r="AC1085" i="1"/>
  <c r="AD1085" i="1" s="1"/>
  <c r="AC1086" i="1"/>
  <c r="AD1086" i="1" s="1"/>
  <c r="AC1087" i="1"/>
  <c r="AD1087" i="1" s="1"/>
  <c r="AC1088" i="1"/>
  <c r="AD1088" i="1" s="1"/>
  <c r="AC1089" i="1"/>
  <c r="AD1089" i="1" s="1"/>
  <c r="AC1090" i="1"/>
  <c r="AD1090" i="1" s="1"/>
  <c r="AC1091" i="1"/>
  <c r="AD1091" i="1" s="1"/>
  <c r="AC1092" i="1"/>
  <c r="AD1092" i="1" s="1"/>
  <c r="AC1093" i="1"/>
  <c r="AD1093" i="1" s="1"/>
  <c r="AC1094" i="1"/>
  <c r="AD1094" i="1" s="1"/>
  <c r="AC1095" i="1"/>
  <c r="AD1095" i="1" s="1"/>
  <c r="AC1096" i="1"/>
  <c r="AD1096" i="1" s="1"/>
  <c r="AC1097" i="1"/>
  <c r="AD1097" i="1" s="1"/>
  <c r="AC1098" i="1"/>
  <c r="AD1098" i="1" s="1"/>
  <c r="AC1099" i="1"/>
  <c r="AD1099" i="1" s="1"/>
  <c r="AC1100" i="1"/>
  <c r="AD1100" i="1" s="1"/>
  <c r="AC1101" i="1"/>
  <c r="AD1101" i="1" s="1"/>
  <c r="AC1102" i="1"/>
  <c r="AD1102" i="1" s="1"/>
  <c r="AC1103" i="1"/>
  <c r="AD1103" i="1" s="1"/>
  <c r="AC1104" i="1"/>
  <c r="AD1104" i="1" s="1"/>
  <c r="AC1105" i="1"/>
  <c r="AD1105" i="1" s="1"/>
  <c r="AC1106" i="1"/>
  <c r="AD1106" i="1" s="1"/>
  <c r="AC1107" i="1"/>
  <c r="AD1107" i="1" s="1"/>
  <c r="AC1108" i="1"/>
  <c r="AD1108" i="1" s="1"/>
  <c r="AC1109" i="1"/>
  <c r="AD1109" i="1" s="1"/>
  <c r="AC1110" i="1"/>
  <c r="AD1110" i="1" s="1"/>
  <c r="AC1111" i="1"/>
  <c r="AD1111" i="1" s="1"/>
  <c r="AC1112" i="1"/>
  <c r="AD1112" i="1" s="1"/>
  <c r="AC1113" i="1"/>
  <c r="AD1113" i="1" s="1"/>
  <c r="AC1114" i="1"/>
  <c r="AD1114" i="1" s="1"/>
  <c r="AC1115" i="1"/>
  <c r="AD1115" i="1" s="1"/>
  <c r="AC1116" i="1"/>
  <c r="AD1116" i="1" s="1"/>
  <c r="AC1117" i="1"/>
  <c r="AD1117" i="1" s="1"/>
  <c r="AC1118" i="1"/>
  <c r="AD1118" i="1" s="1"/>
  <c r="AC1119" i="1"/>
  <c r="AD1119" i="1" s="1"/>
  <c r="AC1120" i="1"/>
  <c r="AD1120" i="1" s="1"/>
  <c r="AC1121" i="1"/>
  <c r="AD1121" i="1" s="1"/>
  <c r="AC1122" i="1"/>
  <c r="AD1122" i="1" s="1"/>
  <c r="AC1123" i="1"/>
  <c r="AD1123" i="1" s="1"/>
  <c r="AC1124" i="1"/>
  <c r="AD1124" i="1" s="1"/>
  <c r="AC1125" i="1"/>
  <c r="AD1125" i="1" s="1"/>
  <c r="AC1126" i="1"/>
  <c r="AD1126" i="1" s="1"/>
  <c r="AC1127" i="1"/>
  <c r="AD1127" i="1" s="1"/>
  <c r="AC1128" i="1"/>
  <c r="AD1128" i="1" s="1"/>
  <c r="AC1129" i="1"/>
  <c r="AD1129" i="1" s="1"/>
  <c r="AC1130" i="1"/>
  <c r="AD1130" i="1" s="1"/>
  <c r="AC1131" i="1"/>
  <c r="AD1131" i="1" s="1"/>
  <c r="AC1132" i="1"/>
  <c r="AD1132" i="1" s="1"/>
  <c r="AC1133" i="1"/>
  <c r="AD1133" i="1" s="1"/>
  <c r="AC1134" i="1"/>
  <c r="AD1134" i="1" s="1"/>
  <c r="AC1135" i="1"/>
  <c r="AD1135" i="1" s="1"/>
  <c r="AC1136" i="1"/>
  <c r="AD1136" i="1" s="1"/>
  <c r="AC1137" i="1"/>
  <c r="AD1137" i="1" s="1"/>
  <c r="AC1138" i="1"/>
  <c r="AD1138" i="1" s="1"/>
  <c r="AC1139" i="1"/>
  <c r="AD1139" i="1" s="1"/>
  <c r="AC1140" i="1"/>
  <c r="AD1140" i="1" s="1"/>
  <c r="AC1141" i="1"/>
  <c r="AD1141" i="1" s="1"/>
  <c r="AC1142" i="1"/>
  <c r="AD1142" i="1" s="1"/>
  <c r="AC1143" i="1"/>
  <c r="AD1143" i="1" s="1"/>
  <c r="AC1144" i="1"/>
  <c r="AD1144" i="1" s="1"/>
  <c r="AC1145" i="1"/>
  <c r="AD1145" i="1" s="1"/>
  <c r="AC1146" i="1"/>
  <c r="AD1146" i="1" s="1"/>
  <c r="AC1147" i="1"/>
  <c r="AD1147" i="1" s="1"/>
  <c r="AC1148" i="1"/>
  <c r="AD1148" i="1" s="1"/>
  <c r="AC1149" i="1"/>
  <c r="AD1149" i="1" s="1"/>
  <c r="AC1150" i="1"/>
  <c r="AD1150" i="1" s="1"/>
  <c r="AC1151" i="1"/>
  <c r="AD1151" i="1" s="1"/>
  <c r="AC1152" i="1"/>
  <c r="AD1152" i="1" s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H3" i="1"/>
  <c r="AH4" i="1"/>
  <c r="AH5" i="1"/>
  <c r="AH6" i="1"/>
  <c r="AH7" i="1"/>
  <c r="AH8" i="1"/>
  <c r="AH9" i="1"/>
  <c r="AH10" i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I41" i="1" s="1"/>
  <c r="AH42" i="1"/>
  <c r="AI42" i="1" s="1"/>
  <c r="AH43" i="1"/>
  <c r="AI43" i="1" s="1"/>
  <c r="AH44" i="1"/>
  <c r="AI44" i="1" s="1"/>
  <c r="AH45" i="1"/>
  <c r="AI45" i="1" s="1"/>
  <c r="AH46" i="1"/>
  <c r="AI46" i="1" s="1"/>
  <c r="AH47" i="1"/>
  <c r="AI47" i="1" s="1"/>
  <c r="AH48" i="1"/>
  <c r="AI48" i="1" s="1"/>
  <c r="AH49" i="1"/>
  <c r="AI49" i="1" s="1"/>
  <c r="AH50" i="1"/>
  <c r="AI50" i="1" s="1"/>
  <c r="AH51" i="1"/>
  <c r="AI51" i="1" s="1"/>
  <c r="AH52" i="1"/>
  <c r="AI52" i="1" s="1"/>
  <c r="AH53" i="1"/>
  <c r="AI53" i="1" s="1"/>
  <c r="AH54" i="1"/>
  <c r="AI54" i="1" s="1"/>
  <c r="AH55" i="1"/>
  <c r="AI55" i="1" s="1"/>
  <c r="AH56" i="1"/>
  <c r="AI56" i="1" s="1"/>
  <c r="AH57" i="1"/>
  <c r="AI57" i="1" s="1"/>
  <c r="AH58" i="1"/>
  <c r="AI58" i="1" s="1"/>
  <c r="AH59" i="1"/>
  <c r="AI59" i="1" s="1"/>
  <c r="AH60" i="1"/>
  <c r="AI60" i="1" s="1"/>
  <c r="AH61" i="1"/>
  <c r="AI61" i="1" s="1"/>
  <c r="AH62" i="1"/>
  <c r="AI62" i="1" s="1"/>
  <c r="AH63" i="1"/>
  <c r="AI63" i="1" s="1"/>
  <c r="AH64" i="1"/>
  <c r="AI64" i="1" s="1"/>
  <c r="AH65" i="1"/>
  <c r="AI65" i="1" s="1"/>
  <c r="AH66" i="1"/>
  <c r="AI66" i="1" s="1"/>
  <c r="AH67" i="1"/>
  <c r="AI67" i="1" s="1"/>
  <c r="AH68" i="1"/>
  <c r="AI68" i="1" s="1"/>
  <c r="AH69" i="1"/>
  <c r="AI69" i="1" s="1"/>
  <c r="AH70" i="1"/>
  <c r="AI70" i="1" s="1"/>
  <c r="AH71" i="1"/>
  <c r="AI71" i="1" s="1"/>
  <c r="AH72" i="1"/>
  <c r="AI72" i="1" s="1"/>
  <c r="AH73" i="1"/>
  <c r="AI73" i="1" s="1"/>
  <c r="AH74" i="1"/>
  <c r="AI74" i="1" s="1"/>
  <c r="AH75" i="1"/>
  <c r="AI75" i="1" s="1"/>
  <c r="AH76" i="1"/>
  <c r="AI76" i="1" s="1"/>
  <c r="AH77" i="1"/>
  <c r="AI77" i="1" s="1"/>
  <c r="AH78" i="1"/>
  <c r="AI78" i="1" s="1"/>
  <c r="AH79" i="1"/>
  <c r="AI79" i="1" s="1"/>
  <c r="AH80" i="1"/>
  <c r="AI80" i="1" s="1"/>
  <c r="AH81" i="1"/>
  <c r="AI81" i="1" s="1"/>
  <c r="AH82" i="1"/>
  <c r="AI82" i="1" s="1"/>
  <c r="AH83" i="1"/>
  <c r="AI83" i="1" s="1"/>
  <c r="AH84" i="1"/>
  <c r="AI84" i="1" s="1"/>
  <c r="AH85" i="1"/>
  <c r="AI85" i="1" s="1"/>
  <c r="AH86" i="1"/>
  <c r="AI86" i="1" s="1"/>
  <c r="AH87" i="1"/>
  <c r="AI87" i="1" s="1"/>
  <c r="AH88" i="1"/>
  <c r="AI88" i="1" s="1"/>
  <c r="AH89" i="1"/>
  <c r="AI89" i="1" s="1"/>
  <c r="AH90" i="1"/>
  <c r="AI90" i="1" s="1"/>
  <c r="AH91" i="1"/>
  <c r="AI91" i="1" s="1"/>
  <c r="AH92" i="1"/>
  <c r="AI92" i="1" s="1"/>
  <c r="AH93" i="1"/>
  <c r="AI93" i="1" s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100" i="1"/>
  <c r="AI100" i="1" s="1"/>
  <c r="AH101" i="1"/>
  <c r="AI101" i="1" s="1"/>
  <c r="AH102" i="1"/>
  <c r="AI102" i="1" s="1"/>
  <c r="AH103" i="1"/>
  <c r="AI103" i="1" s="1"/>
  <c r="AH104" i="1"/>
  <c r="AI104" i="1" s="1"/>
  <c r="AH105" i="1"/>
  <c r="AI105" i="1" s="1"/>
  <c r="AH106" i="1"/>
  <c r="AI106" i="1" s="1"/>
  <c r="AH107" i="1"/>
  <c r="AI107" i="1" s="1"/>
  <c r="AH108" i="1"/>
  <c r="AI108" i="1" s="1"/>
  <c r="AH109" i="1"/>
  <c r="AI109" i="1" s="1"/>
  <c r="AH110" i="1"/>
  <c r="AI110" i="1" s="1"/>
  <c r="AH111" i="1"/>
  <c r="AI111" i="1" s="1"/>
  <c r="AH112" i="1"/>
  <c r="AI112" i="1" s="1"/>
  <c r="AH113" i="1"/>
  <c r="AI113" i="1" s="1"/>
  <c r="AH114" i="1"/>
  <c r="AI114" i="1" s="1"/>
  <c r="AH115" i="1"/>
  <c r="AI115" i="1" s="1"/>
  <c r="AH116" i="1"/>
  <c r="AI116" i="1" s="1"/>
  <c r="AH117" i="1"/>
  <c r="AI117" i="1" s="1"/>
  <c r="AH118" i="1"/>
  <c r="AI118" i="1" s="1"/>
  <c r="AH119" i="1"/>
  <c r="AI119" i="1" s="1"/>
  <c r="AH120" i="1"/>
  <c r="AI120" i="1" s="1"/>
  <c r="AH121" i="1"/>
  <c r="AI121" i="1" s="1"/>
  <c r="AH122" i="1"/>
  <c r="AI122" i="1" s="1"/>
  <c r="AH123" i="1"/>
  <c r="AI123" i="1" s="1"/>
  <c r="AH124" i="1"/>
  <c r="AI124" i="1" s="1"/>
  <c r="AH125" i="1"/>
  <c r="AI125" i="1" s="1"/>
  <c r="AH126" i="1"/>
  <c r="AI126" i="1" s="1"/>
  <c r="AH127" i="1"/>
  <c r="AI127" i="1" s="1"/>
  <c r="AH128" i="1"/>
  <c r="AI128" i="1" s="1"/>
  <c r="AH129" i="1"/>
  <c r="AI129" i="1" s="1"/>
  <c r="AH130" i="1"/>
  <c r="AI130" i="1" s="1"/>
  <c r="AH131" i="1"/>
  <c r="AI131" i="1" s="1"/>
  <c r="AH132" i="1"/>
  <c r="AI132" i="1" s="1"/>
  <c r="AH133" i="1"/>
  <c r="AI133" i="1" s="1"/>
  <c r="AH134" i="1"/>
  <c r="AI134" i="1" s="1"/>
  <c r="AH135" i="1"/>
  <c r="AI135" i="1" s="1"/>
  <c r="AH136" i="1"/>
  <c r="AI136" i="1" s="1"/>
  <c r="AH137" i="1"/>
  <c r="AI137" i="1" s="1"/>
  <c r="AH138" i="1"/>
  <c r="AI138" i="1" s="1"/>
  <c r="AH139" i="1"/>
  <c r="AI139" i="1" s="1"/>
  <c r="AH140" i="1"/>
  <c r="AI140" i="1" s="1"/>
  <c r="AH141" i="1"/>
  <c r="AI141" i="1" s="1"/>
  <c r="AH142" i="1"/>
  <c r="AI142" i="1" s="1"/>
  <c r="AH143" i="1"/>
  <c r="AI143" i="1" s="1"/>
  <c r="AH144" i="1"/>
  <c r="AI144" i="1" s="1"/>
  <c r="AH145" i="1"/>
  <c r="AI145" i="1" s="1"/>
  <c r="AH146" i="1"/>
  <c r="AI146" i="1" s="1"/>
  <c r="AH147" i="1"/>
  <c r="AI147" i="1" s="1"/>
  <c r="AH148" i="1"/>
  <c r="AI148" i="1" s="1"/>
  <c r="AH149" i="1"/>
  <c r="AI149" i="1" s="1"/>
  <c r="AH150" i="1"/>
  <c r="AI150" i="1" s="1"/>
  <c r="AH151" i="1"/>
  <c r="AI151" i="1" s="1"/>
  <c r="AH152" i="1"/>
  <c r="AI152" i="1" s="1"/>
  <c r="AH153" i="1"/>
  <c r="AI153" i="1" s="1"/>
  <c r="AH154" i="1"/>
  <c r="AI154" i="1" s="1"/>
  <c r="AH155" i="1"/>
  <c r="AI155" i="1" s="1"/>
  <c r="AH156" i="1"/>
  <c r="AI156" i="1" s="1"/>
  <c r="AH157" i="1"/>
  <c r="AI157" i="1" s="1"/>
  <c r="AH158" i="1"/>
  <c r="AI158" i="1" s="1"/>
  <c r="AH159" i="1"/>
  <c r="AI159" i="1" s="1"/>
  <c r="AH160" i="1"/>
  <c r="AI160" i="1" s="1"/>
  <c r="AH161" i="1"/>
  <c r="AI161" i="1" s="1"/>
  <c r="AH162" i="1"/>
  <c r="AI162" i="1" s="1"/>
  <c r="AH163" i="1"/>
  <c r="AI163" i="1" s="1"/>
  <c r="AH164" i="1"/>
  <c r="AI164" i="1" s="1"/>
  <c r="AH165" i="1"/>
  <c r="AI165" i="1" s="1"/>
  <c r="AH166" i="1"/>
  <c r="AI166" i="1" s="1"/>
  <c r="AH167" i="1"/>
  <c r="AI167" i="1" s="1"/>
  <c r="AH168" i="1"/>
  <c r="AI168" i="1" s="1"/>
  <c r="AH169" i="1"/>
  <c r="AI169" i="1" s="1"/>
  <c r="AH170" i="1"/>
  <c r="AI170" i="1" s="1"/>
  <c r="AH171" i="1"/>
  <c r="AI171" i="1" s="1"/>
  <c r="AH172" i="1"/>
  <c r="AI172" i="1" s="1"/>
  <c r="AH173" i="1"/>
  <c r="AI173" i="1" s="1"/>
  <c r="AH174" i="1"/>
  <c r="AI174" i="1" s="1"/>
  <c r="AH175" i="1"/>
  <c r="AI175" i="1" s="1"/>
  <c r="AH176" i="1"/>
  <c r="AI176" i="1" s="1"/>
  <c r="AH177" i="1"/>
  <c r="AI177" i="1" s="1"/>
  <c r="AH178" i="1"/>
  <c r="AI178" i="1" s="1"/>
  <c r="AH179" i="1"/>
  <c r="AI179" i="1" s="1"/>
  <c r="AH180" i="1"/>
  <c r="AI180" i="1" s="1"/>
  <c r="AH181" i="1"/>
  <c r="AI181" i="1" s="1"/>
  <c r="AH182" i="1"/>
  <c r="AI182" i="1" s="1"/>
  <c r="AH183" i="1"/>
  <c r="AI183" i="1" s="1"/>
  <c r="AH184" i="1"/>
  <c r="AI184" i="1" s="1"/>
  <c r="AH185" i="1"/>
  <c r="AI185" i="1" s="1"/>
  <c r="AH186" i="1"/>
  <c r="AI186" i="1" s="1"/>
  <c r="AH187" i="1"/>
  <c r="AI187" i="1" s="1"/>
  <c r="AH188" i="1"/>
  <c r="AI188" i="1" s="1"/>
  <c r="AH189" i="1"/>
  <c r="AI189" i="1" s="1"/>
  <c r="AH190" i="1"/>
  <c r="AI190" i="1" s="1"/>
  <c r="AH191" i="1"/>
  <c r="AI191" i="1" s="1"/>
  <c r="AH192" i="1"/>
  <c r="AI192" i="1" s="1"/>
  <c r="AH193" i="1"/>
  <c r="AI193" i="1" s="1"/>
  <c r="AH194" i="1"/>
  <c r="AI194" i="1" s="1"/>
  <c r="AH195" i="1"/>
  <c r="AI195" i="1" s="1"/>
  <c r="AH196" i="1"/>
  <c r="AI196" i="1" s="1"/>
  <c r="AH197" i="1"/>
  <c r="AI197" i="1" s="1"/>
  <c r="AH198" i="1"/>
  <c r="AI198" i="1" s="1"/>
  <c r="AH199" i="1"/>
  <c r="AI199" i="1" s="1"/>
  <c r="AH200" i="1"/>
  <c r="AI200" i="1" s="1"/>
  <c r="AH201" i="1"/>
  <c r="AI201" i="1" s="1"/>
  <c r="AH202" i="1"/>
  <c r="AI202" i="1" s="1"/>
  <c r="AH203" i="1"/>
  <c r="AI203" i="1" s="1"/>
  <c r="AH204" i="1"/>
  <c r="AI204" i="1" s="1"/>
  <c r="AH205" i="1"/>
  <c r="AI205" i="1" s="1"/>
  <c r="AH206" i="1"/>
  <c r="AI206" i="1" s="1"/>
  <c r="AH207" i="1"/>
  <c r="AI207" i="1" s="1"/>
  <c r="AH208" i="1"/>
  <c r="AI208" i="1" s="1"/>
  <c r="AH209" i="1"/>
  <c r="AI209" i="1" s="1"/>
  <c r="AH210" i="1"/>
  <c r="AI210" i="1" s="1"/>
  <c r="AH211" i="1"/>
  <c r="AI211" i="1" s="1"/>
  <c r="AH212" i="1"/>
  <c r="AI212" i="1" s="1"/>
  <c r="AH213" i="1"/>
  <c r="AI213" i="1" s="1"/>
  <c r="AH214" i="1"/>
  <c r="AI214" i="1" s="1"/>
  <c r="AH215" i="1"/>
  <c r="AI215" i="1" s="1"/>
  <c r="AH216" i="1"/>
  <c r="AI216" i="1" s="1"/>
  <c r="AH217" i="1"/>
  <c r="AI217" i="1" s="1"/>
  <c r="AH218" i="1"/>
  <c r="AI218" i="1" s="1"/>
  <c r="AH219" i="1"/>
  <c r="AI219" i="1" s="1"/>
  <c r="AH220" i="1"/>
  <c r="AI220" i="1" s="1"/>
  <c r="AH221" i="1"/>
  <c r="AI221" i="1" s="1"/>
  <c r="AH222" i="1"/>
  <c r="AI222" i="1" s="1"/>
  <c r="AH223" i="1"/>
  <c r="AI223" i="1" s="1"/>
  <c r="AH224" i="1"/>
  <c r="AI224" i="1" s="1"/>
  <c r="AH225" i="1"/>
  <c r="AI225" i="1" s="1"/>
  <c r="AH226" i="1"/>
  <c r="AI226" i="1" s="1"/>
  <c r="AH227" i="1"/>
  <c r="AI227" i="1" s="1"/>
  <c r="AH228" i="1"/>
  <c r="AI228" i="1" s="1"/>
  <c r="AH229" i="1"/>
  <c r="AI229" i="1" s="1"/>
  <c r="AH230" i="1"/>
  <c r="AI230" i="1" s="1"/>
  <c r="AH231" i="1"/>
  <c r="AI231" i="1" s="1"/>
  <c r="AH232" i="1"/>
  <c r="AI232" i="1" s="1"/>
  <c r="AH233" i="1"/>
  <c r="AI233" i="1" s="1"/>
  <c r="AH234" i="1"/>
  <c r="AI234" i="1" s="1"/>
  <c r="AH235" i="1"/>
  <c r="AI235" i="1" s="1"/>
  <c r="AH236" i="1"/>
  <c r="AI236" i="1" s="1"/>
  <c r="AH237" i="1"/>
  <c r="AI237" i="1" s="1"/>
  <c r="AH238" i="1"/>
  <c r="AI238" i="1" s="1"/>
  <c r="AH239" i="1"/>
  <c r="AI239" i="1" s="1"/>
  <c r="AH240" i="1"/>
  <c r="AI240" i="1" s="1"/>
  <c r="AH241" i="1"/>
  <c r="AI241" i="1" s="1"/>
  <c r="AH242" i="1"/>
  <c r="AI242" i="1" s="1"/>
  <c r="AH243" i="1"/>
  <c r="AI243" i="1" s="1"/>
  <c r="AH244" i="1"/>
  <c r="AI244" i="1" s="1"/>
  <c r="AH245" i="1"/>
  <c r="AI245" i="1" s="1"/>
  <c r="AH246" i="1"/>
  <c r="AI246" i="1" s="1"/>
  <c r="AH247" i="1"/>
  <c r="AI247" i="1" s="1"/>
  <c r="AH248" i="1"/>
  <c r="AI248" i="1" s="1"/>
  <c r="AH249" i="1"/>
  <c r="AI249" i="1" s="1"/>
  <c r="AH250" i="1"/>
  <c r="AI250" i="1" s="1"/>
  <c r="AH251" i="1"/>
  <c r="AI251" i="1" s="1"/>
  <c r="AH252" i="1"/>
  <c r="AI252" i="1" s="1"/>
  <c r="AH253" i="1"/>
  <c r="AI253" i="1" s="1"/>
  <c r="AH254" i="1"/>
  <c r="AI254" i="1" s="1"/>
  <c r="AH255" i="1"/>
  <c r="AI255" i="1" s="1"/>
  <c r="AH256" i="1"/>
  <c r="AI256" i="1" s="1"/>
  <c r="AH257" i="1"/>
  <c r="AI257" i="1" s="1"/>
  <c r="AH258" i="1"/>
  <c r="AI258" i="1" s="1"/>
  <c r="AH259" i="1"/>
  <c r="AI259" i="1" s="1"/>
  <c r="AH260" i="1"/>
  <c r="AI260" i="1" s="1"/>
  <c r="AH261" i="1"/>
  <c r="AI261" i="1" s="1"/>
  <c r="AH262" i="1"/>
  <c r="AI262" i="1" s="1"/>
  <c r="AH263" i="1"/>
  <c r="AI263" i="1" s="1"/>
  <c r="AH264" i="1"/>
  <c r="AI264" i="1" s="1"/>
  <c r="AH265" i="1"/>
  <c r="AI265" i="1" s="1"/>
  <c r="AH266" i="1"/>
  <c r="AI266" i="1" s="1"/>
  <c r="AH267" i="1"/>
  <c r="AI267" i="1" s="1"/>
  <c r="AH268" i="1"/>
  <c r="AI268" i="1" s="1"/>
  <c r="AH269" i="1"/>
  <c r="AI269" i="1" s="1"/>
  <c r="AH270" i="1"/>
  <c r="AI270" i="1" s="1"/>
  <c r="AH271" i="1"/>
  <c r="AI271" i="1" s="1"/>
  <c r="AH272" i="1"/>
  <c r="AI272" i="1" s="1"/>
  <c r="AH273" i="1"/>
  <c r="AI273" i="1" s="1"/>
  <c r="AH274" i="1"/>
  <c r="AI274" i="1" s="1"/>
  <c r="AH275" i="1"/>
  <c r="AI275" i="1" s="1"/>
  <c r="AH276" i="1"/>
  <c r="AI276" i="1" s="1"/>
  <c r="AH277" i="1"/>
  <c r="AI277" i="1" s="1"/>
  <c r="AH278" i="1"/>
  <c r="AI278" i="1" s="1"/>
  <c r="AH279" i="1"/>
  <c r="AI279" i="1" s="1"/>
  <c r="AH280" i="1"/>
  <c r="AI280" i="1" s="1"/>
  <c r="AH281" i="1"/>
  <c r="AI281" i="1" s="1"/>
  <c r="AH282" i="1"/>
  <c r="AI282" i="1" s="1"/>
  <c r="AH283" i="1"/>
  <c r="AI283" i="1" s="1"/>
  <c r="AH284" i="1"/>
  <c r="AI284" i="1" s="1"/>
  <c r="AH285" i="1"/>
  <c r="AI285" i="1" s="1"/>
  <c r="AH286" i="1"/>
  <c r="AI286" i="1" s="1"/>
  <c r="AH287" i="1"/>
  <c r="AI287" i="1" s="1"/>
  <c r="AH288" i="1"/>
  <c r="AI288" i="1" s="1"/>
  <c r="AH289" i="1"/>
  <c r="AI289" i="1" s="1"/>
  <c r="AH290" i="1"/>
  <c r="AI290" i="1" s="1"/>
  <c r="AH291" i="1"/>
  <c r="AI291" i="1" s="1"/>
  <c r="AH292" i="1"/>
  <c r="AI292" i="1" s="1"/>
  <c r="AH293" i="1"/>
  <c r="AI293" i="1" s="1"/>
  <c r="AH294" i="1"/>
  <c r="AI294" i="1" s="1"/>
  <c r="AH295" i="1"/>
  <c r="AI295" i="1" s="1"/>
  <c r="AH296" i="1"/>
  <c r="AI296" i="1" s="1"/>
  <c r="AH297" i="1"/>
  <c r="AI297" i="1" s="1"/>
  <c r="AH298" i="1"/>
  <c r="AI298" i="1" s="1"/>
  <c r="AH299" i="1"/>
  <c r="AI299" i="1" s="1"/>
  <c r="AH300" i="1"/>
  <c r="AI300" i="1" s="1"/>
  <c r="AH301" i="1"/>
  <c r="AI301" i="1" s="1"/>
  <c r="AH302" i="1"/>
  <c r="AI302" i="1" s="1"/>
  <c r="AH303" i="1"/>
  <c r="AI303" i="1" s="1"/>
  <c r="AH304" i="1"/>
  <c r="AI304" i="1" s="1"/>
  <c r="AH305" i="1"/>
  <c r="AI305" i="1" s="1"/>
  <c r="AH306" i="1"/>
  <c r="AI306" i="1" s="1"/>
  <c r="AH307" i="1"/>
  <c r="AI307" i="1" s="1"/>
  <c r="AH308" i="1"/>
  <c r="AI308" i="1" s="1"/>
  <c r="AH309" i="1"/>
  <c r="AI309" i="1" s="1"/>
  <c r="AH310" i="1"/>
  <c r="AI310" i="1" s="1"/>
  <c r="AH311" i="1"/>
  <c r="AI311" i="1" s="1"/>
  <c r="AH312" i="1"/>
  <c r="AI312" i="1" s="1"/>
  <c r="AH313" i="1"/>
  <c r="AI313" i="1" s="1"/>
  <c r="AH314" i="1"/>
  <c r="AI314" i="1" s="1"/>
  <c r="AH315" i="1"/>
  <c r="AI315" i="1" s="1"/>
  <c r="AH316" i="1"/>
  <c r="AI316" i="1" s="1"/>
  <c r="AH317" i="1"/>
  <c r="AI317" i="1" s="1"/>
  <c r="AH318" i="1"/>
  <c r="AI318" i="1" s="1"/>
  <c r="AH319" i="1"/>
  <c r="AI319" i="1" s="1"/>
  <c r="AH320" i="1"/>
  <c r="AI320" i="1" s="1"/>
  <c r="AH321" i="1"/>
  <c r="AI321" i="1" s="1"/>
  <c r="AH322" i="1"/>
  <c r="AI322" i="1" s="1"/>
  <c r="AH323" i="1"/>
  <c r="AI323" i="1" s="1"/>
  <c r="AH324" i="1"/>
  <c r="AI324" i="1" s="1"/>
  <c r="AH325" i="1"/>
  <c r="AI325" i="1" s="1"/>
  <c r="AH326" i="1"/>
  <c r="AI326" i="1" s="1"/>
  <c r="AH327" i="1"/>
  <c r="AI327" i="1" s="1"/>
  <c r="AH328" i="1"/>
  <c r="AI328" i="1" s="1"/>
  <c r="AH329" i="1"/>
  <c r="AI329" i="1" s="1"/>
  <c r="AH330" i="1"/>
  <c r="AI330" i="1" s="1"/>
  <c r="AH331" i="1"/>
  <c r="AI331" i="1" s="1"/>
  <c r="AH332" i="1"/>
  <c r="AI332" i="1" s="1"/>
  <c r="AH333" i="1"/>
  <c r="AI333" i="1" s="1"/>
  <c r="AH334" i="1"/>
  <c r="AI334" i="1" s="1"/>
  <c r="AH335" i="1"/>
  <c r="AI335" i="1" s="1"/>
  <c r="AH336" i="1"/>
  <c r="AI336" i="1" s="1"/>
  <c r="AH337" i="1"/>
  <c r="AI337" i="1" s="1"/>
  <c r="AH338" i="1"/>
  <c r="AI338" i="1" s="1"/>
  <c r="AH339" i="1"/>
  <c r="AI339" i="1" s="1"/>
  <c r="AH340" i="1"/>
  <c r="AI340" i="1" s="1"/>
  <c r="AH341" i="1"/>
  <c r="AI341" i="1" s="1"/>
  <c r="AH342" i="1"/>
  <c r="AI342" i="1" s="1"/>
  <c r="AH343" i="1"/>
  <c r="AI343" i="1" s="1"/>
  <c r="AH344" i="1"/>
  <c r="AI344" i="1" s="1"/>
  <c r="AH345" i="1"/>
  <c r="AI345" i="1" s="1"/>
  <c r="AH346" i="1"/>
  <c r="AI346" i="1" s="1"/>
  <c r="AH347" i="1"/>
  <c r="AI347" i="1" s="1"/>
  <c r="AH348" i="1"/>
  <c r="AI348" i="1" s="1"/>
  <c r="AH349" i="1"/>
  <c r="AI349" i="1" s="1"/>
  <c r="AH350" i="1"/>
  <c r="AI350" i="1" s="1"/>
  <c r="AH351" i="1"/>
  <c r="AI351" i="1" s="1"/>
  <c r="AH352" i="1"/>
  <c r="AI352" i="1" s="1"/>
  <c r="AH353" i="1"/>
  <c r="AI353" i="1" s="1"/>
  <c r="AH354" i="1"/>
  <c r="AI354" i="1" s="1"/>
  <c r="AH355" i="1"/>
  <c r="AI355" i="1" s="1"/>
  <c r="AH356" i="1"/>
  <c r="AI356" i="1" s="1"/>
  <c r="AH357" i="1"/>
  <c r="AI357" i="1" s="1"/>
  <c r="AH358" i="1"/>
  <c r="AI358" i="1" s="1"/>
  <c r="AH359" i="1"/>
  <c r="AI359" i="1" s="1"/>
  <c r="AH360" i="1"/>
  <c r="AI360" i="1" s="1"/>
  <c r="AH361" i="1"/>
  <c r="AI361" i="1" s="1"/>
  <c r="AH362" i="1"/>
  <c r="AI362" i="1" s="1"/>
  <c r="AH363" i="1"/>
  <c r="AI363" i="1" s="1"/>
  <c r="AH364" i="1"/>
  <c r="AI364" i="1" s="1"/>
  <c r="AH365" i="1"/>
  <c r="AI365" i="1" s="1"/>
  <c r="AH366" i="1"/>
  <c r="AI366" i="1" s="1"/>
  <c r="AH367" i="1"/>
  <c r="AI367" i="1" s="1"/>
  <c r="AH368" i="1"/>
  <c r="AI368" i="1" s="1"/>
  <c r="AH369" i="1"/>
  <c r="AI369" i="1" s="1"/>
  <c r="AH370" i="1"/>
  <c r="AI370" i="1" s="1"/>
  <c r="AH371" i="1"/>
  <c r="AI371" i="1" s="1"/>
  <c r="AH372" i="1"/>
  <c r="AI372" i="1" s="1"/>
  <c r="AH373" i="1"/>
  <c r="AI373" i="1" s="1"/>
  <c r="AH374" i="1"/>
  <c r="AI374" i="1" s="1"/>
  <c r="AH375" i="1"/>
  <c r="AI375" i="1" s="1"/>
  <c r="AH376" i="1"/>
  <c r="AI376" i="1" s="1"/>
  <c r="AH377" i="1"/>
  <c r="AI377" i="1" s="1"/>
  <c r="AH378" i="1"/>
  <c r="AI378" i="1" s="1"/>
  <c r="AH379" i="1"/>
  <c r="AI379" i="1" s="1"/>
  <c r="AH380" i="1"/>
  <c r="AI380" i="1" s="1"/>
  <c r="AH381" i="1"/>
  <c r="AI381" i="1" s="1"/>
  <c r="AH382" i="1"/>
  <c r="AI382" i="1" s="1"/>
  <c r="AH383" i="1"/>
  <c r="AI383" i="1" s="1"/>
  <c r="AH384" i="1"/>
  <c r="AI384" i="1" s="1"/>
  <c r="AH385" i="1"/>
  <c r="AI385" i="1" s="1"/>
  <c r="AH386" i="1"/>
  <c r="AI386" i="1" s="1"/>
  <c r="AH387" i="1"/>
  <c r="AI387" i="1" s="1"/>
  <c r="AH388" i="1"/>
  <c r="AI388" i="1" s="1"/>
  <c r="AH389" i="1"/>
  <c r="AI389" i="1" s="1"/>
  <c r="AH390" i="1"/>
  <c r="AI390" i="1" s="1"/>
  <c r="AH391" i="1"/>
  <c r="AI391" i="1" s="1"/>
  <c r="AH392" i="1"/>
  <c r="AI392" i="1" s="1"/>
  <c r="AH393" i="1"/>
  <c r="AI393" i="1" s="1"/>
  <c r="AH394" i="1"/>
  <c r="AI394" i="1" s="1"/>
  <c r="AH395" i="1"/>
  <c r="AI395" i="1" s="1"/>
  <c r="AH396" i="1"/>
  <c r="AI396" i="1" s="1"/>
  <c r="AH397" i="1"/>
  <c r="AI397" i="1" s="1"/>
  <c r="AH398" i="1"/>
  <c r="AI398" i="1" s="1"/>
  <c r="AH399" i="1"/>
  <c r="AI399" i="1" s="1"/>
  <c r="AH400" i="1"/>
  <c r="AI400" i="1" s="1"/>
  <c r="AH401" i="1"/>
  <c r="AI401" i="1" s="1"/>
  <c r="AH402" i="1"/>
  <c r="AI402" i="1" s="1"/>
  <c r="AH403" i="1"/>
  <c r="AI403" i="1" s="1"/>
  <c r="AH404" i="1"/>
  <c r="AI404" i="1" s="1"/>
  <c r="AH405" i="1"/>
  <c r="AI405" i="1" s="1"/>
  <c r="AH406" i="1"/>
  <c r="AI406" i="1" s="1"/>
  <c r="AH407" i="1"/>
  <c r="AI407" i="1" s="1"/>
  <c r="AH408" i="1"/>
  <c r="AI408" i="1" s="1"/>
  <c r="AH409" i="1"/>
  <c r="AI409" i="1" s="1"/>
  <c r="AH410" i="1"/>
  <c r="AI410" i="1" s="1"/>
  <c r="AH411" i="1"/>
  <c r="AI411" i="1" s="1"/>
  <c r="AH412" i="1"/>
  <c r="AI412" i="1" s="1"/>
  <c r="AH413" i="1"/>
  <c r="AI413" i="1" s="1"/>
  <c r="AH414" i="1"/>
  <c r="AI414" i="1" s="1"/>
  <c r="AH415" i="1"/>
  <c r="AI415" i="1" s="1"/>
  <c r="AH416" i="1"/>
  <c r="AI416" i="1" s="1"/>
  <c r="AH417" i="1"/>
  <c r="AI417" i="1" s="1"/>
  <c r="AH418" i="1"/>
  <c r="AI418" i="1" s="1"/>
  <c r="AH419" i="1"/>
  <c r="AI419" i="1" s="1"/>
  <c r="AH420" i="1"/>
  <c r="AI420" i="1" s="1"/>
  <c r="AH421" i="1"/>
  <c r="AI421" i="1" s="1"/>
  <c r="AH422" i="1"/>
  <c r="AI422" i="1" s="1"/>
  <c r="AH423" i="1"/>
  <c r="AI423" i="1" s="1"/>
  <c r="AH424" i="1"/>
  <c r="AI424" i="1" s="1"/>
  <c r="AH425" i="1"/>
  <c r="AI425" i="1" s="1"/>
  <c r="AH426" i="1"/>
  <c r="AI426" i="1" s="1"/>
  <c r="AH427" i="1"/>
  <c r="AI427" i="1" s="1"/>
  <c r="AH428" i="1"/>
  <c r="AI428" i="1" s="1"/>
  <c r="AH429" i="1"/>
  <c r="AI429" i="1" s="1"/>
  <c r="AH430" i="1"/>
  <c r="AI430" i="1" s="1"/>
  <c r="AH431" i="1"/>
  <c r="AI431" i="1" s="1"/>
  <c r="AH432" i="1"/>
  <c r="AI432" i="1" s="1"/>
  <c r="AH433" i="1"/>
  <c r="AI433" i="1" s="1"/>
  <c r="AH434" i="1"/>
  <c r="AI434" i="1" s="1"/>
  <c r="AH435" i="1"/>
  <c r="AI435" i="1" s="1"/>
  <c r="AH436" i="1"/>
  <c r="AI436" i="1" s="1"/>
  <c r="AH437" i="1"/>
  <c r="AI437" i="1" s="1"/>
  <c r="AH438" i="1"/>
  <c r="AI438" i="1" s="1"/>
  <c r="AH439" i="1"/>
  <c r="AI439" i="1" s="1"/>
  <c r="AH440" i="1"/>
  <c r="AI440" i="1" s="1"/>
  <c r="AH441" i="1"/>
  <c r="AI441" i="1" s="1"/>
  <c r="AH442" i="1"/>
  <c r="AI442" i="1" s="1"/>
  <c r="AH443" i="1"/>
  <c r="AI443" i="1" s="1"/>
  <c r="AH444" i="1"/>
  <c r="AI444" i="1" s="1"/>
  <c r="AH445" i="1"/>
  <c r="AI445" i="1" s="1"/>
  <c r="AH446" i="1"/>
  <c r="AI446" i="1" s="1"/>
  <c r="AH447" i="1"/>
  <c r="AI447" i="1" s="1"/>
  <c r="AH448" i="1"/>
  <c r="AI448" i="1" s="1"/>
  <c r="AH449" i="1"/>
  <c r="AI449" i="1" s="1"/>
  <c r="AH450" i="1"/>
  <c r="AI450" i="1" s="1"/>
  <c r="AH451" i="1"/>
  <c r="AI451" i="1" s="1"/>
  <c r="AH452" i="1"/>
  <c r="AI452" i="1" s="1"/>
  <c r="AH453" i="1"/>
  <c r="AI453" i="1" s="1"/>
  <c r="AH454" i="1"/>
  <c r="AI454" i="1" s="1"/>
  <c r="AH455" i="1"/>
  <c r="AI455" i="1" s="1"/>
  <c r="AH456" i="1"/>
  <c r="AI456" i="1" s="1"/>
  <c r="AH457" i="1"/>
  <c r="AI457" i="1" s="1"/>
  <c r="AH458" i="1"/>
  <c r="AI458" i="1" s="1"/>
  <c r="AH459" i="1"/>
  <c r="AI459" i="1" s="1"/>
  <c r="AH460" i="1"/>
  <c r="AI460" i="1" s="1"/>
  <c r="AH461" i="1"/>
  <c r="AI461" i="1" s="1"/>
  <c r="AH462" i="1"/>
  <c r="AI462" i="1" s="1"/>
  <c r="AH463" i="1"/>
  <c r="AI463" i="1" s="1"/>
  <c r="AH464" i="1"/>
  <c r="AI464" i="1" s="1"/>
  <c r="AH465" i="1"/>
  <c r="AI465" i="1" s="1"/>
  <c r="AH466" i="1"/>
  <c r="AI466" i="1" s="1"/>
  <c r="AH467" i="1"/>
  <c r="AI467" i="1" s="1"/>
  <c r="AH468" i="1"/>
  <c r="AI468" i="1" s="1"/>
  <c r="AH469" i="1"/>
  <c r="AI469" i="1" s="1"/>
  <c r="AH470" i="1"/>
  <c r="AI470" i="1" s="1"/>
  <c r="AH471" i="1"/>
  <c r="AI471" i="1" s="1"/>
  <c r="AH472" i="1"/>
  <c r="AI472" i="1" s="1"/>
  <c r="AH473" i="1"/>
  <c r="AI473" i="1" s="1"/>
  <c r="AH474" i="1"/>
  <c r="AI474" i="1" s="1"/>
  <c r="AH475" i="1"/>
  <c r="AI475" i="1" s="1"/>
  <c r="AH476" i="1"/>
  <c r="AI476" i="1" s="1"/>
  <c r="AH477" i="1"/>
  <c r="AI477" i="1" s="1"/>
  <c r="AH478" i="1"/>
  <c r="AI478" i="1" s="1"/>
  <c r="AH479" i="1"/>
  <c r="AI479" i="1" s="1"/>
  <c r="AH480" i="1"/>
  <c r="AI480" i="1" s="1"/>
  <c r="AH481" i="1"/>
  <c r="AI481" i="1" s="1"/>
  <c r="AH482" i="1"/>
  <c r="AI482" i="1" s="1"/>
  <c r="AH483" i="1"/>
  <c r="AI483" i="1" s="1"/>
  <c r="AH484" i="1"/>
  <c r="AI484" i="1" s="1"/>
  <c r="AH485" i="1"/>
  <c r="AI485" i="1" s="1"/>
  <c r="AH486" i="1"/>
  <c r="AI486" i="1" s="1"/>
  <c r="AH487" i="1"/>
  <c r="AI487" i="1" s="1"/>
  <c r="AH488" i="1"/>
  <c r="AI488" i="1" s="1"/>
  <c r="AH489" i="1"/>
  <c r="AI489" i="1" s="1"/>
  <c r="AH490" i="1"/>
  <c r="AI490" i="1" s="1"/>
  <c r="AH491" i="1"/>
  <c r="AI491" i="1" s="1"/>
  <c r="AH492" i="1"/>
  <c r="AI492" i="1" s="1"/>
  <c r="AH493" i="1"/>
  <c r="AI493" i="1" s="1"/>
  <c r="AH494" i="1"/>
  <c r="AI494" i="1" s="1"/>
  <c r="AH495" i="1"/>
  <c r="AI495" i="1" s="1"/>
  <c r="AH496" i="1"/>
  <c r="AI496" i="1" s="1"/>
  <c r="AH497" i="1"/>
  <c r="AI497" i="1" s="1"/>
  <c r="AH498" i="1"/>
  <c r="AI498" i="1" s="1"/>
  <c r="AH499" i="1"/>
  <c r="AI499" i="1" s="1"/>
  <c r="AH500" i="1"/>
  <c r="AI500" i="1" s="1"/>
  <c r="AH501" i="1"/>
  <c r="AI501" i="1" s="1"/>
  <c r="AH502" i="1"/>
  <c r="AI502" i="1" s="1"/>
  <c r="AH503" i="1"/>
  <c r="AI503" i="1" s="1"/>
  <c r="AH504" i="1"/>
  <c r="AI504" i="1" s="1"/>
  <c r="AH505" i="1"/>
  <c r="AI505" i="1" s="1"/>
  <c r="AH506" i="1"/>
  <c r="AI506" i="1" s="1"/>
  <c r="AH507" i="1"/>
  <c r="AI507" i="1" s="1"/>
  <c r="AH508" i="1"/>
  <c r="AI508" i="1" s="1"/>
  <c r="AH509" i="1"/>
  <c r="AI509" i="1" s="1"/>
  <c r="AH510" i="1"/>
  <c r="AI510" i="1" s="1"/>
  <c r="AH511" i="1"/>
  <c r="AI511" i="1" s="1"/>
  <c r="AH512" i="1"/>
  <c r="AI512" i="1" s="1"/>
  <c r="AH513" i="1"/>
  <c r="AI513" i="1" s="1"/>
  <c r="AH514" i="1"/>
  <c r="AI514" i="1" s="1"/>
  <c r="AH515" i="1"/>
  <c r="AI515" i="1" s="1"/>
  <c r="AH516" i="1"/>
  <c r="AI516" i="1" s="1"/>
  <c r="AH517" i="1"/>
  <c r="AI517" i="1" s="1"/>
  <c r="AH518" i="1"/>
  <c r="AI518" i="1" s="1"/>
  <c r="AH519" i="1"/>
  <c r="AI519" i="1" s="1"/>
  <c r="AH520" i="1"/>
  <c r="AI520" i="1" s="1"/>
  <c r="AH521" i="1"/>
  <c r="AI521" i="1" s="1"/>
  <c r="AH522" i="1"/>
  <c r="AI522" i="1" s="1"/>
  <c r="AH523" i="1"/>
  <c r="AI523" i="1" s="1"/>
  <c r="AH524" i="1"/>
  <c r="AI524" i="1" s="1"/>
  <c r="AH525" i="1"/>
  <c r="AI525" i="1" s="1"/>
  <c r="AH526" i="1"/>
  <c r="AI526" i="1" s="1"/>
  <c r="AH527" i="1"/>
  <c r="AI527" i="1" s="1"/>
  <c r="AH528" i="1"/>
  <c r="AI528" i="1" s="1"/>
  <c r="AH529" i="1"/>
  <c r="AI529" i="1" s="1"/>
  <c r="AH530" i="1"/>
  <c r="AI530" i="1" s="1"/>
  <c r="AH531" i="1"/>
  <c r="AI531" i="1" s="1"/>
  <c r="AH532" i="1"/>
  <c r="AI532" i="1" s="1"/>
  <c r="AH533" i="1"/>
  <c r="AI533" i="1" s="1"/>
  <c r="AH534" i="1"/>
  <c r="AI534" i="1" s="1"/>
  <c r="AH535" i="1"/>
  <c r="AI535" i="1" s="1"/>
  <c r="AH536" i="1"/>
  <c r="AI536" i="1" s="1"/>
  <c r="AH537" i="1"/>
  <c r="AI537" i="1" s="1"/>
  <c r="AH538" i="1"/>
  <c r="AI538" i="1" s="1"/>
  <c r="AH539" i="1"/>
  <c r="AI539" i="1" s="1"/>
  <c r="AH540" i="1"/>
  <c r="AI540" i="1" s="1"/>
  <c r="AH541" i="1"/>
  <c r="AI541" i="1" s="1"/>
  <c r="AH542" i="1"/>
  <c r="AI542" i="1" s="1"/>
  <c r="AH543" i="1"/>
  <c r="AI543" i="1" s="1"/>
  <c r="AH544" i="1"/>
  <c r="AI544" i="1" s="1"/>
  <c r="AH545" i="1"/>
  <c r="AI545" i="1" s="1"/>
  <c r="AH546" i="1"/>
  <c r="AI546" i="1" s="1"/>
  <c r="AH547" i="1"/>
  <c r="AI547" i="1" s="1"/>
  <c r="AH548" i="1"/>
  <c r="AI548" i="1" s="1"/>
  <c r="AH549" i="1"/>
  <c r="AI549" i="1" s="1"/>
  <c r="AH550" i="1"/>
  <c r="AI550" i="1" s="1"/>
  <c r="AH551" i="1"/>
  <c r="AI551" i="1" s="1"/>
  <c r="AH552" i="1"/>
  <c r="AI552" i="1" s="1"/>
  <c r="AH553" i="1"/>
  <c r="AI553" i="1" s="1"/>
  <c r="AH554" i="1"/>
  <c r="AI554" i="1" s="1"/>
  <c r="AH555" i="1"/>
  <c r="AI555" i="1" s="1"/>
  <c r="AH556" i="1"/>
  <c r="AI556" i="1" s="1"/>
  <c r="AH557" i="1"/>
  <c r="AI557" i="1" s="1"/>
  <c r="AH558" i="1"/>
  <c r="AI558" i="1" s="1"/>
  <c r="AH559" i="1"/>
  <c r="AI559" i="1" s="1"/>
  <c r="AH560" i="1"/>
  <c r="AI560" i="1" s="1"/>
  <c r="AH561" i="1"/>
  <c r="AI561" i="1" s="1"/>
  <c r="AH562" i="1"/>
  <c r="AI562" i="1" s="1"/>
  <c r="AH563" i="1"/>
  <c r="AI563" i="1" s="1"/>
  <c r="AH564" i="1"/>
  <c r="AI564" i="1" s="1"/>
  <c r="AH565" i="1"/>
  <c r="AI565" i="1" s="1"/>
  <c r="AH566" i="1"/>
  <c r="AI566" i="1" s="1"/>
  <c r="AH567" i="1"/>
  <c r="AI567" i="1" s="1"/>
  <c r="AH568" i="1"/>
  <c r="AI568" i="1" s="1"/>
  <c r="AH569" i="1"/>
  <c r="AI569" i="1" s="1"/>
  <c r="AH570" i="1"/>
  <c r="AI570" i="1" s="1"/>
  <c r="AH571" i="1"/>
  <c r="AI571" i="1" s="1"/>
  <c r="AH572" i="1"/>
  <c r="AI572" i="1" s="1"/>
  <c r="AH573" i="1"/>
  <c r="AI573" i="1" s="1"/>
  <c r="AH574" i="1"/>
  <c r="AI574" i="1" s="1"/>
  <c r="AH575" i="1"/>
  <c r="AI575" i="1" s="1"/>
  <c r="AH576" i="1"/>
  <c r="AI576" i="1" s="1"/>
  <c r="AH577" i="1"/>
  <c r="AI577" i="1" s="1"/>
  <c r="AH578" i="1"/>
  <c r="AI578" i="1" s="1"/>
  <c r="AH579" i="1"/>
  <c r="AI579" i="1" s="1"/>
  <c r="AH580" i="1"/>
  <c r="AI580" i="1" s="1"/>
  <c r="AH581" i="1"/>
  <c r="AI581" i="1" s="1"/>
  <c r="AH582" i="1"/>
  <c r="AI582" i="1" s="1"/>
  <c r="AH583" i="1"/>
  <c r="AI583" i="1" s="1"/>
  <c r="AH584" i="1"/>
  <c r="AI584" i="1" s="1"/>
  <c r="AH585" i="1"/>
  <c r="AI585" i="1" s="1"/>
  <c r="AH586" i="1"/>
  <c r="AI586" i="1" s="1"/>
  <c r="AH587" i="1"/>
  <c r="AI587" i="1" s="1"/>
  <c r="AH588" i="1"/>
  <c r="AI588" i="1" s="1"/>
  <c r="AH589" i="1"/>
  <c r="AI589" i="1" s="1"/>
  <c r="AH590" i="1"/>
  <c r="AI590" i="1" s="1"/>
  <c r="AH591" i="1"/>
  <c r="AI591" i="1" s="1"/>
  <c r="AH592" i="1"/>
  <c r="AI592" i="1" s="1"/>
  <c r="AH593" i="1"/>
  <c r="AI593" i="1" s="1"/>
  <c r="AH594" i="1"/>
  <c r="AI594" i="1" s="1"/>
  <c r="AH595" i="1"/>
  <c r="AI595" i="1" s="1"/>
  <c r="AH596" i="1"/>
  <c r="AI596" i="1" s="1"/>
  <c r="AH597" i="1"/>
  <c r="AI597" i="1" s="1"/>
  <c r="AH598" i="1"/>
  <c r="AI598" i="1" s="1"/>
  <c r="AH599" i="1"/>
  <c r="AI599" i="1" s="1"/>
  <c r="AH600" i="1"/>
  <c r="AI600" i="1" s="1"/>
  <c r="AH601" i="1"/>
  <c r="AI601" i="1" s="1"/>
  <c r="AH602" i="1"/>
  <c r="AI602" i="1" s="1"/>
  <c r="AH603" i="1"/>
  <c r="AI603" i="1" s="1"/>
  <c r="AH604" i="1"/>
  <c r="AI604" i="1" s="1"/>
  <c r="AH605" i="1"/>
  <c r="AI605" i="1" s="1"/>
  <c r="AH606" i="1"/>
  <c r="AI606" i="1" s="1"/>
  <c r="AH607" i="1"/>
  <c r="AI607" i="1" s="1"/>
  <c r="AH608" i="1"/>
  <c r="AI608" i="1" s="1"/>
  <c r="AH609" i="1"/>
  <c r="AI609" i="1" s="1"/>
  <c r="AH610" i="1"/>
  <c r="AI610" i="1" s="1"/>
  <c r="AH611" i="1"/>
  <c r="AI611" i="1" s="1"/>
  <c r="AH612" i="1"/>
  <c r="AI612" i="1" s="1"/>
  <c r="AH613" i="1"/>
  <c r="AI613" i="1" s="1"/>
  <c r="AH614" i="1"/>
  <c r="AI614" i="1" s="1"/>
  <c r="AH615" i="1"/>
  <c r="AI615" i="1" s="1"/>
  <c r="AH616" i="1"/>
  <c r="AI616" i="1" s="1"/>
  <c r="AH617" i="1"/>
  <c r="AI617" i="1" s="1"/>
  <c r="AH618" i="1"/>
  <c r="AI618" i="1" s="1"/>
  <c r="AH619" i="1"/>
  <c r="AI619" i="1" s="1"/>
  <c r="AH620" i="1"/>
  <c r="AI620" i="1" s="1"/>
  <c r="AH621" i="1"/>
  <c r="AI621" i="1" s="1"/>
  <c r="AH622" i="1"/>
  <c r="AI622" i="1" s="1"/>
  <c r="AH623" i="1"/>
  <c r="AI623" i="1" s="1"/>
  <c r="AH624" i="1"/>
  <c r="AI624" i="1" s="1"/>
  <c r="AH625" i="1"/>
  <c r="AI625" i="1" s="1"/>
  <c r="AH626" i="1"/>
  <c r="AI626" i="1" s="1"/>
  <c r="AH627" i="1"/>
  <c r="AI627" i="1" s="1"/>
  <c r="AH628" i="1"/>
  <c r="AI628" i="1" s="1"/>
  <c r="AH629" i="1"/>
  <c r="AI629" i="1" s="1"/>
  <c r="AH630" i="1"/>
  <c r="AI630" i="1" s="1"/>
  <c r="AH631" i="1"/>
  <c r="AI631" i="1" s="1"/>
  <c r="AH632" i="1"/>
  <c r="AI632" i="1" s="1"/>
  <c r="AH633" i="1"/>
  <c r="AI633" i="1" s="1"/>
  <c r="AH634" i="1"/>
  <c r="AI634" i="1" s="1"/>
  <c r="AH635" i="1"/>
  <c r="AI635" i="1" s="1"/>
  <c r="AH636" i="1"/>
  <c r="AI636" i="1" s="1"/>
  <c r="AH637" i="1"/>
  <c r="AI637" i="1" s="1"/>
  <c r="AH638" i="1"/>
  <c r="AI638" i="1" s="1"/>
  <c r="AH639" i="1"/>
  <c r="AI639" i="1" s="1"/>
  <c r="AH640" i="1"/>
  <c r="AI640" i="1" s="1"/>
  <c r="AH641" i="1"/>
  <c r="AI641" i="1" s="1"/>
  <c r="AH642" i="1"/>
  <c r="AI642" i="1" s="1"/>
  <c r="AH643" i="1"/>
  <c r="AI643" i="1" s="1"/>
  <c r="AH644" i="1"/>
  <c r="AI644" i="1" s="1"/>
  <c r="AH645" i="1"/>
  <c r="AI645" i="1" s="1"/>
  <c r="AH646" i="1"/>
  <c r="AI646" i="1" s="1"/>
  <c r="AH647" i="1"/>
  <c r="AI647" i="1" s="1"/>
  <c r="AH648" i="1"/>
  <c r="AI648" i="1" s="1"/>
  <c r="AH649" i="1"/>
  <c r="AI649" i="1" s="1"/>
  <c r="AH650" i="1"/>
  <c r="AI650" i="1" s="1"/>
  <c r="AH651" i="1"/>
  <c r="AI651" i="1" s="1"/>
  <c r="AH652" i="1"/>
  <c r="AI652" i="1" s="1"/>
  <c r="AH653" i="1"/>
  <c r="AI653" i="1" s="1"/>
  <c r="AH654" i="1"/>
  <c r="AI654" i="1" s="1"/>
  <c r="AH655" i="1"/>
  <c r="AI655" i="1" s="1"/>
  <c r="AH656" i="1"/>
  <c r="AI656" i="1" s="1"/>
  <c r="AH657" i="1"/>
  <c r="AI657" i="1" s="1"/>
  <c r="AH658" i="1"/>
  <c r="AI658" i="1" s="1"/>
  <c r="AH659" i="1"/>
  <c r="AI659" i="1" s="1"/>
  <c r="AH660" i="1"/>
  <c r="AI660" i="1" s="1"/>
  <c r="AH661" i="1"/>
  <c r="AI661" i="1" s="1"/>
  <c r="AH662" i="1"/>
  <c r="AI662" i="1" s="1"/>
  <c r="AH663" i="1"/>
  <c r="AI663" i="1" s="1"/>
  <c r="AH664" i="1"/>
  <c r="AI664" i="1" s="1"/>
  <c r="AH665" i="1"/>
  <c r="AI665" i="1" s="1"/>
  <c r="AH666" i="1"/>
  <c r="AI666" i="1" s="1"/>
  <c r="AH667" i="1"/>
  <c r="AI667" i="1" s="1"/>
  <c r="AH668" i="1"/>
  <c r="AI668" i="1" s="1"/>
  <c r="AH669" i="1"/>
  <c r="AI669" i="1" s="1"/>
  <c r="AH670" i="1"/>
  <c r="AI670" i="1" s="1"/>
  <c r="AH671" i="1"/>
  <c r="AI671" i="1" s="1"/>
  <c r="AH672" i="1"/>
  <c r="AI672" i="1" s="1"/>
  <c r="AH673" i="1"/>
  <c r="AI673" i="1" s="1"/>
  <c r="AH674" i="1"/>
  <c r="AI674" i="1" s="1"/>
  <c r="AH675" i="1"/>
  <c r="AI675" i="1" s="1"/>
  <c r="AH676" i="1"/>
  <c r="AI676" i="1" s="1"/>
  <c r="AH677" i="1"/>
  <c r="AI677" i="1" s="1"/>
  <c r="AH678" i="1"/>
  <c r="AI678" i="1" s="1"/>
  <c r="AH679" i="1"/>
  <c r="AI679" i="1" s="1"/>
  <c r="AH680" i="1"/>
  <c r="AI680" i="1" s="1"/>
  <c r="AH681" i="1"/>
  <c r="AI681" i="1" s="1"/>
  <c r="AH682" i="1"/>
  <c r="AI682" i="1" s="1"/>
  <c r="AH683" i="1"/>
  <c r="AI683" i="1" s="1"/>
  <c r="AH684" i="1"/>
  <c r="AI684" i="1" s="1"/>
  <c r="AH685" i="1"/>
  <c r="AI685" i="1" s="1"/>
  <c r="AH686" i="1"/>
  <c r="AI686" i="1" s="1"/>
  <c r="AH687" i="1"/>
  <c r="AI687" i="1" s="1"/>
  <c r="AH688" i="1"/>
  <c r="AI688" i="1" s="1"/>
  <c r="AH689" i="1"/>
  <c r="AI689" i="1" s="1"/>
  <c r="AH690" i="1"/>
  <c r="AI690" i="1" s="1"/>
  <c r="AH691" i="1"/>
  <c r="AI691" i="1" s="1"/>
  <c r="AH692" i="1"/>
  <c r="AI692" i="1" s="1"/>
  <c r="AH693" i="1"/>
  <c r="AI693" i="1" s="1"/>
  <c r="AH694" i="1"/>
  <c r="AI694" i="1" s="1"/>
  <c r="AH695" i="1"/>
  <c r="AI695" i="1" s="1"/>
  <c r="AH696" i="1"/>
  <c r="AI696" i="1" s="1"/>
  <c r="AH697" i="1"/>
  <c r="AI697" i="1" s="1"/>
  <c r="AH698" i="1"/>
  <c r="AI698" i="1" s="1"/>
  <c r="AH699" i="1"/>
  <c r="AI699" i="1" s="1"/>
  <c r="AH700" i="1"/>
  <c r="AI700" i="1" s="1"/>
  <c r="AH701" i="1"/>
  <c r="AI701" i="1" s="1"/>
  <c r="AH702" i="1"/>
  <c r="AI702" i="1" s="1"/>
  <c r="AH703" i="1"/>
  <c r="AI703" i="1" s="1"/>
  <c r="AH704" i="1"/>
  <c r="AI704" i="1" s="1"/>
  <c r="AH705" i="1"/>
  <c r="AI705" i="1" s="1"/>
  <c r="AH706" i="1"/>
  <c r="AI706" i="1" s="1"/>
  <c r="AH707" i="1"/>
  <c r="AI707" i="1" s="1"/>
  <c r="AH708" i="1"/>
  <c r="AI708" i="1" s="1"/>
  <c r="AH709" i="1"/>
  <c r="AI709" i="1" s="1"/>
  <c r="AH710" i="1"/>
  <c r="AI710" i="1" s="1"/>
  <c r="AH711" i="1"/>
  <c r="AI711" i="1" s="1"/>
  <c r="AH712" i="1"/>
  <c r="AI712" i="1" s="1"/>
  <c r="AH713" i="1"/>
  <c r="AI713" i="1" s="1"/>
  <c r="AH714" i="1"/>
  <c r="AI714" i="1" s="1"/>
  <c r="AH715" i="1"/>
  <c r="AI715" i="1" s="1"/>
  <c r="AH716" i="1"/>
  <c r="AI716" i="1" s="1"/>
  <c r="AH717" i="1"/>
  <c r="AI717" i="1" s="1"/>
  <c r="AH718" i="1"/>
  <c r="AI718" i="1" s="1"/>
  <c r="AH719" i="1"/>
  <c r="AI719" i="1" s="1"/>
  <c r="AH720" i="1"/>
  <c r="AI720" i="1" s="1"/>
  <c r="AH721" i="1"/>
  <c r="AI721" i="1" s="1"/>
  <c r="AH722" i="1"/>
  <c r="AI722" i="1" s="1"/>
  <c r="AH723" i="1"/>
  <c r="AI723" i="1" s="1"/>
  <c r="AH724" i="1"/>
  <c r="AI724" i="1" s="1"/>
  <c r="AH725" i="1"/>
  <c r="AI725" i="1" s="1"/>
  <c r="AH726" i="1"/>
  <c r="AI726" i="1" s="1"/>
  <c r="AH727" i="1"/>
  <c r="AI727" i="1" s="1"/>
  <c r="AH728" i="1"/>
  <c r="AI728" i="1" s="1"/>
  <c r="AH729" i="1"/>
  <c r="AI729" i="1" s="1"/>
  <c r="AH730" i="1"/>
  <c r="AI730" i="1" s="1"/>
  <c r="AH731" i="1"/>
  <c r="AI731" i="1" s="1"/>
  <c r="AH732" i="1"/>
  <c r="AI732" i="1" s="1"/>
  <c r="AH733" i="1"/>
  <c r="AI733" i="1" s="1"/>
  <c r="AH734" i="1"/>
  <c r="AI734" i="1" s="1"/>
  <c r="AH735" i="1"/>
  <c r="AI735" i="1" s="1"/>
  <c r="AH736" i="1"/>
  <c r="AI736" i="1" s="1"/>
  <c r="AH737" i="1"/>
  <c r="AI737" i="1" s="1"/>
  <c r="AH738" i="1"/>
  <c r="AI738" i="1" s="1"/>
  <c r="AH739" i="1"/>
  <c r="AI739" i="1" s="1"/>
  <c r="AH740" i="1"/>
  <c r="AI740" i="1" s="1"/>
  <c r="AH741" i="1"/>
  <c r="AI741" i="1" s="1"/>
  <c r="AH742" i="1"/>
  <c r="AI742" i="1" s="1"/>
  <c r="AH743" i="1"/>
  <c r="AI743" i="1" s="1"/>
  <c r="AH744" i="1"/>
  <c r="AI744" i="1" s="1"/>
  <c r="AH745" i="1"/>
  <c r="AI745" i="1" s="1"/>
  <c r="AH746" i="1"/>
  <c r="AI746" i="1" s="1"/>
  <c r="AH747" i="1"/>
  <c r="AI747" i="1" s="1"/>
  <c r="AH748" i="1"/>
  <c r="AI748" i="1" s="1"/>
  <c r="AH749" i="1"/>
  <c r="AI749" i="1" s="1"/>
  <c r="AH750" i="1"/>
  <c r="AI750" i="1" s="1"/>
  <c r="AH751" i="1"/>
  <c r="AI751" i="1" s="1"/>
  <c r="AH752" i="1"/>
  <c r="AI752" i="1" s="1"/>
  <c r="AH753" i="1"/>
  <c r="AI753" i="1" s="1"/>
  <c r="AH754" i="1"/>
  <c r="AI754" i="1" s="1"/>
  <c r="AH755" i="1"/>
  <c r="AI755" i="1" s="1"/>
  <c r="AH756" i="1"/>
  <c r="AI756" i="1" s="1"/>
  <c r="AH757" i="1"/>
  <c r="AI757" i="1" s="1"/>
  <c r="AH758" i="1"/>
  <c r="AI758" i="1" s="1"/>
  <c r="AH759" i="1"/>
  <c r="AI759" i="1" s="1"/>
  <c r="AH760" i="1"/>
  <c r="AI760" i="1" s="1"/>
  <c r="AH761" i="1"/>
  <c r="AI761" i="1" s="1"/>
  <c r="AH762" i="1"/>
  <c r="AI762" i="1" s="1"/>
  <c r="AH763" i="1"/>
  <c r="AI763" i="1" s="1"/>
  <c r="AH764" i="1"/>
  <c r="AI764" i="1" s="1"/>
  <c r="AH765" i="1"/>
  <c r="AI765" i="1" s="1"/>
  <c r="AH766" i="1"/>
  <c r="AI766" i="1" s="1"/>
  <c r="AH767" i="1"/>
  <c r="AI767" i="1" s="1"/>
  <c r="AH768" i="1"/>
  <c r="AI768" i="1" s="1"/>
  <c r="AH769" i="1"/>
  <c r="AI769" i="1" s="1"/>
  <c r="AH770" i="1"/>
  <c r="AI770" i="1" s="1"/>
  <c r="AH771" i="1"/>
  <c r="AI771" i="1" s="1"/>
  <c r="AH772" i="1"/>
  <c r="AI772" i="1" s="1"/>
  <c r="AH773" i="1"/>
  <c r="AI773" i="1" s="1"/>
  <c r="AH774" i="1"/>
  <c r="AI774" i="1" s="1"/>
  <c r="AH775" i="1"/>
  <c r="AI775" i="1" s="1"/>
  <c r="AH776" i="1"/>
  <c r="AI776" i="1" s="1"/>
  <c r="AH777" i="1"/>
  <c r="AI777" i="1" s="1"/>
  <c r="AH778" i="1"/>
  <c r="AI778" i="1" s="1"/>
  <c r="AH779" i="1"/>
  <c r="AI779" i="1" s="1"/>
  <c r="AH780" i="1"/>
  <c r="AI780" i="1" s="1"/>
  <c r="AH781" i="1"/>
  <c r="AI781" i="1" s="1"/>
  <c r="AH782" i="1"/>
  <c r="AI782" i="1" s="1"/>
  <c r="AH783" i="1"/>
  <c r="AI783" i="1" s="1"/>
  <c r="AH784" i="1"/>
  <c r="AI784" i="1" s="1"/>
  <c r="AH785" i="1"/>
  <c r="AI785" i="1" s="1"/>
  <c r="AH786" i="1"/>
  <c r="AI786" i="1" s="1"/>
  <c r="AH787" i="1"/>
  <c r="AI787" i="1" s="1"/>
  <c r="AH788" i="1"/>
  <c r="AI788" i="1" s="1"/>
  <c r="AH789" i="1"/>
  <c r="AI789" i="1" s="1"/>
  <c r="AH790" i="1"/>
  <c r="AI790" i="1" s="1"/>
  <c r="AH791" i="1"/>
  <c r="AI791" i="1" s="1"/>
  <c r="AH792" i="1"/>
  <c r="AI792" i="1" s="1"/>
  <c r="AH793" i="1"/>
  <c r="AI793" i="1" s="1"/>
  <c r="AH794" i="1"/>
  <c r="AI794" i="1" s="1"/>
  <c r="AH795" i="1"/>
  <c r="AI795" i="1" s="1"/>
  <c r="AH796" i="1"/>
  <c r="AI796" i="1" s="1"/>
  <c r="AH797" i="1"/>
  <c r="AI797" i="1" s="1"/>
  <c r="AH798" i="1"/>
  <c r="AI798" i="1" s="1"/>
  <c r="AH799" i="1"/>
  <c r="AI799" i="1" s="1"/>
  <c r="AH800" i="1"/>
  <c r="AI800" i="1" s="1"/>
  <c r="AH801" i="1"/>
  <c r="AI801" i="1" s="1"/>
  <c r="AH802" i="1"/>
  <c r="AI802" i="1" s="1"/>
  <c r="AH803" i="1"/>
  <c r="AI803" i="1" s="1"/>
  <c r="AH804" i="1"/>
  <c r="AI804" i="1" s="1"/>
  <c r="AH805" i="1"/>
  <c r="AI805" i="1" s="1"/>
  <c r="AH806" i="1"/>
  <c r="AI806" i="1" s="1"/>
  <c r="AH807" i="1"/>
  <c r="AI807" i="1" s="1"/>
  <c r="AH808" i="1"/>
  <c r="AI808" i="1" s="1"/>
  <c r="AH809" i="1"/>
  <c r="AI809" i="1" s="1"/>
  <c r="AH810" i="1"/>
  <c r="AI810" i="1" s="1"/>
  <c r="AH811" i="1"/>
  <c r="AI811" i="1" s="1"/>
  <c r="AH812" i="1"/>
  <c r="AI812" i="1" s="1"/>
  <c r="AH813" i="1"/>
  <c r="AI813" i="1" s="1"/>
  <c r="AH814" i="1"/>
  <c r="AI814" i="1" s="1"/>
  <c r="AH815" i="1"/>
  <c r="AI815" i="1" s="1"/>
  <c r="AH816" i="1"/>
  <c r="AI816" i="1" s="1"/>
  <c r="AH817" i="1"/>
  <c r="AI817" i="1" s="1"/>
  <c r="AH818" i="1"/>
  <c r="AI818" i="1" s="1"/>
  <c r="AH819" i="1"/>
  <c r="AI819" i="1" s="1"/>
  <c r="AH820" i="1"/>
  <c r="AI820" i="1" s="1"/>
  <c r="AH821" i="1"/>
  <c r="AI821" i="1" s="1"/>
  <c r="AH822" i="1"/>
  <c r="AI822" i="1" s="1"/>
  <c r="AH823" i="1"/>
  <c r="AI823" i="1" s="1"/>
  <c r="AH824" i="1"/>
  <c r="AI824" i="1" s="1"/>
  <c r="AH825" i="1"/>
  <c r="AI825" i="1" s="1"/>
  <c r="AH826" i="1"/>
  <c r="AI826" i="1" s="1"/>
  <c r="AH827" i="1"/>
  <c r="AI827" i="1" s="1"/>
  <c r="AH828" i="1"/>
  <c r="AI828" i="1" s="1"/>
  <c r="AH829" i="1"/>
  <c r="AI829" i="1" s="1"/>
  <c r="AH830" i="1"/>
  <c r="AI830" i="1" s="1"/>
  <c r="AH831" i="1"/>
  <c r="AI831" i="1" s="1"/>
  <c r="AH832" i="1"/>
  <c r="AI832" i="1" s="1"/>
  <c r="AH833" i="1"/>
  <c r="AI833" i="1" s="1"/>
  <c r="AH834" i="1"/>
  <c r="AI834" i="1" s="1"/>
  <c r="AH835" i="1"/>
  <c r="AI835" i="1" s="1"/>
  <c r="AH836" i="1"/>
  <c r="AI836" i="1" s="1"/>
  <c r="AH837" i="1"/>
  <c r="AI837" i="1" s="1"/>
  <c r="AH838" i="1"/>
  <c r="AI838" i="1" s="1"/>
  <c r="AH839" i="1"/>
  <c r="AI839" i="1" s="1"/>
  <c r="AH840" i="1"/>
  <c r="AI840" i="1" s="1"/>
  <c r="AH841" i="1"/>
  <c r="AI841" i="1" s="1"/>
  <c r="AH842" i="1"/>
  <c r="AI842" i="1" s="1"/>
  <c r="AH843" i="1"/>
  <c r="AI843" i="1" s="1"/>
  <c r="AH844" i="1"/>
  <c r="AI844" i="1" s="1"/>
  <c r="AH845" i="1"/>
  <c r="AI845" i="1" s="1"/>
  <c r="AH846" i="1"/>
  <c r="AI846" i="1" s="1"/>
  <c r="AH847" i="1"/>
  <c r="AI847" i="1" s="1"/>
  <c r="AH848" i="1"/>
  <c r="AI848" i="1" s="1"/>
  <c r="AH849" i="1"/>
  <c r="AI849" i="1" s="1"/>
  <c r="AH850" i="1"/>
  <c r="AI850" i="1" s="1"/>
  <c r="AH851" i="1"/>
  <c r="AI851" i="1" s="1"/>
  <c r="AH852" i="1"/>
  <c r="AI852" i="1" s="1"/>
  <c r="AH853" i="1"/>
  <c r="AI853" i="1" s="1"/>
  <c r="AH854" i="1"/>
  <c r="AI854" i="1" s="1"/>
  <c r="AH855" i="1"/>
  <c r="AI855" i="1" s="1"/>
  <c r="AH856" i="1"/>
  <c r="AI856" i="1" s="1"/>
  <c r="AH857" i="1"/>
  <c r="AI857" i="1" s="1"/>
  <c r="AH858" i="1"/>
  <c r="AI858" i="1" s="1"/>
  <c r="AH859" i="1"/>
  <c r="AI859" i="1" s="1"/>
  <c r="AH860" i="1"/>
  <c r="AI860" i="1" s="1"/>
  <c r="AH861" i="1"/>
  <c r="AI861" i="1" s="1"/>
  <c r="AH862" i="1"/>
  <c r="AI862" i="1" s="1"/>
  <c r="AH863" i="1"/>
  <c r="AI863" i="1" s="1"/>
  <c r="AH864" i="1"/>
  <c r="AI864" i="1" s="1"/>
  <c r="AH865" i="1"/>
  <c r="AI865" i="1" s="1"/>
  <c r="AH866" i="1"/>
  <c r="AI866" i="1" s="1"/>
  <c r="AH867" i="1"/>
  <c r="AI867" i="1" s="1"/>
  <c r="AH868" i="1"/>
  <c r="AI868" i="1" s="1"/>
  <c r="AH869" i="1"/>
  <c r="AI869" i="1" s="1"/>
  <c r="AH870" i="1"/>
  <c r="AI870" i="1" s="1"/>
  <c r="AH871" i="1"/>
  <c r="AI871" i="1" s="1"/>
  <c r="AH872" i="1"/>
  <c r="AI872" i="1" s="1"/>
  <c r="AH873" i="1"/>
  <c r="AI873" i="1" s="1"/>
  <c r="AH874" i="1"/>
  <c r="AI874" i="1" s="1"/>
  <c r="AH875" i="1"/>
  <c r="AI875" i="1" s="1"/>
  <c r="AH876" i="1"/>
  <c r="AI876" i="1" s="1"/>
  <c r="AH877" i="1"/>
  <c r="AI877" i="1" s="1"/>
  <c r="AH878" i="1"/>
  <c r="AI878" i="1" s="1"/>
  <c r="AH879" i="1"/>
  <c r="AI879" i="1" s="1"/>
  <c r="AH880" i="1"/>
  <c r="AI880" i="1" s="1"/>
  <c r="AH881" i="1"/>
  <c r="AI881" i="1" s="1"/>
  <c r="AH882" i="1"/>
  <c r="AI882" i="1" s="1"/>
  <c r="AH883" i="1"/>
  <c r="AI883" i="1" s="1"/>
  <c r="AH884" i="1"/>
  <c r="AI884" i="1" s="1"/>
  <c r="AH885" i="1"/>
  <c r="AI885" i="1" s="1"/>
  <c r="AH886" i="1"/>
  <c r="AI886" i="1" s="1"/>
  <c r="AH887" i="1"/>
  <c r="AI887" i="1" s="1"/>
  <c r="AH888" i="1"/>
  <c r="AI888" i="1" s="1"/>
  <c r="AH889" i="1"/>
  <c r="AI889" i="1" s="1"/>
  <c r="AH890" i="1"/>
  <c r="AI890" i="1" s="1"/>
  <c r="AH891" i="1"/>
  <c r="AI891" i="1" s="1"/>
  <c r="AH892" i="1"/>
  <c r="AI892" i="1" s="1"/>
  <c r="AH893" i="1"/>
  <c r="AI893" i="1" s="1"/>
  <c r="AH894" i="1"/>
  <c r="AI894" i="1" s="1"/>
  <c r="AH895" i="1"/>
  <c r="AI895" i="1" s="1"/>
  <c r="AH896" i="1"/>
  <c r="AI896" i="1" s="1"/>
  <c r="AH897" i="1"/>
  <c r="AI897" i="1" s="1"/>
  <c r="AH898" i="1"/>
  <c r="AI898" i="1" s="1"/>
  <c r="AH899" i="1"/>
  <c r="AI899" i="1" s="1"/>
  <c r="AH900" i="1"/>
  <c r="AI900" i="1" s="1"/>
  <c r="AH901" i="1"/>
  <c r="AI901" i="1" s="1"/>
  <c r="AH902" i="1"/>
  <c r="AI902" i="1" s="1"/>
  <c r="AH903" i="1"/>
  <c r="AI903" i="1" s="1"/>
  <c r="AH904" i="1"/>
  <c r="AI904" i="1" s="1"/>
  <c r="AH905" i="1"/>
  <c r="AI905" i="1" s="1"/>
  <c r="AH906" i="1"/>
  <c r="AI906" i="1" s="1"/>
  <c r="AH907" i="1"/>
  <c r="AI907" i="1" s="1"/>
  <c r="AH908" i="1"/>
  <c r="AI908" i="1" s="1"/>
  <c r="AH909" i="1"/>
  <c r="AI909" i="1" s="1"/>
  <c r="AH910" i="1"/>
  <c r="AI910" i="1" s="1"/>
  <c r="AH911" i="1"/>
  <c r="AI911" i="1" s="1"/>
  <c r="AH912" i="1"/>
  <c r="AI912" i="1" s="1"/>
  <c r="AH913" i="1"/>
  <c r="AI913" i="1" s="1"/>
  <c r="AH914" i="1"/>
  <c r="AI914" i="1" s="1"/>
  <c r="AH915" i="1"/>
  <c r="AI915" i="1" s="1"/>
  <c r="AH916" i="1"/>
  <c r="AI916" i="1" s="1"/>
  <c r="AH917" i="1"/>
  <c r="AI917" i="1" s="1"/>
  <c r="AH918" i="1"/>
  <c r="AI918" i="1" s="1"/>
  <c r="AH919" i="1"/>
  <c r="AI919" i="1" s="1"/>
  <c r="AH920" i="1"/>
  <c r="AI920" i="1" s="1"/>
  <c r="AH921" i="1"/>
  <c r="AI921" i="1" s="1"/>
  <c r="AH922" i="1"/>
  <c r="AI922" i="1" s="1"/>
  <c r="AH923" i="1"/>
  <c r="AI923" i="1" s="1"/>
  <c r="AH924" i="1"/>
  <c r="AI924" i="1" s="1"/>
  <c r="AH925" i="1"/>
  <c r="AI925" i="1" s="1"/>
  <c r="AH926" i="1"/>
  <c r="AI926" i="1" s="1"/>
  <c r="AH927" i="1"/>
  <c r="AI927" i="1" s="1"/>
  <c r="AH928" i="1"/>
  <c r="AI928" i="1" s="1"/>
  <c r="AH929" i="1"/>
  <c r="AI929" i="1" s="1"/>
  <c r="AH930" i="1"/>
  <c r="AI930" i="1" s="1"/>
  <c r="AH931" i="1"/>
  <c r="AI931" i="1" s="1"/>
  <c r="AH932" i="1"/>
  <c r="AI932" i="1" s="1"/>
  <c r="AH933" i="1"/>
  <c r="AI933" i="1" s="1"/>
  <c r="AH934" i="1"/>
  <c r="AI934" i="1" s="1"/>
  <c r="AH935" i="1"/>
  <c r="AI935" i="1" s="1"/>
  <c r="AH936" i="1"/>
  <c r="AI936" i="1" s="1"/>
  <c r="AH937" i="1"/>
  <c r="AI937" i="1" s="1"/>
  <c r="AH938" i="1"/>
  <c r="AI938" i="1" s="1"/>
  <c r="AH939" i="1"/>
  <c r="AI939" i="1" s="1"/>
  <c r="AH940" i="1"/>
  <c r="AI940" i="1" s="1"/>
  <c r="AH941" i="1"/>
  <c r="AI941" i="1" s="1"/>
  <c r="AH942" i="1"/>
  <c r="AI942" i="1" s="1"/>
  <c r="AH943" i="1"/>
  <c r="AI943" i="1" s="1"/>
  <c r="AH944" i="1"/>
  <c r="AI944" i="1" s="1"/>
  <c r="AH945" i="1"/>
  <c r="AI945" i="1" s="1"/>
  <c r="AH946" i="1"/>
  <c r="AI946" i="1" s="1"/>
  <c r="AH947" i="1"/>
  <c r="AI947" i="1" s="1"/>
  <c r="AH948" i="1"/>
  <c r="AI948" i="1" s="1"/>
  <c r="AH949" i="1"/>
  <c r="AI949" i="1" s="1"/>
  <c r="AH950" i="1"/>
  <c r="AI950" i="1" s="1"/>
  <c r="AH951" i="1"/>
  <c r="AI951" i="1" s="1"/>
  <c r="AH952" i="1"/>
  <c r="AI952" i="1" s="1"/>
  <c r="AH953" i="1"/>
  <c r="AI953" i="1" s="1"/>
  <c r="AH954" i="1"/>
  <c r="AI954" i="1" s="1"/>
  <c r="AH955" i="1"/>
  <c r="AI955" i="1" s="1"/>
  <c r="AH956" i="1"/>
  <c r="AI956" i="1" s="1"/>
  <c r="AH957" i="1"/>
  <c r="AI957" i="1" s="1"/>
  <c r="AH958" i="1"/>
  <c r="AI958" i="1" s="1"/>
  <c r="AH959" i="1"/>
  <c r="AI959" i="1" s="1"/>
  <c r="AH960" i="1"/>
  <c r="AI960" i="1" s="1"/>
  <c r="AH961" i="1"/>
  <c r="AI961" i="1" s="1"/>
  <c r="AH962" i="1"/>
  <c r="AI962" i="1" s="1"/>
  <c r="AH963" i="1"/>
  <c r="AI963" i="1" s="1"/>
  <c r="AH964" i="1"/>
  <c r="AI964" i="1" s="1"/>
  <c r="AH965" i="1"/>
  <c r="AI965" i="1" s="1"/>
  <c r="AH966" i="1"/>
  <c r="AI966" i="1" s="1"/>
  <c r="AH967" i="1"/>
  <c r="AI967" i="1" s="1"/>
  <c r="AH968" i="1"/>
  <c r="AI968" i="1" s="1"/>
  <c r="AH969" i="1"/>
  <c r="AI969" i="1" s="1"/>
  <c r="AH970" i="1"/>
  <c r="AI970" i="1" s="1"/>
  <c r="AH971" i="1"/>
  <c r="AI971" i="1" s="1"/>
  <c r="AH972" i="1"/>
  <c r="AI972" i="1" s="1"/>
  <c r="AH973" i="1"/>
  <c r="AI973" i="1" s="1"/>
  <c r="AH974" i="1"/>
  <c r="AI974" i="1" s="1"/>
  <c r="AH975" i="1"/>
  <c r="AI975" i="1" s="1"/>
  <c r="AH976" i="1"/>
  <c r="AI976" i="1" s="1"/>
  <c r="AH977" i="1"/>
  <c r="AI977" i="1" s="1"/>
  <c r="AH978" i="1"/>
  <c r="AI978" i="1" s="1"/>
  <c r="AH979" i="1"/>
  <c r="AI979" i="1" s="1"/>
  <c r="AH980" i="1"/>
  <c r="AI980" i="1" s="1"/>
  <c r="AH981" i="1"/>
  <c r="AI981" i="1" s="1"/>
  <c r="AH982" i="1"/>
  <c r="AI982" i="1" s="1"/>
  <c r="AH983" i="1"/>
  <c r="AI983" i="1" s="1"/>
  <c r="AH984" i="1"/>
  <c r="AI984" i="1" s="1"/>
  <c r="AH985" i="1"/>
  <c r="AI985" i="1" s="1"/>
  <c r="AH986" i="1"/>
  <c r="AI986" i="1" s="1"/>
  <c r="AH987" i="1"/>
  <c r="AI987" i="1" s="1"/>
  <c r="AH988" i="1"/>
  <c r="AI988" i="1" s="1"/>
  <c r="AH989" i="1"/>
  <c r="AI989" i="1" s="1"/>
  <c r="AH990" i="1"/>
  <c r="AI990" i="1" s="1"/>
  <c r="AH991" i="1"/>
  <c r="AI991" i="1" s="1"/>
  <c r="AH992" i="1"/>
  <c r="AI992" i="1" s="1"/>
  <c r="AH993" i="1"/>
  <c r="AI993" i="1" s="1"/>
  <c r="AH994" i="1"/>
  <c r="AI994" i="1" s="1"/>
  <c r="AH995" i="1"/>
  <c r="AI995" i="1" s="1"/>
  <c r="AH996" i="1"/>
  <c r="AI996" i="1" s="1"/>
  <c r="AH997" i="1"/>
  <c r="AI997" i="1" s="1"/>
  <c r="AH998" i="1"/>
  <c r="AI998" i="1" s="1"/>
  <c r="AH999" i="1"/>
  <c r="AI999" i="1" s="1"/>
  <c r="AH1000" i="1"/>
  <c r="AI1000" i="1" s="1"/>
  <c r="AH1001" i="1"/>
  <c r="AI1001" i="1" s="1"/>
  <c r="AH1002" i="1"/>
  <c r="AI1002" i="1" s="1"/>
  <c r="AH1003" i="1"/>
  <c r="AI1003" i="1" s="1"/>
  <c r="AH1004" i="1"/>
  <c r="AI1004" i="1" s="1"/>
  <c r="AH1005" i="1"/>
  <c r="AI1005" i="1" s="1"/>
  <c r="AH1006" i="1"/>
  <c r="AI1006" i="1" s="1"/>
  <c r="AH1007" i="1"/>
  <c r="AI1007" i="1" s="1"/>
  <c r="AH1008" i="1"/>
  <c r="AI1008" i="1" s="1"/>
  <c r="AH1009" i="1"/>
  <c r="AI1009" i="1" s="1"/>
  <c r="AH1010" i="1"/>
  <c r="AI1010" i="1" s="1"/>
  <c r="AH1011" i="1"/>
  <c r="AI1011" i="1" s="1"/>
  <c r="AH1012" i="1"/>
  <c r="AI1012" i="1" s="1"/>
  <c r="AH1013" i="1"/>
  <c r="AI1013" i="1" s="1"/>
  <c r="AH1014" i="1"/>
  <c r="AI1014" i="1" s="1"/>
  <c r="AH1015" i="1"/>
  <c r="AI1015" i="1" s="1"/>
  <c r="AH1016" i="1"/>
  <c r="AI1016" i="1" s="1"/>
  <c r="AH1017" i="1"/>
  <c r="AI1017" i="1" s="1"/>
  <c r="AH1018" i="1"/>
  <c r="AI1018" i="1" s="1"/>
  <c r="AH1019" i="1"/>
  <c r="AI1019" i="1" s="1"/>
  <c r="AH1020" i="1"/>
  <c r="AI1020" i="1" s="1"/>
  <c r="AH1021" i="1"/>
  <c r="AI1021" i="1" s="1"/>
  <c r="AH1022" i="1"/>
  <c r="AI1022" i="1" s="1"/>
  <c r="AH1023" i="1"/>
  <c r="AI1023" i="1" s="1"/>
  <c r="AH1024" i="1"/>
  <c r="AI1024" i="1" s="1"/>
  <c r="AH1025" i="1"/>
  <c r="AI1025" i="1" s="1"/>
  <c r="AH1026" i="1"/>
  <c r="AI1026" i="1" s="1"/>
  <c r="AH1027" i="1"/>
  <c r="AI1027" i="1" s="1"/>
  <c r="AH1028" i="1"/>
  <c r="AI1028" i="1" s="1"/>
  <c r="AH1029" i="1"/>
  <c r="AI1029" i="1" s="1"/>
  <c r="AH1030" i="1"/>
  <c r="AI1030" i="1" s="1"/>
  <c r="AH1031" i="1"/>
  <c r="AI1031" i="1" s="1"/>
  <c r="AH1032" i="1"/>
  <c r="AI1032" i="1" s="1"/>
  <c r="AH1033" i="1"/>
  <c r="AI1033" i="1" s="1"/>
  <c r="AH1034" i="1"/>
  <c r="AI1034" i="1" s="1"/>
  <c r="AH1035" i="1"/>
  <c r="AI1035" i="1" s="1"/>
  <c r="AH1036" i="1"/>
  <c r="AI1036" i="1" s="1"/>
  <c r="AH1037" i="1"/>
  <c r="AI1037" i="1" s="1"/>
  <c r="AH1038" i="1"/>
  <c r="AI1038" i="1" s="1"/>
  <c r="AH1039" i="1"/>
  <c r="AI1039" i="1" s="1"/>
  <c r="AH1040" i="1"/>
  <c r="AI1040" i="1" s="1"/>
  <c r="AH1041" i="1"/>
  <c r="AI1041" i="1" s="1"/>
  <c r="AH1042" i="1"/>
  <c r="AI1042" i="1" s="1"/>
  <c r="AH1043" i="1"/>
  <c r="AI1043" i="1" s="1"/>
  <c r="AH1044" i="1"/>
  <c r="AI1044" i="1" s="1"/>
  <c r="AH1045" i="1"/>
  <c r="AI1045" i="1" s="1"/>
  <c r="AH1046" i="1"/>
  <c r="AI1046" i="1" s="1"/>
  <c r="AH1047" i="1"/>
  <c r="AI1047" i="1" s="1"/>
  <c r="AH1048" i="1"/>
  <c r="AI1048" i="1" s="1"/>
  <c r="AH1049" i="1"/>
  <c r="AI1049" i="1" s="1"/>
  <c r="AH1050" i="1"/>
  <c r="AI1050" i="1" s="1"/>
  <c r="AH1051" i="1"/>
  <c r="AI1051" i="1" s="1"/>
  <c r="AH1052" i="1"/>
  <c r="AI1052" i="1" s="1"/>
  <c r="AH1053" i="1"/>
  <c r="AI1053" i="1" s="1"/>
  <c r="AH1054" i="1"/>
  <c r="AI1054" i="1" s="1"/>
  <c r="AH1055" i="1"/>
  <c r="AI1055" i="1" s="1"/>
  <c r="AH1056" i="1"/>
  <c r="AI1056" i="1" s="1"/>
  <c r="AH1057" i="1"/>
  <c r="AI1057" i="1" s="1"/>
  <c r="AH1058" i="1"/>
  <c r="AI1058" i="1" s="1"/>
  <c r="AH1059" i="1"/>
  <c r="AI1059" i="1" s="1"/>
  <c r="AH1060" i="1"/>
  <c r="AI1060" i="1" s="1"/>
  <c r="AH1061" i="1"/>
  <c r="AI1061" i="1" s="1"/>
  <c r="AH1062" i="1"/>
  <c r="AI1062" i="1" s="1"/>
  <c r="AH1063" i="1"/>
  <c r="AI1063" i="1" s="1"/>
  <c r="AH1064" i="1"/>
  <c r="AI1064" i="1" s="1"/>
  <c r="AH1065" i="1"/>
  <c r="AI1065" i="1" s="1"/>
  <c r="AH1066" i="1"/>
  <c r="AI1066" i="1" s="1"/>
  <c r="AH1067" i="1"/>
  <c r="AI1067" i="1" s="1"/>
  <c r="AH1068" i="1"/>
  <c r="AI1068" i="1" s="1"/>
  <c r="AH1069" i="1"/>
  <c r="AI1069" i="1" s="1"/>
  <c r="AH1070" i="1"/>
  <c r="AI1070" i="1" s="1"/>
  <c r="AH1071" i="1"/>
  <c r="AI1071" i="1" s="1"/>
  <c r="AH1072" i="1"/>
  <c r="AI1072" i="1" s="1"/>
  <c r="AH1073" i="1"/>
  <c r="AI1073" i="1" s="1"/>
  <c r="AH1074" i="1"/>
  <c r="AI1074" i="1" s="1"/>
  <c r="AH1075" i="1"/>
  <c r="AI1075" i="1" s="1"/>
  <c r="AH1076" i="1"/>
  <c r="AI1076" i="1" s="1"/>
  <c r="AH1077" i="1"/>
  <c r="AI1077" i="1" s="1"/>
  <c r="AH1078" i="1"/>
  <c r="AI1078" i="1" s="1"/>
  <c r="AH1079" i="1"/>
  <c r="AI1079" i="1" s="1"/>
  <c r="AH1080" i="1"/>
  <c r="AI1080" i="1" s="1"/>
  <c r="AH1081" i="1"/>
  <c r="AI1081" i="1" s="1"/>
  <c r="AH1082" i="1"/>
  <c r="AI1082" i="1" s="1"/>
  <c r="AH1083" i="1"/>
  <c r="AI1083" i="1" s="1"/>
  <c r="AH1084" i="1"/>
  <c r="AI1084" i="1" s="1"/>
  <c r="AH1085" i="1"/>
  <c r="AI1085" i="1" s="1"/>
  <c r="AH1086" i="1"/>
  <c r="AI1086" i="1" s="1"/>
  <c r="AH1087" i="1"/>
  <c r="AI1087" i="1" s="1"/>
  <c r="AH1088" i="1"/>
  <c r="AI1088" i="1" s="1"/>
  <c r="AH1089" i="1"/>
  <c r="AI1089" i="1" s="1"/>
  <c r="AH1090" i="1"/>
  <c r="AI1090" i="1" s="1"/>
  <c r="AH1091" i="1"/>
  <c r="AI1091" i="1" s="1"/>
  <c r="AH1092" i="1"/>
  <c r="AI1092" i="1" s="1"/>
  <c r="AH1093" i="1"/>
  <c r="AI1093" i="1" s="1"/>
  <c r="AH1094" i="1"/>
  <c r="AI1094" i="1" s="1"/>
  <c r="AH1095" i="1"/>
  <c r="AI1095" i="1" s="1"/>
  <c r="AH1096" i="1"/>
  <c r="AI1096" i="1" s="1"/>
  <c r="AH1097" i="1"/>
  <c r="AI1097" i="1" s="1"/>
  <c r="AH1098" i="1"/>
  <c r="AI1098" i="1" s="1"/>
  <c r="AH1099" i="1"/>
  <c r="AI1099" i="1" s="1"/>
  <c r="AH1100" i="1"/>
  <c r="AI1100" i="1" s="1"/>
  <c r="AH1101" i="1"/>
  <c r="AI1101" i="1" s="1"/>
  <c r="AH1102" i="1"/>
  <c r="AI1102" i="1" s="1"/>
  <c r="AH1103" i="1"/>
  <c r="AI1103" i="1" s="1"/>
  <c r="AH1104" i="1"/>
  <c r="AI1104" i="1" s="1"/>
  <c r="AH1105" i="1"/>
  <c r="AI1105" i="1" s="1"/>
  <c r="AH1106" i="1"/>
  <c r="AI1106" i="1" s="1"/>
  <c r="AH1107" i="1"/>
  <c r="AI1107" i="1" s="1"/>
  <c r="AH1108" i="1"/>
  <c r="AI1108" i="1" s="1"/>
  <c r="AH1109" i="1"/>
  <c r="AI1109" i="1" s="1"/>
  <c r="AH1110" i="1"/>
  <c r="AI1110" i="1" s="1"/>
  <c r="AH1111" i="1"/>
  <c r="AI1111" i="1" s="1"/>
  <c r="AH1112" i="1"/>
  <c r="AI1112" i="1" s="1"/>
  <c r="AH1113" i="1"/>
  <c r="AI1113" i="1" s="1"/>
  <c r="AH1114" i="1"/>
  <c r="AI1114" i="1" s="1"/>
  <c r="AH1115" i="1"/>
  <c r="AI1115" i="1" s="1"/>
  <c r="AH1116" i="1"/>
  <c r="AI1116" i="1" s="1"/>
  <c r="AH1117" i="1"/>
  <c r="AI1117" i="1" s="1"/>
  <c r="AH1118" i="1"/>
  <c r="AI1118" i="1" s="1"/>
  <c r="AH1119" i="1"/>
  <c r="AI1119" i="1" s="1"/>
  <c r="AH1120" i="1"/>
  <c r="AI1120" i="1" s="1"/>
  <c r="AH1121" i="1"/>
  <c r="AI1121" i="1" s="1"/>
  <c r="AH1122" i="1"/>
  <c r="AI1122" i="1" s="1"/>
  <c r="AH1123" i="1"/>
  <c r="AI1123" i="1" s="1"/>
  <c r="AH1124" i="1"/>
  <c r="AI1124" i="1" s="1"/>
  <c r="AH1125" i="1"/>
  <c r="AI1125" i="1" s="1"/>
  <c r="AH1126" i="1"/>
  <c r="AI1126" i="1" s="1"/>
  <c r="AH1127" i="1"/>
  <c r="AI1127" i="1" s="1"/>
  <c r="AH1128" i="1"/>
  <c r="AI1128" i="1" s="1"/>
  <c r="AH1129" i="1"/>
  <c r="AI1129" i="1" s="1"/>
  <c r="AH1130" i="1"/>
  <c r="AI1130" i="1" s="1"/>
  <c r="AH1131" i="1"/>
  <c r="AI1131" i="1" s="1"/>
  <c r="AH1132" i="1"/>
  <c r="AI1132" i="1" s="1"/>
  <c r="AH1133" i="1"/>
  <c r="AI1133" i="1" s="1"/>
  <c r="AH1134" i="1"/>
  <c r="AI1134" i="1" s="1"/>
  <c r="AH1135" i="1"/>
  <c r="AI1135" i="1" s="1"/>
  <c r="AH1136" i="1"/>
  <c r="AI1136" i="1" s="1"/>
  <c r="AH1137" i="1"/>
  <c r="AI1137" i="1" s="1"/>
  <c r="AH1138" i="1"/>
  <c r="AI1138" i="1" s="1"/>
  <c r="AH1139" i="1"/>
  <c r="AI1139" i="1" s="1"/>
  <c r="AH1140" i="1"/>
  <c r="AI1140" i="1" s="1"/>
  <c r="AH1141" i="1"/>
  <c r="AI1141" i="1" s="1"/>
  <c r="AH1142" i="1"/>
  <c r="AI1142" i="1" s="1"/>
  <c r="AH1143" i="1"/>
  <c r="AI1143" i="1" s="1"/>
  <c r="AH1144" i="1"/>
  <c r="AI1144" i="1" s="1"/>
  <c r="AH1145" i="1"/>
  <c r="AI1145" i="1" s="1"/>
  <c r="AH1146" i="1"/>
  <c r="AI1146" i="1" s="1"/>
  <c r="AH1147" i="1"/>
  <c r="AI1147" i="1" s="1"/>
  <c r="AH1148" i="1"/>
  <c r="AI1148" i="1" s="1"/>
  <c r="AH1149" i="1"/>
  <c r="AI1149" i="1" s="1"/>
  <c r="AH1150" i="1"/>
  <c r="AI1150" i="1" s="1"/>
  <c r="AH1151" i="1"/>
  <c r="AI1151" i="1" s="1"/>
  <c r="AH1152" i="1"/>
  <c r="AI1152" i="1" s="1"/>
  <c r="AH1153" i="1"/>
  <c r="AI1153" i="1" s="1"/>
  <c r="AH1154" i="1"/>
  <c r="AI1154" i="1" s="1"/>
  <c r="AH1155" i="1"/>
  <c r="AI1155" i="1" s="1"/>
  <c r="AH1156" i="1"/>
  <c r="AI1156" i="1" s="1"/>
  <c r="AH1157" i="1"/>
  <c r="AI1157" i="1" s="1"/>
  <c r="AH1158" i="1"/>
  <c r="AI1158" i="1" s="1"/>
  <c r="AH1159" i="1"/>
  <c r="AI1159" i="1" s="1"/>
  <c r="AH1160" i="1"/>
  <c r="AI1160" i="1" s="1"/>
  <c r="AH1161" i="1"/>
  <c r="AI1161" i="1" s="1"/>
  <c r="AH1162" i="1"/>
  <c r="AI1162" i="1" s="1"/>
  <c r="AH1163" i="1"/>
  <c r="AI1163" i="1" s="1"/>
  <c r="AH1164" i="1"/>
  <c r="AI1164" i="1" s="1"/>
  <c r="AH1165" i="1"/>
  <c r="AI1165" i="1" s="1"/>
  <c r="AH1166" i="1"/>
  <c r="AI1166" i="1" s="1"/>
  <c r="AH1167" i="1"/>
  <c r="AI1167" i="1" s="1"/>
  <c r="AH1168" i="1"/>
  <c r="AI1168" i="1" s="1"/>
  <c r="AH1169" i="1"/>
  <c r="AI1169" i="1" s="1"/>
  <c r="AH1170" i="1"/>
  <c r="AI1170" i="1" s="1"/>
  <c r="AH1171" i="1"/>
  <c r="AI1171" i="1" s="1"/>
  <c r="AH1172" i="1"/>
  <c r="AI1172" i="1" s="1"/>
  <c r="AH1173" i="1"/>
  <c r="AI1173" i="1" s="1"/>
  <c r="AH1174" i="1"/>
  <c r="AI1174" i="1" s="1"/>
  <c r="AH1175" i="1"/>
  <c r="AI1175" i="1" s="1"/>
  <c r="AH1176" i="1"/>
  <c r="AI1176" i="1" s="1"/>
  <c r="AH1177" i="1"/>
  <c r="AI1177" i="1" s="1"/>
  <c r="AH1178" i="1"/>
  <c r="AI1178" i="1" s="1"/>
  <c r="AH1179" i="1"/>
  <c r="AI1179" i="1" s="1"/>
  <c r="AH1180" i="1"/>
  <c r="AI1180" i="1" s="1"/>
  <c r="AH1181" i="1"/>
  <c r="AI1181" i="1" s="1"/>
  <c r="AH1182" i="1"/>
  <c r="AI1182" i="1" s="1"/>
  <c r="AH1183" i="1"/>
  <c r="AI1183" i="1" s="1"/>
  <c r="AH1184" i="1"/>
  <c r="AI1184" i="1" s="1"/>
  <c r="AH1185" i="1"/>
  <c r="AI1185" i="1" s="1"/>
  <c r="AH1186" i="1"/>
  <c r="AI1186" i="1" s="1"/>
  <c r="AH1187" i="1"/>
  <c r="AI1187" i="1" s="1"/>
  <c r="AH1188" i="1"/>
  <c r="AI1188" i="1" s="1"/>
  <c r="AH1189" i="1"/>
  <c r="AI1189" i="1" s="1"/>
  <c r="AH1190" i="1"/>
  <c r="AI1190" i="1" s="1"/>
  <c r="AH1191" i="1"/>
  <c r="AI1191" i="1" s="1"/>
  <c r="AH1192" i="1"/>
  <c r="AI1192" i="1" s="1"/>
  <c r="AH1193" i="1"/>
  <c r="AI1193" i="1" s="1"/>
  <c r="AH1194" i="1"/>
  <c r="AI1194" i="1" s="1"/>
  <c r="AH1195" i="1"/>
  <c r="AI1195" i="1" s="1"/>
  <c r="AH1196" i="1"/>
  <c r="AI1196" i="1" s="1"/>
  <c r="AH1197" i="1"/>
  <c r="AI1197" i="1" s="1"/>
  <c r="AH1198" i="1"/>
  <c r="AI1198" i="1" s="1"/>
  <c r="AH1199" i="1"/>
  <c r="AI1199" i="1" s="1"/>
  <c r="AH1200" i="1"/>
  <c r="AI1200" i="1" s="1"/>
  <c r="AH1201" i="1"/>
  <c r="AI1201" i="1" s="1"/>
  <c r="AH1202" i="1"/>
  <c r="AI1202" i="1" s="1"/>
  <c r="AH1203" i="1"/>
  <c r="AI1203" i="1" s="1"/>
  <c r="AH1204" i="1"/>
  <c r="AI1204" i="1" s="1"/>
  <c r="AH1205" i="1"/>
  <c r="AI1205" i="1" s="1"/>
  <c r="AH1206" i="1"/>
  <c r="AI1206" i="1" s="1"/>
  <c r="AH1207" i="1"/>
  <c r="AI1207" i="1" s="1"/>
  <c r="AH1208" i="1"/>
  <c r="AI1208" i="1" s="1"/>
  <c r="AH1209" i="1"/>
  <c r="AI1209" i="1" s="1"/>
  <c r="AH1210" i="1"/>
  <c r="AI1210" i="1" s="1"/>
  <c r="AH1211" i="1"/>
  <c r="AI1211" i="1" s="1"/>
  <c r="AH1212" i="1"/>
  <c r="AI1212" i="1" s="1"/>
  <c r="AH1213" i="1"/>
  <c r="AI1213" i="1" s="1"/>
  <c r="AH1214" i="1"/>
  <c r="AI1214" i="1" s="1"/>
  <c r="AH1215" i="1"/>
  <c r="AI1215" i="1" s="1"/>
  <c r="AH1216" i="1"/>
  <c r="AI1216" i="1" s="1"/>
  <c r="AH1217" i="1"/>
  <c r="AI1217" i="1" s="1"/>
  <c r="AH1218" i="1"/>
  <c r="AI1218" i="1" s="1"/>
  <c r="AH1219" i="1"/>
  <c r="AI1219" i="1" s="1"/>
  <c r="AH1220" i="1"/>
  <c r="AI1220" i="1" s="1"/>
  <c r="AH1221" i="1"/>
  <c r="AI1221" i="1" s="1"/>
  <c r="AH1222" i="1"/>
  <c r="AI1222" i="1" s="1"/>
  <c r="AH1223" i="1"/>
  <c r="AI1223" i="1" s="1"/>
  <c r="AH1224" i="1"/>
  <c r="AI1224" i="1" s="1"/>
  <c r="AH1225" i="1"/>
  <c r="AI1225" i="1" s="1"/>
  <c r="AH1226" i="1"/>
  <c r="AI1226" i="1" s="1"/>
  <c r="AH1227" i="1"/>
  <c r="AI1227" i="1" s="1"/>
  <c r="AH1228" i="1"/>
  <c r="AI1228" i="1" s="1"/>
  <c r="AH1229" i="1"/>
  <c r="AI1229" i="1" s="1"/>
  <c r="AH1230" i="1"/>
  <c r="AI1230" i="1" s="1"/>
  <c r="AH1231" i="1"/>
  <c r="AI1231" i="1" s="1"/>
  <c r="AH1232" i="1"/>
  <c r="AI1232" i="1" s="1"/>
  <c r="AH1233" i="1"/>
  <c r="AI1233" i="1" s="1"/>
  <c r="AH1234" i="1"/>
  <c r="AI1234" i="1" s="1"/>
  <c r="AH1235" i="1"/>
  <c r="AI1235" i="1" s="1"/>
  <c r="AH1236" i="1"/>
  <c r="AI1236" i="1" s="1"/>
  <c r="AH1237" i="1"/>
  <c r="AI1237" i="1" s="1"/>
  <c r="AH1238" i="1"/>
  <c r="AI1238" i="1" s="1"/>
  <c r="AH1239" i="1"/>
  <c r="AI1239" i="1" s="1"/>
  <c r="AH1240" i="1"/>
  <c r="AI1240" i="1" s="1"/>
  <c r="AH1241" i="1"/>
  <c r="AI1241" i="1" s="1"/>
  <c r="AH1242" i="1"/>
  <c r="AI1242" i="1" s="1"/>
  <c r="AH1243" i="1"/>
  <c r="AI1243" i="1" s="1"/>
  <c r="AH1244" i="1"/>
  <c r="AI1244" i="1" s="1"/>
  <c r="AH1245" i="1"/>
  <c r="AI1245" i="1" s="1"/>
  <c r="AH1246" i="1"/>
  <c r="AI1246" i="1" s="1"/>
  <c r="AH1247" i="1"/>
  <c r="AI1247" i="1" s="1"/>
  <c r="AH1248" i="1"/>
  <c r="AI1248" i="1" s="1"/>
  <c r="AH1249" i="1"/>
  <c r="AI1249" i="1" s="1"/>
  <c r="AH1250" i="1"/>
  <c r="AI1250" i="1" s="1"/>
  <c r="AH1251" i="1"/>
  <c r="AI1251" i="1" s="1"/>
  <c r="AH1252" i="1"/>
  <c r="AI1252" i="1" s="1"/>
  <c r="AH1253" i="1"/>
  <c r="AI1253" i="1" s="1"/>
  <c r="AH1254" i="1"/>
  <c r="AI1254" i="1" s="1"/>
  <c r="AH1255" i="1"/>
  <c r="AI1255" i="1" s="1"/>
  <c r="AH1256" i="1"/>
  <c r="AI1256" i="1" s="1"/>
  <c r="AH1257" i="1"/>
  <c r="AI1257" i="1" s="1"/>
  <c r="AH1258" i="1"/>
  <c r="AI1258" i="1" s="1"/>
  <c r="AH1259" i="1"/>
  <c r="AI1259" i="1" s="1"/>
  <c r="AH1260" i="1"/>
  <c r="AI1260" i="1" s="1"/>
  <c r="AH1261" i="1"/>
  <c r="AI1261" i="1" s="1"/>
  <c r="AH1262" i="1"/>
  <c r="AI1262" i="1" s="1"/>
  <c r="AH1263" i="1"/>
  <c r="AI1263" i="1" s="1"/>
  <c r="AH1264" i="1"/>
  <c r="AI1264" i="1" s="1"/>
  <c r="AH1265" i="1"/>
  <c r="AI1265" i="1" s="1"/>
  <c r="AH1266" i="1"/>
  <c r="AI1266" i="1" s="1"/>
  <c r="AH1267" i="1"/>
  <c r="AI1267" i="1" s="1"/>
  <c r="AH1268" i="1"/>
  <c r="AI1268" i="1" s="1"/>
  <c r="AH1269" i="1"/>
  <c r="AI1269" i="1" s="1"/>
  <c r="AH1270" i="1"/>
  <c r="AI1270" i="1" s="1"/>
  <c r="AH1271" i="1"/>
  <c r="AI1271" i="1" s="1"/>
  <c r="AH1272" i="1"/>
  <c r="AI1272" i="1" s="1"/>
  <c r="AH1273" i="1"/>
  <c r="AI1273" i="1" s="1"/>
  <c r="AH1274" i="1"/>
  <c r="AI1274" i="1" s="1"/>
  <c r="AH1275" i="1"/>
  <c r="AI1275" i="1" s="1"/>
  <c r="AH1276" i="1"/>
  <c r="AI1276" i="1" s="1"/>
  <c r="AH1277" i="1"/>
  <c r="AI1277" i="1" s="1"/>
  <c r="AH1278" i="1"/>
  <c r="AI1278" i="1" s="1"/>
  <c r="AH1279" i="1"/>
  <c r="AI1279" i="1" s="1"/>
  <c r="AH1280" i="1"/>
  <c r="AI1280" i="1" s="1"/>
  <c r="AH1281" i="1"/>
  <c r="AI1281" i="1" s="1"/>
  <c r="AH1282" i="1"/>
  <c r="AI1282" i="1" s="1"/>
  <c r="AH1283" i="1"/>
  <c r="AI1283" i="1" s="1"/>
  <c r="AH1284" i="1"/>
  <c r="AI1284" i="1" s="1"/>
  <c r="AH1285" i="1"/>
  <c r="AI1285" i="1" s="1"/>
  <c r="AH1286" i="1"/>
  <c r="AI1286" i="1" s="1"/>
  <c r="AH1287" i="1"/>
  <c r="AI1287" i="1" s="1"/>
  <c r="AH1288" i="1"/>
  <c r="AI1288" i="1" s="1"/>
  <c r="AH1289" i="1"/>
  <c r="AI1289" i="1" s="1"/>
  <c r="AH1290" i="1"/>
  <c r="AI1290" i="1" s="1"/>
  <c r="AH1291" i="1"/>
  <c r="AI1291" i="1" s="1"/>
  <c r="AH1292" i="1"/>
  <c r="AI1292" i="1" s="1"/>
  <c r="AH1293" i="1"/>
  <c r="AI1293" i="1" s="1"/>
  <c r="AH1294" i="1"/>
  <c r="AI1294" i="1" s="1"/>
  <c r="AH1295" i="1"/>
  <c r="AI1295" i="1" s="1"/>
  <c r="AH1296" i="1"/>
  <c r="AI1296" i="1" s="1"/>
  <c r="AH1297" i="1"/>
  <c r="AI1297" i="1" s="1"/>
  <c r="AH1298" i="1"/>
  <c r="AI1298" i="1" s="1"/>
  <c r="AH1299" i="1"/>
  <c r="AI1299" i="1" s="1"/>
  <c r="AH1300" i="1"/>
  <c r="AI1300" i="1" s="1"/>
  <c r="AH1301" i="1"/>
  <c r="AI1301" i="1" s="1"/>
  <c r="AH1302" i="1"/>
  <c r="AI1302" i="1" s="1"/>
  <c r="AH1303" i="1"/>
  <c r="AI1303" i="1" s="1"/>
  <c r="AH1304" i="1"/>
  <c r="AI1304" i="1" s="1"/>
  <c r="AH1305" i="1"/>
  <c r="AI1305" i="1" s="1"/>
  <c r="AH1306" i="1"/>
  <c r="AI1306" i="1" s="1"/>
  <c r="AH1307" i="1"/>
  <c r="AI1307" i="1" s="1"/>
  <c r="AH1308" i="1"/>
  <c r="AI1308" i="1" s="1"/>
  <c r="AH1309" i="1"/>
  <c r="AI1309" i="1" s="1"/>
  <c r="AH1310" i="1"/>
  <c r="AI1310" i="1" s="1"/>
  <c r="AH1311" i="1"/>
  <c r="AI1311" i="1" s="1"/>
  <c r="AH1312" i="1"/>
  <c r="AI1312" i="1" s="1"/>
  <c r="AH1313" i="1"/>
  <c r="AI1313" i="1" s="1"/>
  <c r="AH1314" i="1"/>
  <c r="AI1314" i="1" s="1"/>
  <c r="AH1315" i="1"/>
  <c r="AI1315" i="1" s="1"/>
  <c r="AH1316" i="1"/>
  <c r="AI1316" i="1" s="1"/>
  <c r="AH1317" i="1"/>
  <c r="AI1317" i="1" s="1"/>
  <c r="AH1318" i="1"/>
  <c r="AI1318" i="1" s="1"/>
  <c r="AH1319" i="1"/>
  <c r="AI1319" i="1" s="1"/>
  <c r="AH1320" i="1"/>
  <c r="AI1320" i="1" s="1"/>
  <c r="AH1321" i="1"/>
  <c r="AI1321" i="1" s="1"/>
  <c r="AH1322" i="1"/>
  <c r="AI1322" i="1" s="1"/>
  <c r="AH1323" i="1"/>
  <c r="AI1323" i="1" s="1"/>
  <c r="AH1324" i="1"/>
  <c r="AI1324" i="1" s="1"/>
  <c r="AH1325" i="1"/>
  <c r="AI1325" i="1" s="1"/>
  <c r="AH1326" i="1"/>
  <c r="AI1326" i="1" s="1"/>
  <c r="AH1327" i="1"/>
  <c r="AI1327" i="1" s="1"/>
  <c r="AH1328" i="1"/>
  <c r="AI1328" i="1" s="1"/>
  <c r="AH1329" i="1"/>
  <c r="AI1329" i="1" s="1"/>
  <c r="AH1330" i="1"/>
  <c r="AI1330" i="1" s="1"/>
  <c r="AH1331" i="1"/>
  <c r="AI1331" i="1" s="1"/>
  <c r="AH1332" i="1"/>
  <c r="AI1332" i="1" s="1"/>
  <c r="AH1333" i="1"/>
  <c r="AI1333" i="1" s="1"/>
  <c r="AH1334" i="1"/>
  <c r="AI1334" i="1" s="1"/>
  <c r="AH1335" i="1"/>
  <c r="AI1335" i="1" s="1"/>
  <c r="AH1336" i="1"/>
  <c r="AI1336" i="1" s="1"/>
  <c r="AH1337" i="1"/>
  <c r="AI1337" i="1" s="1"/>
  <c r="AH1338" i="1"/>
  <c r="AI1338" i="1" s="1"/>
  <c r="AH1339" i="1"/>
  <c r="AI1339" i="1" s="1"/>
  <c r="AH1340" i="1"/>
  <c r="AI1340" i="1" s="1"/>
  <c r="AH1341" i="1"/>
  <c r="AI1341" i="1" s="1"/>
  <c r="AH1342" i="1"/>
  <c r="AI1342" i="1" s="1"/>
  <c r="AH1343" i="1"/>
  <c r="AI1343" i="1" s="1"/>
  <c r="AH1344" i="1"/>
  <c r="AI1344" i="1" s="1"/>
  <c r="AH1345" i="1"/>
  <c r="AI1345" i="1" s="1"/>
  <c r="AH1346" i="1"/>
  <c r="AI1346" i="1" s="1"/>
  <c r="AH1347" i="1"/>
  <c r="AI1347" i="1" s="1"/>
  <c r="AH1348" i="1"/>
  <c r="AI1348" i="1" s="1"/>
  <c r="AH1349" i="1"/>
  <c r="AI1349" i="1" s="1"/>
  <c r="AH1350" i="1"/>
  <c r="AI1350" i="1" s="1"/>
  <c r="AH1351" i="1"/>
  <c r="AI1351" i="1" s="1"/>
  <c r="AH1352" i="1"/>
  <c r="AI1352" i="1" s="1"/>
  <c r="AH1353" i="1"/>
  <c r="AI1353" i="1" s="1"/>
  <c r="AH1354" i="1"/>
  <c r="AI1354" i="1" s="1"/>
  <c r="AH1355" i="1"/>
  <c r="AI1355" i="1" s="1"/>
  <c r="AH1356" i="1"/>
  <c r="AI1356" i="1" s="1"/>
  <c r="AH1357" i="1"/>
  <c r="AI1357" i="1" s="1"/>
  <c r="AH1358" i="1"/>
  <c r="AI1358" i="1" s="1"/>
  <c r="AH1359" i="1"/>
  <c r="AI1359" i="1" s="1"/>
  <c r="AH1360" i="1"/>
  <c r="AI1360" i="1" s="1"/>
  <c r="AH1361" i="1"/>
  <c r="AI1361" i="1" s="1"/>
  <c r="AH1362" i="1"/>
  <c r="AI1362" i="1" s="1"/>
  <c r="AH1363" i="1"/>
  <c r="AI1363" i="1" s="1"/>
  <c r="AH1364" i="1"/>
  <c r="AI1364" i="1" s="1"/>
  <c r="AH1365" i="1"/>
  <c r="AI1365" i="1" s="1"/>
  <c r="AH1366" i="1"/>
  <c r="AI1366" i="1" s="1"/>
  <c r="AH1367" i="1"/>
  <c r="AI1367" i="1" s="1"/>
  <c r="AH1368" i="1"/>
  <c r="AI1368" i="1" s="1"/>
  <c r="AH1369" i="1"/>
  <c r="AI1369" i="1" s="1"/>
  <c r="AH1370" i="1"/>
  <c r="AI1370" i="1" s="1"/>
  <c r="AH1371" i="1"/>
  <c r="AI1371" i="1" s="1"/>
  <c r="AH1372" i="1"/>
  <c r="AI1372" i="1" s="1"/>
  <c r="AH1373" i="1"/>
  <c r="AI1373" i="1" s="1"/>
  <c r="AH1374" i="1"/>
  <c r="AI1374" i="1" s="1"/>
  <c r="AH1375" i="1"/>
  <c r="AI1375" i="1" s="1"/>
  <c r="AH1376" i="1"/>
  <c r="AI1376" i="1" s="1"/>
  <c r="AH1377" i="1"/>
  <c r="AI1377" i="1" s="1"/>
  <c r="AH1378" i="1"/>
  <c r="AI1378" i="1" s="1"/>
  <c r="AH1379" i="1"/>
  <c r="AI1379" i="1" s="1"/>
  <c r="AH1380" i="1"/>
  <c r="AI1380" i="1" s="1"/>
  <c r="AH1381" i="1"/>
  <c r="AI1381" i="1" s="1"/>
  <c r="AH1382" i="1"/>
  <c r="AI1382" i="1" s="1"/>
  <c r="AH1383" i="1"/>
  <c r="AI1383" i="1" s="1"/>
  <c r="AH1384" i="1"/>
  <c r="AI1384" i="1" s="1"/>
  <c r="AH1385" i="1"/>
  <c r="AI1385" i="1" s="1"/>
  <c r="AH1386" i="1"/>
  <c r="AI1386" i="1" s="1"/>
  <c r="AH1387" i="1"/>
  <c r="AI1387" i="1" s="1"/>
  <c r="AH1388" i="1"/>
  <c r="AI1388" i="1" s="1"/>
  <c r="AH1389" i="1"/>
  <c r="AI1389" i="1" s="1"/>
  <c r="AH1390" i="1"/>
  <c r="AI1390" i="1" s="1"/>
  <c r="AH1391" i="1"/>
  <c r="AI1391" i="1" s="1"/>
  <c r="AH1392" i="1"/>
  <c r="AI1392" i="1" s="1"/>
  <c r="AH1393" i="1"/>
  <c r="AI1393" i="1" s="1"/>
  <c r="AH1394" i="1"/>
  <c r="AI1394" i="1" s="1"/>
  <c r="AH1395" i="1"/>
  <c r="AI1395" i="1" s="1"/>
  <c r="AH1396" i="1"/>
  <c r="AI1396" i="1" s="1"/>
  <c r="AH1397" i="1"/>
  <c r="AI1397" i="1" s="1"/>
  <c r="AH1398" i="1"/>
  <c r="AI1398" i="1" s="1"/>
  <c r="AH1399" i="1"/>
  <c r="AI1399" i="1" s="1"/>
  <c r="AH1400" i="1"/>
  <c r="AI1400" i="1" s="1"/>
  <c r="AH1401" i="1"/>
  <c r="AI1401" i="1" s="1"/>
  <c r="AH1402" i="1"/>
  <c r="AI1402" i="1" s="1"/>
  <c r="AH1403" i="1"/>
  <c r="AI1403" i="1" s="1"/>
  <c r="AH1404" i="1"/>
  <c r="AI1404" i="1" s="1"/>
  <c r="AH1405" i="1"/>
  <c r="AI1405" i="1" s="1"/>
  <c r="AH1406" i="1"/>
  <c r="AI1406" i="1" s="1"/>
  <c r="AH1407" i="1"/>
  <c r="AI1407" i="1" s="1"/>
  <c r="AH1408" i="1"/>
  <c r="AI1408" i="1" s="1"/>
  <c r="AH1409" i="1"/>
  <c r="AI1409" i="1" s="1"/>
  <c r="AH1410" i="1"/>
  <c r="AI1410" i="1" s="1"/>
  <c r="AH1411" i="1"/>
  <c r="AI1411" i="1" s="1"/>
  <c r="AH1412" i="1"/>
  <c r="AI1412" i="1" s="1"/>
  <c r="AH1413" i="1"/>
  <c r="AI1413" i="1" s="1"/>
  <c r="AH1414" i="1"/>
  <c r="AI1414" i="1" s="1"/>
  <c r="AH1415" i="1"/>
  <c r="AI1415" i="1" s="1"/>
  <c r="AH1416" i="1"/>
  <c r="AI1416" i="1" s="1"/>
  <c r="AH1417" i="1"/>
  <c r="AI1417" i="1" s="1"/>
  <c r="AH1418" i="1"/>
  <c r="AI1418" i="1" s="1"/>
  <c r="AH1419" i="1"/>
  <c r="AI1419" i="1" s="1"/>
  <c r="AH1420" i="1"/>
  <c r="AI1420" i="1" s="1"/>
  <c r="AH1421" i="1"/>
  <c r="AI1421" i="1" s="1"/>
  <c r="AH1422" i="1"/>
  <c r="AI1422" i="1" s="1"/>
  <c r="AH1423" i="1"/>
  <c r="AI1423" i="1" s="1"/>
  <c r="AH1424" i="1"/>
  <c r="AI1424" i="1" s="1"/>
  <c r="AH1425" i="1"/>
  <c r="AI1425" i="1" s="1"/>
  <c r="AH1426" i="1"/>
  <c r="AI1426" i="1" s="1"/>
  <c r="AH1427" i="1"/>
  <c r="AI1427" i="1" s="1"/>
  <c r="AH1428" i="1"/>
  <c r="AI1428" i="1" s="1"/>
  <c r="AH1429" i="1"/>
  <c r="AI1429" i="1" s="1"/>
  <c r="AH1430" i="1"/>
  <c r="AI1430" i="1" s="1"/>
  <c r="AH1431" i="1"/>
  <c r="AI1431" i="1" s="1"/>
  <c r="AH1432" i="1"/>
  <c r="AI1432" i="1" s="1"/>
  <c r="AH1433" i="1"/>
  <c r="AI1433" i="1" s="1"/>
  <c r="AH1434" i="1"/>
  <c r="AI1434" i="1" s="1"/>
  <c r="AH1435" i="1"/>
  <c r="AI1435" i="1" s="1"/>
  <c r="AH1436" i="1"/>
  <c r="AI1436" i="1" s="1"/>
  <c r="AH1437" i="1"/>
  <c r="AI1437" i="1" s="1"/>
  <c r="AH1438" i="1"/>
  <c r="AI1438" i="1" s="1"/>
  <c r="AH1439" i="1"/>
  <c r="AI1439" i="1" s="1"/>
  <c r="AH1440" i="1"/>
  <c r="AI1440" i="1" s="1"/>
  <c r="AH1441" i="1"/>
  <c r="AI1441" i="1" s="1"/>
  <c r="AH1442" i="1"/>
  <c r="AI1442" i="1" s="1"/>
  <c r="AH1443" i="1"/>
  <c r="AI1443" i="1" s="1"/>
  <c r="AH1444" i="1"/>
  <c r="AI1444" i="1" s="1"/>
  <c r="AH1445" i="1"/>
  <c r="AI1445" i="1" s="1"/>
  <c r="AH1446" i="1"/>
  <c r="AI1446" i="1" s="1"/>
  <c r="AH1447" i="1"/>
  <c r="AI1447" i="1" s="1"/>
  <c r="AH1448" i="1"/>
  <c r="AI1448" i="1" s="1"/>
  <c r="AH1449" i="1"/>
  <c r="AI1449" i="1" s="1"/>
  <c r="AH1450" i="1"/>
  <c r="AI1450" i="1" s="1"/>
  <c r="AH1451" i="1"/>
  <c r="AI1451" i="1" s="1"/>
  <c r="AH1452" i="1"/>
  <c r="AI1452" i="1" s="1"/>
  <c r="AH1453" i="1"/>
  <c r="AI1453" i="1" s="1"/>
  <c r="AH1454" i="1"/>
  <c r="AI1454" i="1" s="1"/>
  <c r="AH1455" i="1"/>
  <c r="AI1455" i="1" s="1"/>
  <c r="AH1456" i="1"/>
  <c r="AI1456" i="1" s="1"/>
  <c r="AH1457" i="1"/>
  <c r="AI1457" i="1" s="1"/>
  <c r="AH1458" i="1"/>
  <c r="AI1458" i="1" s="1"/>
  <c r="AH1459" i="1"/>
  <c r="AI1459" i="1" s="1"/>
  <c r="AH1460" i="1"/>
  <c r="AI1460" i="1" s="1"/>
  <c r="AH1461" i="1"/>
  <c r="AI1461" i="1" s="1"/>
  <c r="AH1462" i="1"/>
  <c r="AI1462" i="1" s="1"/>
  <c r="AH1463" i="1"/>
  <c r="AI1463" i="1" s="1"/>
  <c r="AH1464" i="1"/>
  <c r="AI1464" i="1" s="1"/>
  <c r="AH1465" i="1"/>
  <c r="AI1465" i="1" s="1"/>
  <c r="AH1466" i="1"/>
  <c r="AI1466" i="1" s="1"/>
  <c r="AH1467" i="1"/>
  <c r="AI1467" i="1" s="1"/>
  <c r="AH1468" i="1"/>
  <c r="AI1468" i="1" s="1"/>
  <c r="AH1469" i="1"/>
  <c r="AI1469" i="1" s="1"/>
  <c r="AH1470" i="1"/>
  <c r="AI1470" i="1" s="1"/>
  <c r="AH1471" i="1"/>
  <c r="AI1471" i="1" s="1"/>
  <c r="AH1472" i="1"/>
  <c r="AI1472" i="1" s="1"/>
  <c r="AH1473" i="1"/>
  <c r="AI1473" i="1" s="1"/>
  <c r="AH1474" i="1"/>
  <c r="AI1474" i="1" s="1"/>
  <c r="AH1475" i="1"/>
  <c r="AI1475" i="1" s="1"/>
  <c r="AH1476" i="1"/>
  <c r="AI1476" i="1" s="1"/>
  <c r="AH1477" i="1"/>
  <c r="AI1477" i="1" s="1"/>
  <c r="AH1478" i="1"/>
  <c r="AI1478" i="1" s="1"/>
  <c r="AH1479" i="1"/>
  <c r="AI1479" i="1" s="1"/>
  <c r="AH1480" i="1"/>
  <c r="AI1480" i="1" s="1"/>
  <c r="AH1481" i="1"/>
  <c r="AI1481" i="1" s="1"/>
  <c r="AH1482" i="1"/>
  <c r="AI1482" i="1" s="1"/>
  <c r="AH1483" i="1"/>
  <c r="AI1483" i="1" s="1"/>
  <c r="AH1484" i="1"/>
  <c r="AI1484" i="1" s="1"/>
  <c r="AH1485" i="1"/>
  <c r="AI1485" i="1" s="1"/>
  <c r="AH1486" i="1"/>
  <c r="AI1486" i="1" s="1"/>
  <c r="AH1487" i="1"/>
  <c r="AI1487" i="1" s="1"/>
  <c r="AH1488" i="1"/>
  <c r="AI1488" i="1" s="1"/>
  <c r="AH1489" i="1"/>
  <c r="AI1489" i="1" s="1"/>
  <c r="AH1490" i="1"/>
  <c r="AI1490" i="1" s="1"/>
  <c r="AH1491" i="1"/>
  <c r="AI1491" i="1" s="1"/>
  <c r="AH1492" i="1"/>
  <c r="AI1492" i="1" s="1"/>
  <c r="AH1493" i="1"/>
  <c r="AI1493" i="1" s="1"/>
  <c r="AH1494" i="1"/>
  <c r="AI1494" i="1" s="1"/>
  <c r="AH1495" i="1"/>
  <c r="AI1495" i="1" s="1"/>
  <c r="AH1496" i="1"/>
  <c r="AI1496" i="1" s="1"/>
  <c r="AH1497" i="1"/>
  <c r="AI1497" i="1" s="1"/>
  <c r="AH1498" i="1"/>
  <c r="AI1498" i="1" s="1"/>
  <c r="AH1499" i="1"/>
  <c r="AI1499" i="1" s="1"/>
  <c r="AH1500" i="1"/>
  <c r="AI1500" i="1" s="1"/>
  <c r="AH1501" i="1"/>
  <c r="AI1501" i="1" s="1"/>
  <c r="AH1502" i="1"/>
  <c r="AI1502" i="1" s="1"/>
  <c r="AH1503" i="1"/>
  <c r="AI1503" i="1" s="1"/>
  <c r="AH1504" i="1"/>
  <c r="AI1504" i="1" s="1"/>
  <c r="AH1505" i="1"/>
  <c r="AI1505" i="1" s="1"/>
  <c r="AH1506" i="1"/>
  <c r="AI1506" i="1" s="1"/>
  <c r="AH1507" i="1"/>
  <c r="AI1507" i="1" s="1"/>
  <c r="AH1508" i="1"/>
  <c r="AI1508" i="1" s="1"/>
  <c r="AH1509" i="1"/>
  <c r="AI1509" i="1" s="1"/>
  <c r="AH1510" i="1"/>
  <c r="AI1510" i="1" s="1"/>
  <c r="AH1511" i="1"/>
  <c r="AI1511" i="1" s="1"/>
  <c r="AH1512" i="1"/>
  <c r="AI1512" i="1" s="1"/>
  <c r="AH1513" i="1"/>
  <c r="AI1513" i="1" s="1"/>
  <c r="AH1514" i="1"/>
  <c r="AI1514" i="1" s="1"/>
  <c r="AH1515" i="1"/>
  <c r="AI1515" i="1" s="1"/>
  <c r="AH1516" i="1"/>
  <c r="AI1516" i="1" s="1"/>
  <c r="AH1517" i="1"/>
  <c r="AI1517" i="1" s="1"/>
  <c r="AH1518" i="1"/>
  <c r="AI1518" i="1" s="1"/>
  <c r="AH1519" i="1"/>
  <c r="AI1519" i="1" s="1"/>
  <c r="AH1520" i="1"/>
  <c r="AI1520" i="1" s="1"/>
  <c r="AH1521" i="1"/>
  <c r="AI1521" i="1" s="1"/>
  <c r="AH1522" i="1"/>
  <c r="AI1522" i="1" s="1"/>
  <c r="AH1523" i="1"/>
  <c r="AI1523" i="1" s="1"/>
  <c r="AH1524" i="1"/>
  <c r="AI1524" i="1" s="1"/>
  <c r="AH1525" i="1"/>
  <c r="AI1525" i="1" s="1"/>
  <c r="AH1526" i="1"/>
  <c r="AI1526" i="1" s="1"/>
  <c r="AH1527" i="1"/>
  <c r="AI1527" i="1" s="1"/>
  <c r="AH1528" i="1"/>
  <c r="AI1528" i="1" s="1"/>
  <c r="AH1529" i="1"/>
  <c r="AI1529" i="1" s="1"/>
  <c r="AH1530" i="1"/>
  <c r="AI1530" i="1" s="1"/>
  <c r="AH1531" i="1"/>
  <c r="AI1531" i="1" s="1"/>
  <c r="AH1532" i="1"/>
  <c r="AI1532" i="1" s="1"/>
  <c r="AH1533" i="1"/>
  <c r="AI1533" i="1" s="1"/>
  <c r="AH1534" i="1"/>
  <c r="AI1534" i="1" s="1"/>
  <c r="AH1535" i="1"/>
  <c r="AI1535" i="1" s="1"/>
  <c r="AI3" i="1"/>
  <c r="AI4" i="1"/>
  <c r="AI5" i="1"/>
  <c r="AI6" i="1"/>
  <c r="AI7" i="1"/>
  <c r="AI8" i="1"/>
  <c r="AI9" i="1"/>
  <c r="AI10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2" i="1"/>
  <c r="AF2" i="1"/>
  <c r="AE2" i="1"/>
  <c r="C24" i="5"/>
  <c r="C23" i="5"/>
  <c r="C21" i="5"/>
  <c r="C22" i="5"/>
  <c r="C20" i="5"/>
  <c r="C19" i="5"/>
  <c r="C18" i="5"/>
  <c r="C17" i="5"/>
  <c r="C16" i="5"/>
  <c r="AC2" i="1"/>
  <c r="AH2" i="1" l="1"/>
  <c r="AJ2" i="1"/>
  <c r="AD2" i="1"/>
  <c r="AG2" i="1"/>
  <c r="AI2" i="1" l="1"/>
</calcChain>
</file>

<file path=xl/sharedStrings.xml><?xml version="1.0" encoding="utf-8"?>
<sst xmlns="http://schemas.openxmlformats.org/spreadsheetml/2006/main" count="6201" uniqueCount="2285">
  <si>
    <t>Código</t>
  </si>
  <si>
    <t>CNPJ da Troca (C3)</t>
  </si>
  <si>
    <t>Título</t>
  </si>
  <si>
    <t>Fase atual</t>
  </si>
  <si>
    <t>Criador</t>
  </si>
  <si>
    <t>Criado em</t>
  </si>
  <si>
    <t>Primeira vez que entrou na fase 04 - Ag. Recebimento Pós-Ligação</t>
  </si>
  <si>
    <t>Última vez que saiu da fase 04 - Ag. Recebimento Pós-Ligação</t>
  </si>
  <si>
    <t>Primeira vez que entrou na fase Regua de cobrança 1</t>
  </si>
  <si>
    <t>Última vez que saiu da fase Regua de cobrança 1</t>
  </si>
  <si>
    <t>Tempo total na fase Regua de cobrança 1 (dias)</t>
  </si>
  <si>
    <t>Primeira vez que entrou na fase 03 - Ligação ativa</t>
  </si>
  <si>
    <t>Última vez que saiu da fase 03 - Ligação ativa</t>
  </si>
  <si>
    <t>Tempo total na fase 03 - Ligação ativa (dias)</t>
  </si>
  <si>
    <t>Primeira vez que entrou na fase Em Rota de Entrega</t>
  </si>
  <si>
    <t>Última vez que saiu da fase Em Rota de Entrega</t>
  </si>
  <si>
    <t>Tempo total na fase Em Rota de Entrega (dias)</t>
  </si>
  <si>
    <t>Primeira vez que entrou na fase Regua de Cobrança 2</t>
  </si>
  <si>
    <t>Última vez que saiu da fase Regua de Cobrança 2</t>
  </si>
  <si>
    <t>Tempo total na fase Regua de Cobrança 2 (dias)</t>
  </si>
  <si>
    <t>Primeira vez que entrou na fase Notificação de bloqueio parcial</t>
  </si>
  <si>
    <t>Última vez que saiu da fase Notificação de bloqueio parcial</t>
  </si>
  <si>
    <t>Tempo total na fase Notificação de bloqueio parcial (dias)</t>
  </si>
  <si>
    <t>Primeira vez que entrou na fase Bloqueio parcial</t>
  </si>
  <si>
    <t>Última vez que saiu da fase Bloqueio parcial</t>
  </si>
  <si>
    <t>Tempo total na fase Bloqueio parcial (dias)</t>
  </si>
  <si>
    <t>Primeira vez que entrou na fase Bloqueio total</t>
  </si>
  <si>
    <t>Tempo total na fase Bloqueio total (dias)</t>
  </si>
  <si>
    <t>49.636.555/0001-13</t>
  </si>
  <si>
    <t xml:space="preserve"> André Luiz Luciano Dias OK Minimercado</t>
  </si>
  <si>
    <t>Regua de cobrança 1</t>
  </si>
  <si>
    <t>Pipebot</t>
  </si>
  <si>
    <t>61.048.071/0001-59</t>
  </si>
  <si>
    <t xml:space="preserve"> Camila Soares da Silva</t>
  </si>
  <si>
    <t>Em Rota de Entrega</t>
  </si>
  <si>
    <t>54.720.406/0001-78</t>
  </si>
  <si>
    <t xml:space="preserve"> Eric Pereira Susini</t>
  </si>
  <si>
    <t>Recebido</t>
  </si>
  <si>
    <t>54.776.421/0001-38</t>
  </si>
  <si>
    <t xml:space="preserve"> Karine Cristina Dinamarke Santos</t>
  </si>
  <si>
    <t>Notificação de bloqueio parcial</t>
  </si>
  <si>
    <t>39.361.851/0001-03</t>
  </si>
  <si>
    <t xml:space="preserve"> Marcos luiz ramalho da silva </t>
  </si>
  <si>
    <t>Equipamentos a Receber</t>
  </si>
  <si>
    <t>32.444.284/0001-00</t>
  </si>
  <si>
    <t xml:space="preserve"> Natalia Galhardi </t>
  </si>
  <si>
    <t>56.213.383/0001-30</t>
  </si>
  <si>
    <t xml:space="preserve"> Solange Oliveira Canuto dos Reis</t>
  </si>
  <si>
    <t>57.033.794/0001-07</t>
  </si>
  <si>
    <t xml:space="preserve"> ST MARKET LTDA</t>
  </si>
  <si>
    <t>62.896.681/0001-75</t>
  </si>
  <si>
    <t>62.896.681 CIRLENE FONSECA SILVA</t>
  </si>
  <si>
    <t>61.215.907/0001-62</t>
  </si>
  <si>
    <t>AB Honest Ltda</t>
  </si>
  <si>
    <t>52.157.349/0001-35</t>
  </si>
  <si>
    <t>ADEMIR MARTINS DA SILVA</t>
  </si>
  <si>
    <t>Resposta de Migração</t>
  </si>
  <si>
    <t xml:space="preserve">Ademir Martins da Silva </t>
  </si>
  <si>
    <t>40.104.172/0001-20</t>
  </si>
  <si>
    <t xml:space="preserve">Adorai chales </t>
  </si>
  <si>
    <t>47.339.335/0001-00</t>
  </si>
  <si>
    <t xml:space="preserve">Adriana Covizzi Queiroz </t>
  </si>
  <si>
    <t>Regua de Cobrança 2</t>
  </si>
  <si>
    <t>52.469.232/0001-97</t>
  </si>
  <si>
    <t>Adson Gabriel de Oliveira Tabosa (adaptador e leitor) - Acionado sofia 03/02; Thomaz ajudando a encontrar o código.</t>
  </si>
  <si>
    <t>51.675.456/0001-92</t>
  </si>
  <si>
    <t>Aecio Lima Ribeiro</t>
  </si>
  <si>
    <t>38.708.016/0001-26</t>
  </si>
  <si>
    <t xml:space="preserve">Airton das Dores Júnior </t>
  </si>
  <si>
    <t>48.416.250/0001-33</t>
  </si>
  <si>
    <t>Akiminimarket e convivência Ltda - adaptador - acionado 03/02</t>
  </si>
  <si>
    <t>41.929.212/0001-35</t>
  </si>
  <si>
    <t>Alaide Soares Da Silva Vicente</t>
  </si>
  <si>
    <t>43.989.894/0001-05</t>
  </si>
  <si>
    <t xml:space="preserve">Alan Delon barra de Almeida </t>
  </si>
  <si>
    <t>59.442.415/0001-68</t>
  </si>
  <si>
    <t>ALESSANDER ANTUNES PEIXOTO</t>
  </si>
  <si>
    <t>57.409.640/0001-77</t>
  </si>
  <si>
    <t>Alessandra Duarte da Silva Deana</t>
  </si>
  <si>
    <t>51.246.209/0001-70</t>
  </si>
  <si>
    <t>Alessandra Francisca da Rocha Silva</t>
  </si>
  <si>
    <t>47.877.574/0001-06</t>
  </si>
  <si>
    <t>Alex Alexandre Oliveira Bezerra. Acionado Sofia (máquina. 18/02). comentários</t>
  </si>
  <si>
    <t>48.349.045/0003-64</t>
  </si>
  <si>
    <t>Alex Sandro Baptista de Campos</t>
  </si>
  <si>
    <t>43.717.793/0005-09</t>
  </si>
  <si>
    <t>Aline Marques Mateus Lima</t>
  </si>
  <si>
    <t>14.590.318/0001-84</t>
  </si>
  <si>
    <t>49.524.975/0001-08</t>
  </si>
  <si>
    <t xml:space="preserve">Amábile Duarte Theodoro Gomes </t>
  </si>
  <si>
    <t>57.561.639/0001-63</t>
  </si>
  <si>
    <t>Amauri Antonio dos Santos</t>
  </si>
  <si>
    <t>39.954.582/0001-80</t>
  </si>
  <si>
    <t>Ana Beatriz Salviato Formagio</t>
  </si>
  <si>
    <t>31.314.195/0001-78</t>
  </si>
  <si>
    <t xml:space="preserve">Ana Carolina Paranhos de Araújo Silva </t>
  </si>
  <si>
    <t>59.858.805/0001-13</t>
  </si>
  <si>
    <t xml:space="preserve">Ana Claudia de Lima e Silva </t>
  </si>
  <si>
    <t>41.245.942/0001-17</t>
  </si>
  <si>
    <t>Ana Lucia da Cruz Soares</t>
  </si>
  <si>
    <t>46.979.526/0001-66</t>
  </si>
  <si>
    <t>Ananda Mercado LTDA</t>
  </si>
  <si>
    <t>57.653.361/0001-54</t>
  </si>
  <si>
    <t>ANDRE BISCARO</t>
  </si>
  <si>
    <t>62.070.814/0001-50</t>
  </si>
  <si>
    <t xml:space="preserve">André Luiz Miloch </t>
  </si>
  <si>
    <t>60.712.784/0001-02</t>
  </si>
  <si>
    <t>Andréa Mendes Martins  - acionado Sofia (máquina). 18/02</t>
  </si>
  <si>
    <t>56.504.060/0001-04</t>
  </si>
  <si>
    <t>Andrea Menezes cantadeiro (adaptador) - acionado Sofia 06/02</t>
  </si>
  <si>
    <t>49.246.626/0001-71</t>
  </si>
  <si>
    <t>Antônio Dias Alves da Silva neto</t>
  </si>
  <si>
    <t>59.002.735/0001-05</t>
  </si>
  <si>
    <t>Barbara</t>
  </si>
  <si>
    <t>05.121.076/0001-99</t>
  </si>
  <si>
    <t>Be Honest DAngelo Comércio e Serviços Ltda</t>
  </si>
  <si>
    <t>61.726.273/0001-02</t>
  </si>
  <si>
    <t>Bem Perto Market ltda</t>
  </si>
  <si>
    <t>54.905.145/0001-60</t>
  </si>
  <si>
    <t>BLESSED MARKET LTDA</t>
  </si>
  <si>
    <t>46.088.846/0001-26</t>
  </si>
  <si>
    <t xml:space="preserve">Bruna Caroline kosinski </t>
  </si>
  <si>
    <t>Bruna Caroline kosinski  Quit Market. Acionada Sofia 18/02 (comentários)</t>
  </si>
  <si>
    <t>64.136.579/0001-05</t>
  </si>
  <si>
    <t>Bruna Cruz Sanchez Eugenio</t>
  </si>
  <si>
    <t>63.624.873/0001-95</t>
  </si>
  <si>
    <t xml:space="preserve">Bruna de Amorim Beziazacinai </t>
  </si>
  <si>
    <t>63.375.435/0001-30</t>
  </si>
  <si>
    <t>05.495.681/0001-20</t>
  </si>
  <si>
    <t>Bruno Campos Cintra</t>
  </si>
  <si>
    <t>50.731.563/0001-28</t>
  </si>
  <si>
    <t>Bruno Luis Silva Penteado</t>
  </si>
  <si>
    <t>Bruno Luis Silva Penteado - URGENTE bloqueada</t>
  </si>
  <si>
    <t>39.575.110/0001-17</t>
  </si>
  <si>
    <t>Buy at Home Comércio Varejista de conveniência LTDA</t>
  </si>
  <si>
    <t>Buy at Home Comércio Varejista de conveniência LTDA (máquina) - acionado sofia 05/02 (vai postar em 09/02, pedir o código)</t>
  </si>
  <si>
    <t>31.299.419/0001-10</t>
  </si>
  <si>
    <t xml:space="preserve">Caio Vinícius Torres Costa Moura </t>
  </si>
  <si>
    <t>42.826.121/0001-37</t>
  </si>
  <si>
    <t>Caique Deiros Santana</t>
  </si>
  <si>
    <t>Camila Soares da Silva</t>
  </si>
  <si>
    <t>58.676.010/0001-21</t>
  </si>
  <si>
    <t>Carla Romano</t>
  </si>
  <si>
    <t>57.220.012/0001-49</t>
  </si>
  <si>
    <t>Caroline de Branco Paniza Abahit</t>
  </si>
  <si>
    <t>55.011.207/0001-53</t>
  </si>
  <si>
    <t>Cesar Augusto de Cerqueira</t>
  </si>
  <si>
    <t xml:space="preserve">Cesar Augusto de Cerqueira </t>
  </si>
  <si>
    <t>43.025.354/0001-01</t>
  </si>
  <si>
    <t>CFR ALIMENTOS E SERVICOS LTDA</t>
  </si>
  <si>
    <t>48.169.415/0001-10</t>
  </si>
  <si>
    <t>Cibelle Balota Nivoloni</t>
  </si>
  <si>
    <t>Cibelle Balota Nivoloni (adaptador - acionado Sofia 05/02</t>
  </si>
  <si>
    <t>52.928.928/0001-34</t>
  </si>
  <si>
    <t>CIGENO</t>
  </si>
  <si>
    <t>Cirlene Foseca Silva</t>
  </si>
  <si>
    <t>51.613.090/0001-27</t>
  </si>
  <si>
    <t xml:space="preserve">Claudiane Aparecida Rocha </t>
  </si>
  <si>
    <t>59.084.514/0001-15</t>
  </si>
  <si>
    <t>Claudiane Pereira de Oliveira</t>
  </si>
  <si>
    <t>49.875.310/0001-49</t>
  </si>
  <si>
    <t>Claudio Leite - POSTADO COMPROVANTE ANEXO</t>
  </si>
  <si>
    <t>44.444.952/0001-70</t>
  </si>
  <si>
    <t>Cleiton</t>
  </si>
  <si>
    <t>54.139.247/0001-12</t>
  </si>
  <si>
    <t>Cleonice Aparecida dos Santos Lima - Totem para V2</t>
  </si>
  <si>
    <t>62.327.231/0001-61</t>
  </si>
  <si>
    <t xml:space="preserve">Cleria Aparecida Terra Darini </t>
  </si>
  <si>
    <t>47.733.123/0001-03</t>
  </si>
  <si>
    <t xml:space="preserve">Comfy Shop Minimercados </t>
  </si>
  <si>
    <t>55.194.053/0001-82</t>
  </si>
  <si>
    <t>CONVENIÊNCIA LDC</t>
  </si>
  <si>
    <t>44.067.629/0001-24</t>
  </si>
  <si>
    <t xml:space="preserve">Daniele Guedes Pereira Novaes </t>
  </si>
  <si>
    <t>50.513.212/0001-40</t>
  </si>
  <si>
    <t>Danilo Bacelar</t>
  </si>
  <si>
    <t>38.066.704/0001-30</t>
  </si>
  <si>
    <t>Danilo Horta da Silva</t>
  </si>
  <si>
    <t>50.210.030/0001-09</t>
  </si>
  <si>
    <t xml:space="preserve">DANILO RIBEIRO ESTEVAM </t>
  </si>
  <si>
    <t>50.438.537/0001-06</t>
  </si>
  <si>
    <t>DÉCIO DOS SANTOS VICENTE</t>
  </si>
  <si>
    <t xml:space="preserve">DÉCIO DOS SANTOS VICENTE </t>
  </si>
  <si>
    <t>48.711.965/0001-19</t>
  </si>
  <si>
    <t>Delazeri e furlin comercio de alimentos ltda</t>
  </si>
  <si>
    <t>18.858.527/0001-17</t>
  </si>
  <si>
    <t>DENIS RODRIGO SILVA</t>
  </si>
  <si>
    <t>57.222.988/0001-50</t>
  </si>
  <si>
    <t>Denise Cirolini</t>
  </si>
  <si>
    <t>44.042.350/0001-96</t>
  </si>
  <si>
    <t xml:space="preserve">Diana Aparecida Duarte </t>
  </si>
  <si>
    <t>51.435.759/0001-38</t>
  </si>
  <si>
    <t>Diana Sousa de matos</t>
  </si>
  <si>
    <t>44.108.556/0001-71</t>
  </si>
  <si>
    <t>Divina Store</t>
  </si>
  <si>
    <t>DIVINA STORE COMERCIO DE ALIMENTOS E BEBIDAS LTDA</t>
  </si>
  <si>
    <t>43.581.384/0001-96</t>
  </si>
  <si>
    <t>Doorman Rocha de produtos Alimentícios Ltda ME - 1 máquina a mais recebida</t>
  </si>
  <si>
    <t>39.644.124/0001-45</t>
  </si>
  <si>
    <t>Dzpenza comércio varejista ltda</t>
  </si>
  <si>
    <t>37.765.981/0001-78</t>
  </si>
  <si>
    <t>E-markett Produtos alimenticios ltda</t>
  </si>
  <si>
    <t>Arquivados</t>
  </si>
  <si>
    <t>46.872.442/0001-29</t>
  </si>
  <si>
    <t>Easy Market - Macaé LTDA</t>
  </si>
  <si>
    <t>33.334.495/0001-44</t>
  </si>
  <si>
    <t xml:space="preserve">EasyPeasy Comércio de Alimentos </t>
  </si>
  <si>
    <t>48.068.257/0001-01</t>
  </si>
  <si>
    <t xml:space="preserve">Eder Santos de Carvalho </t>
  </si>
  <si>
    <t>50.647.067/0001-90</t>
  </si>
  <si>
    <t>EDSON EVANGELISTA DE PAULAJUNIOR</t>
  </si>
  <si>
    <t>EDSON EVANGELISTA DE PAULAJUNIOR (máquina) - acionado sofia 03/02</t>
  </si>
  <si>
    <t>44.367.366/0001-79</t>
  </si>
  <si>
    <t>Eduarda Castro Tatsuguchi</t>
  </si>
  <si>
    <t>42.104.598/0001-09</t>
  </si>
  <si>
    <t>Eduardo</t>
  </si>
  <si>
    <t>56.962.522/0001-29</t>
  </si>
  <si>
    <t xml:space="preserve">Eduardo Vieira de Paiva </t>
  </si>
  <si>
    <t>45.364.776/0001-29</t>
  </si>
  <si>
    <t xml:space="preserve">Elaine Cristina Rea Bardela </t>
  </si>
  <si>
    <t>45.132.553/0001-36</t>
  </si>
  <si>
    <t xml:space="preserve">Eliane Regina Campos Martins </t>
  </si>
  <si>
    <t>36.635.659/0001-61</t>
  </si>
  <si>
    <t>Elite Market</t>
  </si>
  <si>
    <t xml:space="preserve">Elite Market </t>
  </si>
  <si>
    <t>58.501.916/0001-05</t>
  </si>
  <si>
    <t>ELITON BEZERRA - upgrade de totem</t>
  </si>
  <si>
    <t>51.828.104/0001-20</t>
  </si>
  <si>
    <t>Emerson de Melo Santos - moderninha V3</t>
  </si>
  <si>
    <t>58.861.065/0001-01</t>
  </si>
  <si>
    <t>Emerson Gonçalves Parente (Três travas e módulo) - acionado sofia 05/02</t>
  </si>
  <si>
    <t>57.259.937/0001-01</t>
  </si>
  <si>
    <t>Empório rac - Urgente, loja aberta, Sedex 12</t>
  </si>
  <si>
    <t>62.045.039/0001-82</t>
  </si>
  <si>
    <t>Erika Costa</t>
  </si>
  <si>
    <t>54.795.435/0001-07</t>
  </si>
  <si>
    <t xml:space="preserve">Erisvaldo Peixoto dos Santos </t>
  </si>
  <si>
    <t>38.210.452/0001-70</t>
  </si>
  <si>
    <t>F H SANCHEZ MINIMERCADO</t>
  </si>
  <si>
    <t xml:space="preserve">F H SANCHEZ MINIMERCADO </t>
  </si>
  <si>
    <t>F H SANCHEZ MINIMERCADO (máquina) - acionado Sofia 04/02</t>
  </si>
  <si>
    <t>46.261.557/0001-87</t>
  </si>
  <si>
    <t>Fabiane Ribeiro Martins</t>
  </si>
  <si>
    <t>61.964.792/0001-09</t>
  </si>
  <si>
    <t xml:space="preserve">Fabiane Soares da Silva Alves </t>
  </si>
  <si>
    <t>52.732.639/0001-65</t>
  </si>
  <si>
    <t>Fabio Aparecido Boffe -devolvido presencial evidencia anexa de comporvante</t>
  </si>
  <si>
    <t>Fabio Sanchez - card duplicado</t>
  </si>
  <si>
    <t>Fabio Sanchez - máquina bloqueada</t>
  </si>
  <si>
    <t>47.992.388/0001-18</t>
  </si>
  <si>
    <t>FACILITAR MINIMERCADO LTDA (adaptador e leitor) - acionado sofia 09/02</t>
  </si>
  <si>
    <t>46.865.793/0001-02</t>
  </si>
  <si>
    <t>Fagundes Sena Sobral Ltda</t>
  </si>
  <si>
    <t>49.723.590/0001-70</t>
  </si>
  <si>
    <t>Felipe Angelo Manrique</t>
  </si>
  <si>
    <t xml:space="preserve">FELIPE ANGELO MANRIQUE </t>
  </si>
  <si>
    <t>Fernanda Rodrigues (máquina) - acionado Sofia 09/02 (comentários)</t>
  </si>
  <si>
    <t>37.721.285/0001-60</t>
  </si>
  <si>
    <t xml:space="preserve">Fernando Carlos Balbino </t>
  </si>
  <si>
    <t>62.736.807/0001-44</t>
  </si>
  <si>
    <t>Fernando de Jesus Ramos  (adaptador e módulo) - acionado Sofia 04/02</t>
  </si>
  <si>
    <t>45.912.624/0001-13</t>
  </si>
  <si>
    <t>Ferrari e Nogueira Mini Market Ltda</t>
  </si>
  <si>
    <t>FLASHBUY MERCADOS</t>
  </si>
  <si>
    <t>50.032.100/0001-78</t>
  </si>
  <si>
    <t>Flávia Aparecida Ferrari - Totem 30 para Smart V1</t>
  </si>
  <si>
    <t>62.581.183/0001-33</t>
  </si>
  <si>
    <t xml:space="preserve">Flavio de Oliveira Pinheiro </t>
  </si>
  <si>
    <t>60.896.394/0001-30</t>
  </si>
  <si>
    <t>Flávio Prado de Oliveira - (máquina) acionado Sofia em 02/02</t>
  </si>
  <si>
    <t>59.402.098/0001-56</t>
  </si>
  <si>
    <t xml:space="preserve">FMK COMÉRCIO </t>
  </si>
  <si>
    <t>48.358.843/0001-90</t>
  </si>
  <si>
    <t>Francine Hingst Yates</t>
  </si>
  <si>
    <t>Francine Yates</t>
  </si>
  <si>
    <t>43.768.232/0001-05</t>
  </si>
  <si>
    <t>Friends Smart Market</t>
  </si>
  <si>
    <t>53.450.911/0001-87</t>
  </si>
  <si>
    <t>Gabriela Freitas De Oliveira</t>
  </si>
  <si>
    <t>60.963.797/0001-54</t>
  </si>
  <si>
    <t>Gabriela Paranhos Chaves Camargos</t>
  </si>
  <si>
    <t>Geovanny Garcia Alzate (Código de rastreio QN287611627BR)</t>
  </si>
  <si>
    <t>50.063.496/0001-10</t>
  </si>
  <si>
    <t>Gesiele</t>
  </si>
  <si>
    <t>55.247.626/0001-99</t>
  </si>
  <si>
    <t>Glaucia Maria Silva Antunes Ferreira</t>
  </si>
  <si>
    <t>51.340.725/0001-60</t>
  </si>
  <si>
    <t>Gleyder</t>
  </si>
  <si>
    <t>57.679.817/0001-55</t>
  </si>
  <si>
    <t>GO!STORE</t>
  </si>
  <si>
    <t>37.802.181/0001-80</t>
  </si>
  <si>
    <t>GUERRA DISTRIBUIDORA</t>
  </si>
  <si>
    <t xml:space="preserve">55.646.414/0001-84
</t>
  </si>
  <si>
    <t>Guild - Tpflex 16</t>
  </si>
  <si>
    <t>53.190.051/0001-90</t>
  </si>
  <si>
    <t>Guilherme Pimentel dos Santos</t>
  </si>
  <si>
    <t>41.778.194/0001-38</t>
  </si>
  <si>
    <t>Guilherme Silva de Oliveira</t>
  </si>
  <si>
    <t>52.876.904/0001-89</t>
  </si>
  <si>
    <t>Gustavo - Envio Suporte V3</t>
  </si>
  <si>
    <t>54.047.761/0001-28</t>
  </si>
  <si>
    <t>HB Market (adaptador) -acionado sofia 06/02 (COMENTÁRIOS)</t>
  </si>
  <si>
    <t>26.062.145/0001-00</t>
  </si>
  <si>
    <t xml:space="preserve">Helenita Maccari Francelino </t>
  </si>
  <si>
    <t>57.086.435/0001-18</t>
  </si>
  <si>
    <t>Hellen Alves Lopes Farina</t>
  </si>
  <si>
    <t>64.730.744/0001-44</t>
  </si>
  <si>
    <t>Herick Ghenov</t>
  </si>
  <si>
    <t>47.905.388/0001-33</t>
  </si>
  <si>
    <t>Herivelto Lopes Correia</t>
  </si>
  <si>
    <t>53.899.490/0001-76</t>
  </si>
  <si>
    <t>Hilton Sakumoto</t>
  </si>
  <si>
    <t>63.892.276/0001-41</t>
  </si>
  <si>
    <t>Homiq</t>
  </si>
  <si>
    <t>46.934.695/0001-80</t>
  </si>
  <si>
    <t xml:space="preserve">Hugo Cesar Rodrigues </t>
  </si>
  <si>
    <t>46.145.046/0001-08</t>
  </si>
  <si>
    <t xml:space="preserve">Hugo Leonardo Bacelar e Silva </t>
  </si>
  <si>
    <t>33.240.401/0001-78</t>
  </si>
  <si>
    <t>Ian Roger Ferreira - totem híbrido para máquina v3</t>
  </si>
  <si>
    <t>Igor - Buy At Home - trava (acionado 09/02 gabi)</t>
  </si>
  <si>
    <t>48.673.126/0001-53</t>
  </si>
  <si>
    <t xml:space="preserve">Infinity Residence </t>
  </si>
  <si>
    <t>51.656.082/0001-68</t>
  </si>
  <si>
    <t>Ivan David da silva jr (chipe) - acionado sofia 06/02.</t>
  </si>
  <si>
    <t>Ivan david da silva junior</t>
  </si>
  <si>
    <t>52.134.404/0001-71</t>
  </si>
  <si>
    <t>Ivone Pedro de oliveira</t>
  </si>
  <si>
    <t>57.671.386/0001-80</t>
  </si>
  <si>
    <t>Jlsmart</t>
  </si>
  <si>
    <t>54.297.611/0001-72</t>
  </si>
  <si>
    <t>Joana Darc Tagoada Jahnel</t>
  </si>
  <si>
    <t>José borgatto neto</t>
  </si>
  <si>
    <t xml:space="preserve">José borgatto neto </t>
  </si>
  <si>
    <t xml:space="preserve">José Carlos Paiva de Alcantara Junior </t>
  </si>
  <si>
    <t>49.939.162/0001-89</t>
  </si>
  <si>
    <t>JOSEMARA GONÇALVES SOUSA</t>
  </si>
  <si>
    <t>58.761.003/0001-28</t>
  </si>
  <si>
    <t xml:space="preserve">JPJVCJ Mercado Autônomo B Ltda </t>
  </si>
  <si>
    <t>53.258.843/0001-59</t>
  </si>
  <si>
    <t>Juan Fernandes</t>
  </si>
  <si>
    <t>42.541.345/0001-00</t>
  </si>
  <si>
    <t>Juka Comércio de Suprimentos e Utensílios Ltda</t>
  </si>
  <si>
    <t>54.193.708/0001-35</t>
  </si>
  <si>
    <t>Juliana de Amorim Gomes Paltanin  Allday minimercados</t>
  </si>
  <si>
    <t>56.213.330/0001-10</t>
  </si>
  <si>
    <t xml:space="preserve">Jussara Eloise Rissato </t>
  </si>
  <si>
    <t>45.155.539/0001-58</t>
  </si>
  <si>
    <t>Karina lancerote Produtos</t>
  </si>
  <si>
    <t>47.000.164/0001-82</t>
  </si>
  <si>
    <t>Kele Gleisse de Freitas dias Fernandes 2 leitores 1 maq</t>
  </si>
  <si>
    <t>49.194.978/0001-20</t>
  </si>
  <si>
    <t>Kéli Back Sinhorini</t>
  </si>
  <si>
    <t>KELI BACK SINHORINI</t>
  </si>
  <si>
    <t>42.473.508/0001-57</t>
  </si>
  <si>
    <t>Kely Sayuri Wauke Shigeno</t>
  </si>
  <si>
    <t>63.762.499/0001-94</t>
  </si>
  <si>
    <t>KM9 EXPRESS LTDA</t>
  </si>
  <si>
    <t>52.297.005/0001-21</t>
  </si>
  <si>
    <t>Kristiane Andrade Eutaquio</t>
  </si>
  <si>
    <t>51.029.931/0001-53</t>
  </si>
  <si>
    <t xml:space="preserve">Lais Pellicciotti de Paula Oliveira </t>
  </si>
  <si>
    <t>64.011.111/0001-86</t>
  </si>
  <si>
    <t xml:space="preserve">Laiza dos santos Brasil </t>
  </si>
  <si>
    <t>35.744.737/0001-01</t>
  </si>
  <si>
    <t>LAM COMERCIO E VAREJO - TRAVA INTERNA NOVA</t>
  </si>
  <si>
    <t>61.457.431/0001-76</t>
  </si>
  <si>
    <t xml:space="preserve">LARISSA GRAZIELE FERREIRA  </t>
  </si>
  <si>
    <t>53.191.253/0001-56</t>
  </si>
  <si>
    <t>Leandro Aparecido Dias de Souza</t>
  </si>
  <si>
    <t>43.146.173/0001-25</t>
  </si>
  <si>
    <t>Leandro Augusto Teixeira</t>
  </si>
  <si>
    <t>49.318.448/0001-47</t>
  </si>
  <si>
    <t>LEANDRO MEDEIROS - 2 totens 30C</t>
  </si>
  <si>
    <t xml:space="preserve">Henrique Weber Soeiro </t>
  </si>
  <si>
    <t>48.423.484/0001-08</t>
  </si>
  <si>
    <t>Lissandra Gonçalves de Freitas (leitor) - acionado sofia 06/02</t>
  </si>
  <si>
    <t>49.218.265/0001-50</t>
  </si>
  <si>
    <t>Lourencio Lopes do Nascimento</t>
  </si>
  <si>
    <t>42.448.966/0001-36</t>
  </si>
  <si>
    <t>LUCAS DE REZENDE MAREGA</t>
  </si>
  <si>
    <t>31.462.233/0001-30</t>
  </si>
  <si>
    <t>Lucas Ferri dos Santos Souza</t>
  </si>
  <si>
    <t>Lucas Ferri dos Santos Souza (máquina) - acionado em 03/02</t>
  </si>
  <si>
    <t>Lucas Ferri dos Santos Souza - maquina - acionado 04/02 - novo contato: 11 94351-2069</t>
  </si>
  <si>
    <t>Lucas Ribeiro Miranda</t>
  </si>
  <si>
    <t>54.093.464/0001-19</t>
  </si>
  <si>
    <t>Luis Fernando Iamamoto</t>
  </si>
  <si>
    <t>32.704.335/0001-87</t>
  </si>
  <si>
    <t>Lusandro Araújo</t>
  </si>
  <si>
    <t>60.195.558/0001-00</t>
  </si>
  <si>
    <t>MA MERCADO INTELIGENTE</t>
  </si>
  <si>
    <t>27.839.614/0001-18</t>
  </si>
  <si>
    <t xml:space="preserve">Maciel Almondes Pereira </t>
  </si>
  <si>
    <t>34.756.704/0001-00</t>
  </si>
  <si>
    <t>MAHEL EMPREENDIMENTOS LTDA</t>
  </si>
  <si>
    <t>42.927.891/0001-76</t>
  </si>
  <si>
    <t>Manasses Pessoa de Lima (leitor) - acionado sofia 05/02.</t>
  </si>
  <si>
    <t>49.584.002/0001-64</t>
  </si>
  <si>
    <t xml:space="preserve">mão na roda market </t>
  </si>
  <si>
    <t xml:space="preserve">Mão na roda market </t>
  </si>
  <si>
    <t>43.333.852/0001-03</t>
  </si>
  <si>
    <t>Marcelo Campos</t>
  </si>
  <si>
    <t>46.909.848/0001-39</t>
  </si>
  <si>
    <t>Marcelo de Jesus</t>
  </si>
  <si>
    <t>Marcelo de Jesus:</t>
  </si>
  <si>
    <t>40.732.736/0001-79</t>
  </si>
  <si>
    <t>MARCIO ROBERTO BUSCARIOLO</t>
  </si>
  <si>
    <t>47.868.101/0001-42</t>
  </si>
  <si>
    <t>Marco Antônio Pimpão Machado Cunha - enviado</t>
  </si>
  <si>
    <t>51.338.352/0001-92</t>
  </si>
  <si>
    <t>Marcos Andre da Silva Ferreira</t>
  </si>
  <si>
    <t>MARIA BAENA MANRIQUE</t>
  </si>
  <si>
    <t>28.520.967/0001-13</t>
  </si>
  <si>
    <t>Maria Costa</t>
  </si>
  <si>
    <t>37.751.094/0001-40</t>
  </si>
  <si>
    <t>Maria Gasolina</t>
  </si>
  <si>
    <t>58.362.537/0001-81</t>
  </si>
  <si>
    <t xml:space="preserve">Maria Gasolina Office Park </t>
  </si>
  <si>
    <t>61.522.150/0001-50</t>
  </si>
  <si>
    <t>Mariana Freire Passos</t>
  </si>
  <si>
    <t>62.875.304/0001-50</t>
  </si>
  <si>
    <t>Mariana Miranda Corcetti</t>
  </si>
  <si>
    <t xml:space="preserve">Mariana Miranda Corcetti </t>
  </si>
  <si>
    <t>59.315.072/0001-70</t>
  </si>
  <si>
    <t xml:space="preserve">Marilene dos Santos pinho </t>
  </si>
  <si>
    <t>31.954.622/0001-82</t>
  </si>
  <si>
    <t xml:space="preserve">Marisa Nogueira Oliveira </t>
  </si>
  <si>
    <t>63.831.818/0001-76</t>
  </si>
  <si>
    <t>Market do Villa</t>
  </si>
  <si>
    <t>44.242.826/0001-32</t>
  </si>
  <si>
    <t>Market minimercados autônomos ltda</t>
  </si>
  <si>
    <t>44.380.164/0001-67</t>
  </si>
  <si>
    <t xml:space="preserve">Masako Horibe Takemoto </t>
  </si>
  <si>
    <t>38.193.791/0001-96</t>
  </si>
  <si>
    <t>Mateus Magalhães Menezes</t>
  </si>
  <si>
    <t>55.534.351/0001-74</t>
  </si>
  <si>
    <t>Maurício Beckhauser nunes</t>
  </si>
  <si>
    <t>MEGGAMIX SISTEMAS AUTOMATICOS DE VENDA LTDA</t>
  </si>
  <si>
    <t>MEGGAMIX SISTEMAS AUTOMATICOS DE VENDA LTDA.</t>
  </si>
  <si>
    <t>Meggamix sistemas automáticos de vendas - ORIGEM NÃO IDENTIFICADA</t>
  </si>
  <si>
    <t>Vinícius Melesque dos Santos</t>
  </si>
  <si>
    <t>55.507.991/0001-95</t>
  </si>
  <si>
    <t>Meire Fernandes Boaventura Ferreira</t>
  </si>
  <si>
    <t>63.134.042/0001-35</t>
  </si>
  <si>
    <t>Melissa Fornazari Silveira</t>
  </si>
  <si>
    <t>60.054.968/0001-22</t>
  </si>
  <si>
    <t>MENULIFE CONVENIENCIA LTDA</t>
  </si>
  <si>
    <t>41.712.976/0001-74</t>
  </si>
  <si>
    <t>Mercadex</t>
  </si>
  <si>
    <t>48.798.711/0001-80</t>
  </si>
  <si>
    <t xml:space="preserve">Mercadinho 24h Ltda </t>
  </si>
  <si>
    <t>54.537.187/0001-96</t>
  </si>
  <si>
    <t>MERCADOS SANDEI (adaptador e módulo) - acionado sofia 06/02.</t>
  </si>
  <si>
    <t>51.007.313/0001-02</t>
  </si>
  <si>
    <t>Merisa minimercado Ltda</t>
  </si>
  <si>
    <t>57.841.225/0001-98</t>
  </si>
  <si>
    <t>Michele Bastos da Costa (adaptador e módulo) - acionado Sofia 04/02 (aguardando resolver o problema com a máquina para realizar a devolução)</t>
  </si>
  <si>
    <t>51.320.460/0001-38</t>
  </si>
  <si>
    <t>MiniBox 2 (máquina) - acionado sofia 05/02. Telefone: 21 99845-5246</t>
  </si>
  <si>
    <t>48.429.178/0001-89</t>
  </si>
  <si>
    <t>Minimercados TW LTDA</t>
  </si>
  <si>
    <t>43.845.402/0001-08</t>
  </si>
  <si>
    <t xml:space="preserve">Mirian Cristina Orias Amaral </t>
  </si>
  <si>
    <t>56.062.234/0001-18</t>
  </si>
  <si>
    <t xml:space="preserve">MMS MINI MERCADO LTDA </t>
  </si>
  <si>
    <t>60.542.596/0001-83</t>
  </si>
  <si>
    <t>Mr.Mart (Módulo de acesso trava) - acionado Sofia 02/02</t>
  </si>
  <si>
    <t>47.097.158/0001-95</t>
  </si>
  <si>
    <t>mtt comercio e distribuição - acionado Sofia. 18/02 (comentários)</t>
  </si>
  <si>
    <t>Muda Mercado e conbeniencia ltda</t>
  </si>
  <si>
    <t>53.175.271/0001-44</t>
  </si>
  <si>
    <t xml:space="preserve">Nadia Aparecida Marrega Fortes </t>
  </si>
  <si>
    <t>51.335.030/0001-90</t>
  </si>
  <si>
    <t>Nathalia Maria de Andrade Camargo</t>
  </si>
  <si>
    <t>Nicolas - NNM GASTRONOMIA DELIVERY LTDA:</t>
  </si>
  <si>
    <t>62.490.176/0001-26</t>
  </si>
  <si>
    <t xml:space="preserve">Nicolas Bortot de Almeida </t>
  </si>
  <si>
    <t>50.721.132/0001-80</t>
  </si>
  <si>
    <t>PAG E LEV LTDA</t>
  </si>
  <si>
    <t>PAG E LEV LTDA (máquina e leitor) - acionado Sofia 05/02</t>
  </si>
  <si>
    <t>63.704.771/0001-80</t>
  </si>
  <si>
    <t>Papini smart  Store ltda</t>
  </si>
  <si>
    <t>60.449.072/0001-42</t>
  </si>
  <si>
    <t>Paula Marcela</t>
  </si>
  <si>
    <t>33.903.366/0001-20</t>
  </si>
  <si>
    <t>Paulo</t>
  </si>
  <si>
    <t>51.630.165/0001-88</t>
  </si>
  <si>
    <t>Paulo Ricardo Ribeiro</t>
  </si>
  <si>
    <t>40.655.145/0001-45</t>
  </si>
  <si>
    <t xml:space="preserve">Paulo Sérgio Alves Azevedo </t>
  </si>
  <si>
    <t>Pedro</t>
  </si>
  <si>
    <t>48.233.954/0001-70</t>
  </si>
  <si>
    <t>Pedro Albano - Take a Break</t>
  </si>
  <si>
    <t>PEP Comercio</t>
  </si>
  <si>
    <t>38.428.490/0001-02</t>
  </si>
  <si>
    <t>Pick N Pay Market</t>
  </si>
  <si>
    <t xml:space="preserve">Pick N Pay Market comércio varejista de conveniência ltda </t>
  </si>
  <si>
    <t>Pick N Pay Market comércio varejista de conveniência ltda (trava e módulo) - acionado sofia 09/02</t>
  </si>
  <si>
    <t>PIMPÃO - Fará a devolução em 09/02.</t>
  </si>
  <si>
    <t xml:space="preserve">PIMPÃO MINI MERCATO </t>
  </si>
  <si>
    <t>PIMPÃO MINI MERCATO (máquina) - acionado sofia 05/02. (COMENTÁRIOS)</t>
  </si>
  <si>
    <t>POLLYANA FERNANDES</t>
  </si>
  <si>
    <t>33.744.666/0001-03</t>
  </si>
  <si>
    <t xml:space="preserve">Priscila do Couto Santos </t>
  </si>
  <si>
    <t>47.010.135/0001-00</t>
  </si>
  <si>
    <t>RA Mini Market ltda</t>
  </si>
  <si>
    <t>49.375.138/0001-64</t>
  </si>
  <si>
    <t xml:space="preserve">Rafael Cassiano </t>
  </si>
  <si>
    <t>62.283.678/0001-86</t>
  </si>
  <si>
    <t xml:space="preserve">Rafael Ritez Rivaben </t>
  </si>
  <si>
    <t>54.561.283/0001-70</t>
  </si>
  <si>
    <t>Ramon Rovaris</t>
  </si>
  <si>
    <t>55.923.821/0001-91</t>
  </si>
  <si>
    <t xml:space="preserve">Ranieri T Silva </t>
  </si>
  <si>
    <t xml:space="preserve">54.346.116/0003-78
</t>
  </si>
  <si>
    <t>Rascunho</t>
  </si>
  <si>
    <t>Winicius Santos</t>
  </si>
  <si>
    <t>39.413.866/0001-60</t>
  </si>
  <si>
    <t>Rede Mapa Conveniência e Mercado Ltda</t>
  </si>
  <si>
    <t>50.978.435/0001-83</t>
  </si>
  <si>
    <t>Regilene Barreto - acionado sofia 06/02</t>
  </si>
  <si>
    <t xml:space="preserve">49.792.784/0001-27
</t>
  </si>
  <si>
    <t>Renata Totolo Contiero</t>
  </si>
  <si>
    <t xml:space="preserve">Samuel Alexandre Bittencourt Vieira </t>
  </si>
  <si>
    <t>57.414.095/0001-07</t>
  </si>
  <si>
    <t xml:space="preserve">Renato lobo mendes </t>
  </si>
  <si>
    <t>46.464.051/0001-75</t>
  </si>
  <si>
    <t xml:space="preserve">Renato Luís Bertin </t>
  </si>
  <si>
    <t>54.880.972/0001-47</t>
  </si>
  <si>
    <t>Ricardo de Oliveira Franco</t>
  </si>
  <si>
    <t>Ricardo de Oliveira Franco (trava) - acionado Sofia 03/02</t>
  </si>
  <si>
    <t>46.387.537/0001-57</t>
  </si>
  <si>
    <t>RIGATTI COMERCIO DE PRODUTOS ALIMENTICIOS LTDA</t>
  </si>
  <si>
    <t>RIGATTI COMERCIO DE PRODUTOS ALIMENTICIOS LTDA (adaptador e leitor) - acionado sofia 09/02 (comentários)</t>
  </si>
  <si>
    <t>54.793.501/0001-00</t>
  </si>
  <si>
    <t xml:space="preserve">Rita Márcia Macedo Cortado </t>
  </si>
  <si>
    <t>62.118.319/0001-73</t>
  </si>
  <si>
    <t xml:space="preserve">Robson Luis severiano RCJ comercial Ltda </t>
  </si>
  <si>
    <t>47.783.546/0001-20</t>
  </si>
  <si>
    <t>Rodolfo de Castro Bernardes - Self Br</t>
  </si>
  <si>
    <t>61.101.888/0001-43</t>
  </si>
  <si>
    <t>Rodolfo Gomes de Lima Caetano</t>
  </si>
  <si>
    <t>61.514.997/0001-92</t>
  </si>
  <si>
    <t>Rodrigo Guimarães</t>
  </si>
  <si>
    <t>Rodrigo Presser</t>
  </si>
  <si>
    <t>46.474.586/0001-27</t>
  </si>
  <si>
    <t xml:space="preserve">Roger Otoni de Araújo </t>
  </si>
  <si>
    <t>46.787.662/0001-54</t>
  </si>
  <si>
    <t>Roger Trierveiler</t>
  </si>
  <si>
    <t>56.098.085/0001-47</t>
  </si>
  <si>
    <t>Roger/ Pedro</t>
  </si>
  <si>
    <t>27.374.448/0001-21</t>
  </si>
  <si>
    <t>SANTOS E NOBRE SÍNDICOS ASSOCIADOS</t>
  </si>
  <si>
    <t>04.976.108/0001-75</t>
  </si>
  <si>
    <t>Sergio Karagulian</t>
  </si>
  <si>
    <t xml:space="preserve">Sergio Karagulian </t>
  </si>
  <si>
    <t>Sheila Samara</t>
  </si>
  <si>
    <t>46.108.202/0001-52</t>
  </si>
  <si>
    <t>Sheila Smart Store</t>
  </si>
  <si>
    <t>61.452.156/0001-06</t>
  </si>
  <si>
    <t>Silvia Leticia Dutra Melles (cabo USB) - acionado sofia em 02/02</t>
  </si>
  <si>
    <t>Silvio César dos Santos Piovesane</t>
  </si>
  <si>
    <t>Silvio César dos Santos Piovesane - maquina (acionado 09/02 gabi) - (CONTATO: FERNANDA)</t>
  </si>
  <si>
    <t>50.478.554/0001-77</t>
  </si>
  <si>
    <t>Simone</t>
  </si>
  <si>
    <t>57.419.415/0001-11</t>
  </si>
  <si>
    <t xml:space="preserve">Simone Vieira de Almeida Silva </t>
  </si>
  <si>
    <t>61.758.586/0001-42</t>
  </si>
  <si>
    <t>Sinval Peixoto Orrico da Silva Neto</t>
  </si>
  <si>
    <t>42.991.706/0001-02</t>
  </si>
  <si>
    <t>SIVONALDO BERNARDINO DA SILVA</t>
  </si>
  <si>
    <t>Smart Café</t>
  </si>
  <si>
    <t xml:space="preserve">37.502.560/0001-54
</t>
  </si>
  <si>
    <t>SMARTSTORE COMERCIO E LICENCIAMENTO</t>
  </si>
  <si>
    <t>13.776.437/0001-63</t>
  </si>
  <si>
    <t>Sofia de Diego (adaptador e leitor) - acionado Sofia 09/02 (comentários)</t>
  </si>
  <si>
    <t>18.069.936/0001-34</t>
  </si>
  <si>
    <t>Speedmaster</t>
  </si>
  <si>
    <t>ST MARKET LTDA</t>
  </si>
  <si>
    <t>34.212.116/0001-06</t>
  </si>
  <si>
    <t>Stefanie Sapag Salgado</t>
  </si>
  <si>
    <t>22.949.368/0001-33</t>
  </si>
  <si>
    <t>SUPPORTE SERVICOS DE APOIO ADMINISTRATIVO LTDA</t>
  </si>
  <si>
    <t>32.348.868/0001-73</t>
  </si>
  <si>
    <t xml:space="preserve">Suzana das Dores Marcilia </t>
  </si>
  <si>
    <t>51.851.450/0001-29</t>
  </si>
  <si>
    <t>Tainá Cleto Ferreira</t>
  </si>
  <si>
    <t>61.453.374/0001-57</t>
  </si>
  <si>
    <t xml:space="preserve">Taís Morada Bento Corrêa </t>
  </si>
  <si>
    <t>Take a Break - TPFlex Pro Max Completo!</t>
  </si>
  <si>
    <t>TAKE MERCADO LTDA - Acionado sofia 06/02 (comentários)</t>
  </si>
  <si>
    <t>64.418.873/0001-00</t>
  </si>
  <si>
    <t>Tales Mendes Mancebo</t>
  </si>
  <si>
    <t>46.731.249/0001-78</t>
  </si>
  <si>
    <t>Talita Cardoso Reame - maquina ( acionado 09/02 gabi)</t>
  </si>
  <si>
    <t>51.141.280/0001-99</t>
  </si>
  <si>
    <t>Talita Claudiano Pires</t>
  </si>
  <si>
    <t>43.850.687/0001-67</t>
  </si>
  <si>
    <t>Tatiane Candido Molina</t>
  </si>
  <si>
    <t>Tatiane Candido Molina (adaptador e leitor) - acionado Sofia 03/02 (11) 977997163</t>
  </si>
  <si>
    <t>Tatiane Candido Molina - maquina (acionado 09/02 gabi)</t>
  </si>
  <si>
    <t>Teste</t>
  </si>
  <si>
    <t>teste caio 2</t>
  </si>
  <si>
    <t>45.113.390/0001-44</t>
  </si>
  <si>
    <t xml:space="preserve">Teu Mercado mercado autônomo </t>
  </si>
  <si>
    <t>50.518.425/0001-65</t>
  </si>
  <si>
    <t>Thaline de Oliveira Novaes</t>
  </si>
  <si>
    <t>Thaline de Oliveira Novaes (leitor) - acionado sofia 06/02.</t>
  </si>
  <si>
    <t>53.249.213/0001-18</t>
  </si>
  <si>
    <t>Thiago Henrique Baptista</t>
  </si>
  <si>
    <t>42.932.347/0001-12</t>
  </si>
  <si>
    <t>Thiago Mendes de Araújo - maquina (acionado 09/02 gabi) - *postará amanhã</t>
  </si>
  <si>
    <t>51.035.709/0001-63</t>
  </si>
  <si>
    <t>Tiago Baldassin de Souza</t>
  </si>
  <si>
    <t>53.602.241/0001-77</t>
  </si>
  <si>
    <t xml:space="preserve">Tiago Gabriel Gurtler Pozzi </t>
  </si>
  <si>
    <t>62.557.322/0001-93</t>
  </si>
  <si>
    <t>TITAN COMERCIO DE PRODUTOS LTDA</t>
  </si>
  <si>
    <t>59.500.620/0001-32</t>
  </si>
  <si>
    <t>Top Smart comércio de alimentos Ltda</t>
  </si>
  <si>
    <t>51.500.776/0001-01</t>
  </si>
  <si>
    <t xml:space="preserve">Vale minimercados </t>
  </si>
  <si>
    <t>10.421.587/0001-66</t>
  </si>
  <si>
    <t xml:space="preserve">Valter Balioni </t>
  </si>
  <si>
    <t>52.353.579/0001-70</t>
  </si>
  <si>
    <t>Vânia Savoldi chiarion</t>
  </si>
  <si>
    <t>59.352.438/0001-81</t>
  </si>
  <si>
    <t>Vanusa Arantes Vasques (módulo) - acionado Sofia 04/02 (geramos código, vai devolver)</t>
  </si>
  <si>
    <t>54.829.819/0001-95</t>
  </si>
  <si>
    <t>Vaz Tech Comercio de Alimentos LTDA - suporte para máquina V3</t>
  </si>
  <si>
    <t>37.462.241/0001-62</t>
  </si>
  <si>
    <t xml:space="preserve">VENDINHA24H </t>
  </si>
  <si>
    <t xml:space="preserve">vendinha24h serviços e comercio de produtos alimenticios LTDA </t>
  </si>
  <si>
    <t>55.588.579/0001-47</t>
  </si>
  <si>
    <t xml:space="preserve">Veríssimo José Bispo Júnior </t>
  </si>
  <si>
    <t>12.506.617/0001-62</t>
  </si>
  <si>
    <t xml:space="preserve">Vilaseca Comércio de Produtos Alimentícios </t>
  </si>
  <si>
    <t>58.861.013/0001-35</t>
  </si>
  <si>
    <t xml:space="preserve">Ville Prime Comércios e Serviços LTDA </t>
  </si>
  <si>
    <t>50.782.809/0001-90</t>
  </si>
  <si>
    <t>Vinicius Rossi de Oliveira</t>
  </si>
  <si>
    <t>27.082.443/0001-25</t>
  </si>
  <si>
    <t>Vinicius Vioto Prado</t>
  </si>
  <si>
    <t>64.151.097/0001-16</t>
  </si>
  <si>
    <t>Vinycius Araujo</t>
  </si>
  <si>
    <t>52.456.583/0001-63</t>
  </si>
  <si>
    <t>Vitor Sanches Secundo da Silva</t>
  </si>
  <si>
    <t>55.549.974/0001-10</t>
  </si>
  <si>
    <t>Viviane Maria Soares Oliveira de Paula</t>
  </si>
  <si>
    <t>Welson Leite</t>
  </si>
  <si>
    <t>Welson Leite (adaptador e módulo) - acionado sofia em 03/02</t>
  </si>
  <si>
    <t>Welson Leite - analisar o caso pois o pedido era cancelado</t>
  </si>
  <si>
    <t>54.048.255/0001-53</t>
  </si>
  <si>
    <t xml:space="preserve">Wendel Resende Maciel </t>
  </si>
  <si>
    <t>12.362.569/0001-86</t>
  </si>
  <si>
    <t>Weriton Griti Souza</t>
  </si>
  <si>
    <t>59.864.724/0001-26</t>
  </si>
  <si>
    <t>WERYC ANDRE LUIS DE CARVALHO E LIMA</t>
  </si>
  <si>
    <t>57.095.585/0001-98</t>
  </si>
  <si>
    <t xml:space="preserve">William Gutemberg silva dos Santos </t>
  </si>
  <si>
    <t>50.618.409/0001-44</t>
  </si>
  <si>
    <t>Wizmart</t>
  </si>
  <si>
    <t>WIZMART - DF COMERCIO VAREJISTA LTDA</t>
  </si>
  <si>
    <t>Wizmart - maquina (acionado 09/02 gabi)</t>
  </si>
  <si>
    <t>50.417.028/0001-05</t>
  </si>
  <si>
    <t>WIZMART - MG COMERCIO VAREJISTA LTDA</t>
  </si>
  <si>
    <t>wizmart bsb (adaptador) - acionado sofia 05/02.</t>
  </si>
  <si>
    <t>02.935.993/0001-19</t>
  </si>
  <si>
    <t>Total de Dias</t>
  </si>
  <si>
    <t>Zona</t>
  </si>
  <si>
    <t>Rótulos de Linha</t>
  </si>
  <si>
    <t>Total Geral</t>
  </si>
  <si>
    <t>0-14 dias</t>
  </si>
  <si>
    <t>15-19 dias</t>
  </si>
  <si>
    <t>31-60 dias</t>
  </si>
  <si>
    <t>20-24 dias</t>
  </si>
  <si>
    <t>25-30 dias</t>
  </si>
  <si>
    <t>Rótulos de Coluna</t>
  </si>
  <si>
    <t>Contagem de Total de Dias</t>
  </si>
  <si>
    <t xml:space="preserve"> mtt comercio e distribuição</t>
  </si>
  <si>
    <t>55.552.165/0001-68</t>
  </si>
  <si>
    <t xml:space="preserve">Antonio Claudio Lima dos Santos </t>
  </si>
  <si>
    <t>63.261.470/0001-29</t>
  </si>
  <si>
    <t>Carla Carolinny de Oliveira Lira</t>
  </si>
  <si>
    <t>56.302.841/0001-08</t>
  </si>
  <si>
    <t>FERNANDO MACEDO PIVA</t>
  </si>
  <si>
    <t>23.655.413/0001-00</t>
  </si>
  <si>
    <t>FLAVIO DINIZ GONCALVES FARIA</t>
  </si>
  <si>
    <t>51.883.188/0001-02</t>
  </si>
  <si>
    <t>Inova Pina ltda</t>
  </si>
  <si>
    <t>Ivan David da silva jr</t>
  </si>
  <si>
    <t>64.914.746/0001-93</t>
  </si>
  <si>
    <t>Jeriel Conceição Silva - STONE</t>
  </si>
  <si>
    <t>13.728.392/0001-51</t>
  </si>
  <si>
    <t>Mauricio Nascimento</t>
  </si>
  <si>
    <t>49.558.321/0001-03</t>
  </si>
  <si>
    <t>OUR MARKET MINIMERCADO E LANCHONETE LTDA</t>
  </si>
  <si>
    <t>50.553.206/0001-17</t>
  </si>
  <si>
    <t>PALOMA VIEIRA:</t>
  </si>
  <si>
    <t>27.565.497/0001-41</t>
  </si>
  <si>
    <t>31.286.044/0001-53</t>
  </si>
  <si>
    <t xml:space="preserve"> ANA CAROLINA FRANZOLIN ARAUJO REZENDE</t>
  </si>
  <si>
    <t>60.497.563/0001-69</t>
  </si>
  <si>
    <t xml:space="preserve"> Bruno Felipe Sá de Souza </t>
  </si>
  <si>
    <t>58.346.815/0001-07</t>
  </si>
  <si>
    <t xml:space="preserve"> Diego Santos Antunes Maciel</t>
  </si>
  <si>
    <t>55.374.478/0001-73</t>
  </si>
  <si>
    <t xml:space="preserve"> Fabrícia Fonseca Rezende</t>
  </si>
  <si>
    <t>43.001.652/0001-53</t>
  </si>
  <si>
    <t xml:space="preserve"> Iarussi comércio de alimentos e bebidas Ltda.</t>
  </si>
  <si>
    <t>47.711.554/0001-60</t>
  </si>
  <si>
    <t xml:space="preserve"> J C M DA S Teixeira </t>
  </si>
  <si>
    <t>62.492.307/0001-04</t>
  </si>
  <si>
    <t xml:space="preserve"> J. DE BRITO COMERCIO DE ALIMENTOS LTDA</t>
  </si>
  <si>
    <t>59.623.461/0001-63</t>
  </si>
  <si>
    <t xml:space="preserve"> Jacqueline Godoi de Toledo </t>
  </si>
  <si>
    <t xml:space="preserve"> Jessica c m s Teixeira </t>
  </si>
  <si>
    <t>57.801.762/0001-04</t>
  </si>
  <si>
    <t xml:space="preserve"> José Luís Paulino </t>
  </si>
  <si>
    <t>55.721.098/0001-68</t>
  </si>
  <si>
    <t xml:space="preserve"> ld comércio varejista de produtos</t>
  </si>
  <si>
    <t>38.088.406/0001-40</t>
  </si>
  <si>
    <t xml:space="preserve"> Lopes &amp; Lucena </t>
  </si>
  <si>
    <t>57.460.509/0001-34</t>
  </si>
  <si>
    <t xml:space="preserve"> Lovymkt Vending</t>
  </si>
  <si>
    <t>52.411.739/0001-90</t>
  </si>
  <si>
    <t xml:space="preserve"> MA2 Consultoria e gestão empresarial Ltda</t>
  </si>
  <si>
    <t>54.854.165/0001-50</t>
  </si>
  <si>
    <t xml:space="preserve"> Marcelo Henrique Oliveira Silva </t>
  </si>
  <si>
    <t>59.593.207/0001-60</t>
  </si>
  <si>
    <t xml:space="preserve"> Maria da Gloria Dias dos Santos </t>
  </si>
  <si>
    <t>41.082.966/0001-00</t>
  </si>
  <si>
    <t xml:space="preserve"> Mércia França da Silva </t>
  </si>
  <si>
    <t>38.132.380/0001-90</t>
  </si>
  <si>
    <t xml:space="preserve"> Murilo Cesar de Jesus</t>
  </si>
  <si>
    <t>43.789.527/0001-50</t>
  </si>
  <si>
    <t xml:space="preserve"> MVL comercio de alimentos ltda</t>
  </si>
  <si>
    <t>63.574.121/0001-67</t>
  </si>
  <si>
    <t xml:space="preserve"> Rapmax Minimercado Ltda </t>
  </si>
  <si>
    <t>52.949.400/0001-41</t>
  </si>
  <si>
    <t xml:space="preserve"> REGINA LUCIA DE SOUZA OLIVEIRA</t>
  </si>
  <si>
    <t xml:space="preserve"> Rios e Arigoni Ltda </t>
  </si>
  <si>
    <t>60.679.617/0001-07</t>
  </si>
  <si>
    <t xml:space="preserve"> Silvia Maria Magalhães Silva</t>
  </si>
  <si>
    <t>44.274.121/0001-05</t>
  </si>
  <si>
    <t xml:space="preserve"> SMART SHOP COMERCIAL </t>
  </si>
  <si>
    <t xml:space="preserve"> SUPER BOX MINIMERCADO LTDA</t>
  </si>
  <si>
    <t>60.199.755/0001-99</t>
  </si>
  <si>
    <t xml:space="preserve"> Tânia de Santana Ribeiro</t>
  </si>
  <si>
    <t xml:space="preserve"> Vinicius Rossi de Oliveira</t>
  </si>
  <si>
    <t>45.106.775/0001-84</t>
  </si>
  <si>
    <t xml:space="preserve"> Vitor Araújo de Souza </t>
  </si>
  <si>
    <t xml:space="preserve"> Walmir Fagundes</t>
  </si>
  <si>
    <t>52.362.840/0001-06</t>
  </si>
  <si>
    <t>3MFT CONERCIO VAREJISTA DE MERCADORIAS</t>
  </si>
  <si>
    <t>41.390.095/0001-84</t>
  </si>
  <si>
    <t>41.390.095 Laís Zanetti</t>
  </si>
  <si>
    <t>45.704.395/0001-41</t>
  </si>
  <si>
    <t>58.751.570/0001-01</t>
  </si>
  <si>
    <t>58.751.570 AILTON DA ROCHA LYRA JUNIOR</t>
  </si>
  <si>
    <t>60497563 Bruno Felipe Sá de Souza</t>
  </si>
  <si>
    <t>62.769.640/0001-18</t>
  </si>
  <si>
    <t>62.769.640 NAGELA RODRIGUES OLIVEIRA</t>
  </si>
  <si>
    <t>61.359.480/0001-76</t>
  </si>
  <si>
    <t>A M Bogalhão Conveniência Ltda</t>
  </si>
  <si>
    <t>A&amp;J MARKET STORE COMERCIO DE PRODUTOS ALIMENTICIO</t>
  </si>
  <si>
    <t>51.153.982/0001-92</t>
  </si>
  <si>
    <t>ABNER LUIZ DE ANDRADE BARBOSA</t>
  </si>
  <si>
    <t>55.928.000/0001-48</t>
  </si>
  <si>
    <t>Acam Comercio Ltda</t>
  </si>
  <si>
    <t>46.315.803/0001-36</t>
  </si>
  <si>
    <t xml:space="preserve">Adelcio Guimarães reis </t>
  </si>
  <si>
    <t>59.563.651/0001-32</t>
  </si>
  <si>
    <t xml:space="preserve">Adilson Costa Figueiredo </t>
  </si>
  <si>
    <t>Adriana Covizzi Queiroz</t>
  </si>
  <si>
    <t>49.673.531/0001-34</t>
  </si>
  <si>
    <t xml:space="preserve">Adriana dos Santos Garcia </t>
  </si>
  <si>
    <t>47.441.581/0001-60</t>
  </si>
  <si>
    <t>Adriana Tomoe Kojima Matsuyama</t>
  </si>
  <si>
    <t>57.980.966/0001-50</t>
  </si>
  <si>
    <t>Adriano de Carvalho</t>
  </si>
  <si>
    <t>27.512.032/0001-22</t>
  </si>
  <si>
    <t>Adriano Kanto</t>
  </si>
  <si>
    <t>Perda</t>
  </si>
  <si>
    <t>32.336.084/0001-25</t>
  </si>
  <si>
    <t>Adriano moraes da silva</t>
  </si>
  <si>
    <t>52.805.283/0001-42</t>
  </si>
  <si>
    <t>Adriano Rosa de Campos</t>
  </si>
  <si>
    <t>54.683.432/0001-73</t>
  </si>
  <si>
    <t>afael Ivair Darini - migração rápida</t>
  </si>
  <si>
    <t>59.432.480/0001-02</t>
  </si>
  <si>
    <t>AFFONSO IMPORIO COMERCIO DE ALIMENTOS LTDA</t>
  </si>
  <si>
    <t>45.966.030/0001-95</t>
  </si>
  <si>
    <t xml:space="preserve">AGILE SHOP </t>
  </si>
  <si>
    <t>60.818.320/0001-85</t>
  </si>
  <si>
    <t>Alba Léia Silva Rocha</t>
  </si>
  <si>
    <t>20.503.855/0001-42</t>
  </si>
  <si>
    <t>Alder Lázaro Silva Coelho</t>
  </si>
  <si>
    <t>ALDER LAZARO SILVA COELHO</t>
  </si>
  <si>
    <t>48.202.687/0001-74</t>
  </si>
  <si>
    <t>Alessandra dos Santos</t>
  </si>
  <si>
    <t xml:space="preserve">Alessandra dos Santos </t>
  </si>
  <si>
    <t>Alessandra dos Santos - ler comentário</t>
  </si>
  <si>
    <t>58.968.515/0001-60</t>
  </si>
  <si>
    <t>Alessandro Custodio do Prado ME</t>
  </si>
  <si>
    <t>46.237.696/0001-75</t>
  </si>
  <si>
    <t>Alessio Arroio Capati Júnior</t>
  </si>
  <si>
    <t>50.948.458/0001-45</t>
  </si>
  <si>
    <t>Alex</t>
  </si>
  <si>
    <t>52.113.043/0001-87</t>
  </si>
  <si>
    <t>Alex Antunes da Silva Regio</t>
  </si>
  <si>
    <t>23.089.787/0001-05</t>
  </si>
  <si>
    <t>Alex Nery de Andrade</t>
  </si>
  <si>
    <t>62.508.449/0001-12</t>
  </si>
  <si>
    <t>Alex Rodrigues Ramires</t>
  </si>
  <si>
    <t>47.817.252/0001-71</t>
  </si>
  <si>
    <t>Alex Sandro Benati</t>
  </si>
  <si>
    <t>27.938.895/0001-66</t>
  </si>
  <si>
    <t>ALEXANDRE BORBA TELLES</t>
  </si>
  <si>
    <t>50.902.265/0001-53</t>
  </si>
  <si>
    <t>Alexandre felix</t>
  </si>
  <si>
    <t>47.340.915/0001-00</t>
  </si>
  <si>
    <t xml:space="preserve">Alexandre Lolo dos Santos </t>
  </si>
  <si>
    <t>43.674.690/0001-77</t>
  </si>
  <si>
    <t>Alexandre Silveira trindade</t>
  </si>
  <si>
    <t xml:space="preserve">Alexandre Silveira trindade </t>
  </si>
  <si>
    <t>53.910.756/0001-34</t>
  </si>
  <si>
    <t>Alexon Moreira Lourenço - adaptador e leitor</t>
  </si>
  <si>
    <t>23.178.641/0001-36</t>
  </si>
  <si>
    <t xml:space="preserve">Alexsandra Irailde Galdino da Silva </t>
  </si>
  <si>
    <t>46.758.574/0001-24</t>
  </si>
  <si>
    <t>Aline Bueno Pereira Teixeira</t>
  </si>
  <si>
    <t>Aline DAngelo Ferreira de Melo</t>
  </si>
  <si>
    <t>60.090.774/0001-82</t>
  </si>
  <si>
    <t>Aline Lima Andrusy</t>
  </si>
  <si>
    <t xml:space="preserve">Aline Mercattino </t>
  </si>
  <si>
    <t>48.002.361/0001-01</t>
  </si>
  <si>
    <t xml:space="preserve">Aline Vanso Bortot </t>
  </si>
  <si>
    <t>53.999.956/0001-05</t>
  </si>
  <si>
    <t>Alkxyly Samyr</t>
  </si>
  <si>
    <t>42.509.058/0001-05</t>
  </si>
  <si>
    <t>Allan Kardec Martins</t>
  </si>
  <si>
    <t>06.217.330/0001-10</t>
  </si>
  <si>
    <t>allisson souto</t>
  </si>
  <si>
    <t>49.819.179/0001-00</t>
  </si>
  <si>
    <t>Almir Leandro Dornelas</t>
  </si>
  <si>
    <t>54.115.815/0001-45</t>
  </si>
  <si>
    <t>Amanda Fernandes Soares</t>
  </si>
  <si>
    <t>29.756.300/0001-87</t>
  </si>
  <si>
    <t>Amaral</t>
  </si>
  <si>
    <t>45.257.643/0001-53</t>
  </si>
  <si>
    <t>Amiraildes Lima Castro</t>
  </si>
  <si>
    <t>47.674.923/0001-92</t>
  </si>
  <si>
    <t>Ana</t>
  </si>
  <si>
    <t>ANA CAROLINA FRANZOLIN ARAUJO REZENDE</t>
  </si>
  <si>
    <t>Ana Carolina Franzolin Araújo Rezende</t>
  </si>
  <si>
    <t>ANA CLAUDIA DE LIMA E SILVA</t>
  </si>
  <si>
    <t>61.875.474/0001-71</t>
  </si>
  <si>
    <t>ANA CLAUDIA QUEIROZ LIMA</t>
  </si>
  <si>
    <t>Ana Claudia Queiroz Lima - TOTEM COM ABA</t>
  </si>
  <si>
    <t>Ana Cristina Loiacono</t>
  </si>
  <si>
    <t>37.653.761/0001-52</t>
  </si>
  <si>
    <t>ANA CRISTINA SUSI</t>
  </si>
  <si>
    <t>43.501.707/0001-94</t>
  </si>
  <si>
    <t>Ana Gabriela Nunes Guimarães (protocolo 200134 - ler comentário)</t>
  </si>
  <si>
    <t>54.464.448/0001-95</t>
  </si>
  <si>
    <t>ANA JULIA CRUZ MOREIRA</t>
  </si>
  <si>
    <t>Ana Loiacono</t>
  </si>
  <si>
    <t>57.703.377/0001-24</t>
  </si>
  <si>
    <t>Ana Lucia consenso motroni me</t>
  </si>
  <si>
    <t xml:space="preserve">ANA LUCIA DA CRUZ SOARES </t>
  </si>
  <si>
    <t>60.045.132/0001-61</t>
  </si>
  <si>
    <t xml:space="preserve">Ana Paula Brito Rabelo </t>
  </si>
  <si>
    <t>54.813.539/0001-99</t>
  </si>
  <si>
    <t>Ana Roversi</t>
  </si>
  <si>
    <t>62.227.227/0001-21</t>
  </si>
  <si>
    <t>Anderson Martins Pontes</t>
  </si>
  <si>
    <t>41.404.766/0001-19</t>
  </si>
  <si>
    <t>Anderson Rodrigo Azevedo</t>
  </si>
  <si>
    <t>39.978.542/0001-79</t>
  </si>
  <si>
    <t>Anderson Rodrigues Spiller</t>
  </si>
  <si>
    <t>47.037.995/0001-29</t>
  </si>
  <si>
    <t>Andre Abreu MERCADEX</t>
  </si>
  <si>
    <t>61.937.401/0001-67</t>
  </si>
  <si>
    <t>André Benedito de Freitas</t>
  </si>
  <si>
    <t>52.155.416/0001-82</t>
  </si>
  <si>
    <t xml:space="preserve">André Luiz de Almeida </t>
  </si>
  <si>
    <t>60.963.719/0001-50</t>
  </si>
  <si>
    <t xml:space="preserve">André Luiz Ferreira Beranger </t>
  </si>
  <si>
    <t>59.905.818/0002-87</t>
  </si>
  <si>
    <t>André Luiz Paschoal</t>
  </si>
  <si>
    <t>41.679.096/0001-43</t>
  </si>
  <si>
    <t>André Luiz Vasco Romin</t>
  </si>
  <si>
    <t>53.434.220/0001-90</t>
  </si>
  <si>
    <t>Andrea Sousa</t>
  </si>
  <si>
    <t>61.328.672/0001-15</t>
  </si>
  <si>
    <t>Andreia Nascimento Nunes - Totem com aba</t>
  </si>
  <si>
    <t>46.386.599/0001-44</t>
  </si>
  <si>
    <t>ANDRESSA BELTRAME</t>
  </si>
  <si>
    <t>ANDRESSA BELTRAME - Chegou 1 máquina v1 e 1 adaptador</t>
  </si>
  <si>
    <t>54.626.381/0001-48</t>
  </si>
  <si>
    <t>ANDRESSA ELIANE VILALVA LOPES FERNANDES</t>
  </si>
  <si>
    <t>35.649.234/0001-49</t>
  </si>
  <si>
    <t>Andrio Amorim Ferreira</t>
  </si>
  <si>
    <t>52.633.876/0001-79</t>
  </si>
  <si>
    <t>Anelize Fátima de Pádua Silva</t>
  </si>
  <si>
    <t>51.238.255/0001-28</t>
  </si>
  <si>
    <t>ANFE COMERCIO LTDA</t>
  </si>
  <si>
    <t>Anna</t>
  </si>
  <si>
    <t>46.105.100/0001-83</t>
  </si>
  <si>
    <t>Anne cristinne campos froiman</t>
  </si>
  <si>
    <t>44.190.053/0001-98</t>
  </si>
  <si>
    <t xml:space="preserve">Antonio D alimentos </t>
  </si>
  <si>
    <t>antonio dias Alves da silva neto</t>
  </si>
  <si>
    <t>53.927.386/0001-48</t>
  </si>
  <si>
    <t>Antonio Rodrigues de Oliveira Filho</t>
  </si>
  <si>
    <t>42.819.620/0001-05</t>
  </si>
  <si>
    <t>Armazém diCasa Comércio Varejista LTDA - 2 leitores elgin</t>
  </si>
  <si>
    <t>57.508.158/0001-94</t>
  </si>
  <si>
    <t>aron jeann melo da cunha</t>
  </si>
  <si>
    <t xml:space="preserve">aron jeann melo da cunha </t>
  </si>
  <si>
    <t>18.552.180/0001-80</t>
  </si>
  <si>
    <t>Asia market produtos alimentícios</t>
  </si>
  <si>
    <t>62.542.953/0001-39</t>
  </si>
  <si>
    <t xml:space="preserve">Audrey Araujo de Souza </t>
  </si>
  <si>
    <t>58.320.361/0001-03</t>
  </si>
  <si>
    <t xml:space="preserve">Áurea Ferreira da Silva </t>
  </si>
  <si>
    <t>43.859.013/0001-23</t>
  </si>
  <si>
    <t>B.A.H. COMERCIO DE ALIMENTOS LTDA</t>
  </si>
  <si>
    <t>28.722.292/0001-95</t>
  </si>
  <si>
    <t>BAP CAFÉ SÃO PAULO</t>
  </si>
  <si>
    <t>55.719.425/0001-47</t>
  </si>
  <si>
    <t>BCL ALITECH COMÉRCIO DE ALIMENTOS</t>
  </si>
  <si>
    <t>Be Honest DAngelo Comércio e Serviços Ltda 3</t>
  </si>
  <si>
    <t>62.702.404/0001-84</t>
  </si>
  <si>
    <t>BEATRIZ CAVALLARI</t>
  </si>
  <si>
    <t>43.716.267/0001-92</t>
  </si>
  <si>
    <t xml:space="preserve">Beatriz Santos Porto Teixeira da Silva </t>
  </si>
  <si>
    <t>21.305.885/0001-07</t>
  </si>
  <si>
    <t xml:space="preserve">Benedito da Silva Filho </t>
  </si>
  <si>
    <t>60.950.438/0001-62</t>
  </si>
  <si>
    <t>BENI S 25 COMERCIO E VAREJO LTDA</t>
  </si>
  <si>
    <t>54.112.730/0001-03</t>
  </si>
  <si>
    <t>BIANCA NOEMI FERREIRA DOS SANTOS</t>
  </si>
  <si>
    <t>49.894.809/0001-01</t>
  </si>
  <si>
    <t>Bibi pães e doces</t>
  </si>
  <si>
    <t>29.159.652/0001-55</t>
  </si>
  <si>
    <t xml:space="preserve">Bio re9 comércio de cosméticos e alimentos Ltda </t>
  </si>
  <si>
    <t>Box Farma</t>
  </si>
  <si>
    <t>37.764.761/0001-20</t>
  </si>
  <si>
    <t>BOX MARKET COMERCIAL LTDA</t>
  </si>
  <si>
    <t xml:space="preserve">BoxMarket Comercial </t>
  </si>
  <si>
    <t>53.856.924/0001-50</t>
  </si>
  <si>
    <t>Braga Minimercados (ler comentários - BOLETO GERADO E ENVIADO AO CLIENTE)</t>
  </si>
  <si>
    <t>43.585.490/0001-48</t>
  </si>
  <si>
    <t>Bragiao e Bragiao Ltda</t>
  </si>
  <si>
    <t>Bragiao e Bragiao Ltda - modulo</t>
  </si>
  <si>
    <t>56.146.303/0001-71</t>
  </si>
  <si>
    <t>Bright Comércio de alimentos Paulínia ltda.</t>
  </si>
  <si>
    <t>48.547.444/0001-78</t>
  </si>
  <si>
    <t>Bruna Difeo</t>
  </si>
  <si>
    <t>37.947.980/0001-44</t>
  </si>
  <si>
    <t xml:space="preserve">Bruna Fernanda Rogado Micheli </t>
  </si>
  <si>
    <t>41.704.906/0001-74</t>
  </si>
  <si>
    <t>Bruna Negrini Lourençon</t>
  </si>
  <si>
    <t>57.906.177/0001-79</t>
  </si>
  <si>
    <t>24.880.034/0001-86</t>
  </si>
  <si>
    <t>Bruno Mendonça de Mello- Me</t>
  </si>
  <si>
    <t>59.991.983/0001-18</t>
  </si>
  <si>
    <t xml:space="preserve">Bruno Nascimento da Silva </t>
  </si>
  <si>
    <t>Bruno Pimenta Soares</t>
  </si>
  <si>
    <t>29.196.574/0001-69</t>
  </si>
  <si>
    <t>Bruno Yamada</t>
  </si>
  <si>
    <t>60.805.727/0001-78</t>
  </si>
  <si>
    <t>BUONO MARKET COMERCIO LTDA</t>
  </si>
  <si>
    <t>Buy At Home - modulo</t>
  </si>
  <si>
    <t xml:space="preserve">Buy at Home Comércio Varejista de conveniência LTDA </t>
  </si>
  <si>
    <t>Buy at Home Comércio Varejista de conveniência LTDA - 1 v1</t>
  </si>
  <si>
    <t>40.876.376/0001-89</t>
  </si>
  <si>
    <t>BUY COMERCIO VAREJISTA DE AUTOSSERVICO LTDA</t>
  </si>
  <si>
    <t xml:space="preserve">49.875.310/0001-49
</t>
  </si>
  <si>
    <t>C R Leite Mini Market</t>
  </si>
  <si>
    <t>58.373.552/0001-25</t>
  </si>
  <si>
    <t>Caio de Souza Cazarotto</t>
  </si>
  <si>
    <t xml:space="preserve">Caique Deiros Santana </t>
  </si>
  <si>
    <t>Caique Deiros Santana - chegou</t>
  </si>
  <si>
    <t>44.017.727/0001-57</t>
  </si>
  <si>
    <t>Calado e Campos Conveniência Ltda</t>
  </si>
  <si>
    <t xml:space="preserve">Calado e Campos Conveniência Ltda </t>
  </si>
  <si>
    <t>Camila - Marketing Super Box 24h</t>
  </si>
  <si>
    <t>46.697.255/0001-56</t>
  </si>
  <si>
    <t xml:space="preserve">Camila Nascimento Antônio </t>
  </si>
  <si>
    <t>42.318.818/0001-05</t>
  </si>
  <si>
    <t>Camila selestina de Almeida</t>
  </si>
  <si>
    <t>57.437.111/0001-87</t>
  </si>
  <si>
    <t>Carla Caroline de Oliveira Nunes Ruy - recebido</t>
  </si>
  <si>
    <t>51.468.226/0001-52</t>
  </si>
  <si>
    <t>Carla Carvalho Alves</t>
  </si>
  <si>
    <t>Carla Carvalho Alves - Cabo de carregador</t>
  </si>
  <si>
    <t>49.564.913/0001-20</t>
  </si>
  <si>
    <t>Carla Regina Cardoso Gusmão</t>
  </si>
  <si>
    <t xml:space="preserve">Carla Regina Cardoso Gusmão </t>
  </si>
  <si>
    <t xml:space="preserve">Carla Romano </t>
  </si>
  <si>
    <t>52.660.121/0001-63</t>
  </si>
  <si>
    <t>CARLINI &amp; ONGARATTO MARKET LTDA</t>
  </si>
  <si>
    <t>51.909.130/0001-82</t>
  </si>
  <si>
    <t>Carlos</t>
  </si>
  <si>
    <t>Carlos - URGENTE - SEDEX 12</t>
  </si>
  <si>
    <t>Carlos Eduardo Felizardo da Silva</t>
  </si>
  <si>
    <t>59.247.598/0001-60</t>
  </si>
  <si>
    <t xml:space="preserve">Carlos Eduardo Silva </t>
  </si>
  <si>
    <t>Carlos Eduardo Silva - TOTEM COM ABA</t>
  </si>
  <si>
    <t>34.706.920/0001-41</t>
  </si>
  <si>
    <t>Carlos Eduardo Teixeira Vasconcelos</t>
  </si>
  <si>
    <t>55.168.567/0001-63</t>
  </si>
  <si>
    <t>carlos henrique lima fernandes - recebido</t>
  </si>
  <si>
    <t>Carlos Lopes</t>
  </si>
  <si>
    <t>47.231.505/0001-20</t>
  </si>
  <si>
    <t>Carlos Normannn Novoa Paredes Filho</t>
  </si>
  <si>
    <t>34.920.576/0001-99</t>
  </si>
  <si>
    <t>Carolina de Sousa Fonseca Kuntz</t>
  </si>
  <si>
    <t>56.934.737/0001-36</t>
  </si>
  <si>
    <t xml:space="preserve">Caroline Adami Ichano </t>
  </si>
  <si>
    <t>58.194.326/0001-87</t>
  </si>
  <si>
    <t>Caroline Rodrigues Oliveira</t>
  </si>
  <si>
    <t>60.388.833/0001-01</t>
  </si>
  <si>
    <t>Caroline Salvaia Dezzotti de Almeida</t>
  </si>
  <si>
    <t>57.102.247/0001-36</t>
  </si>
  <si>
    <t>Cássia Mazaro</t>
  </si>
  <si>
    <t xml:space="preserve">Cassileide Leonel da Silva Cavalcante </t>
  </si>
  <si>
    <t>52.041.147/0001-23</t>
  </si>
  <si>
    <t>CATIA GOMES</t>
  </si>
  <si>
    <t>47.483.545/0001-60</t>
  </si>
  <si>
    <t>CEG Comércio de Alimentos</t>
  </si>
  <si>
    <t>Celso</t>
  </si>
  <si>
    <t>54.671.440/0001-08</t>
  </si>
  <si>
    <t>CEP MINI MERCADOS LTDA</t>
  </si>
  <si>
    <t>47.057.291/0001-18</t>
  </si>
  <si>
    <t>Cia Míni Rápido</t>
  </si>
  <si>
    <t>47.961.903/0001-00</t>
  </si>
  <si>
    <t>Claudemir Luiz das Graças</t>
  </si>
  <si>
    <t>54.662.759/0001-69</t>
  </si>
  <si>
    <t>Claudia Abreu Fagundes Dias</t>
  </si>
  <si>
    <t>Cláudia Abreu Fagundes Dias - cabo de carregador</t>
  </si>
  <si>
    <t>52.139.666/0001-29</t>
  </si>
  <si>
    <t>Claudia da Silva Barbosa - recebido 06/11/25</t>
  </si>
  <si>
    <t>53.883.748/0001-46</t>
  </si>
  <si>
    <t>Claudia Gisele Yamamoto</t>
  </si>
  <si>
    <t>62.029.232/0001-20</t>
  </si>
  <si>
    <t>Claudia Kelly Brandão de Souza - data e hora</t>
  </si>
  <si>
    <t>40.612.056/0001-11</t>
  </si>
  <si>
    <t>CLAUDIA ROBERTA ROSA BEDOIAN</t>
  </si>
  <si>
    <t>61.516.154/0001-25</t>
  </si>
  <si>
    <t>Claudia Souza Casagrande</t>
  </si>
  <si>
    <t>48.554.108/0001-52</t>
  </si>
  <si>
    <t>Claudio Estevam dos Santos Filho</t>
  </si>
  <si>
    <t>60.760.387/0001-06</t>
  </si>
  <si>
    <t>Cris</t>
  </si>
  <si>
    <t>Cristian Ricardo Nivoloni:</t>
  </si>
  <si>
    <t>48.866.120/0001-00</t>
  </si>
  <si>
    <t>Cristina de Marilac Bordignon Moura</t>
  </si>
  <si>
    <t>15.313.066/0001-09</t>
  </si>
  <si>
    <t>D&amp;P Comércio de Alimentos LTDA</t>
  </si>
  <si>
    <t>40.013.242/0001-34</t>
  </si>
  <si>
    <t>D’Annes guterres lopes</t>
  </si>
  <si>
    <t>53.703.531/0001-07</t>
  </si>
  <si>
    <t>Daiany Donato de Castro Mendes</t>
  </si>
  <si>
    <t>04.598.688/0001-04</t>
  </si>
  <si>
    <t>Daniel Bomfim Lima de Souza - os itens chegaram em 15/09</t>
  </si>
  <si>
    <t>54.800.393/0001-47</t>
  </si>
  <si>
    <t>Daniel da Costa Azevedo - chegou</t>
  </si>
  <si>
    <t>49.924.102/0002-73</t>
  </si>
  <si>
    <t>Daniel Gomes Neto</t>
  </si>
  <si>
    <t>47.051.262/0001-49</t>
  </si>
  <si>
    <t xml:space="preserve">Daniela Cristina Fabrin Moraes de oliveira </t>
  </si>
  <si>
    <t>58.095.132/0001-24</t>
  </si>
  <si>
    <t xml:space="preserve">Daniela Sampaio Sacchetto Abranches </t>
  </si>
  <si>
    <t>51.342.711/0001-85</t>
  </si>
  <si>
    <t>Daniele Brito de Melo</t>
  </si>
  <si>
    <t>60.221.404/0001-37</t>
  </si>
  <si>
    <t>Daniele Regina Lopes Gracioli</t>
  </si>
  <si>
    <t>57.057.616/0001-16</t>
  </si>
  <si>
    <t>Danielle de Mello Ribeiro da Silva</t>
  </si>
  <si>
    <t>Danielle de Mello Ribeiro da Silva - 2 máquinas, teste sns com ; migracao p nossa conta @juliobueno</t>
  </si>
  <si>
    <t>61.191.179/0001-04</t>
  </si>
  <si>
    <t>Danilo Correa</t>
  </si>
  <si>
    <t>51.714.180/0001-04</t>
  </si>
  <si>
    <t>Danilo Gazotto</t>
  </si>
  <si>
    <t>Danilo gazotto</t>
  </si>
  <si>
    <t>57.252.986/0001-04</t>
  </si>
  <si>
    <t>DANILO MARTINS PEREIRA</t>
  </si>
  <si>
    <t>43.170.183/0001-04</t>
  </si>
  <si>
    <t xml:space="preserve">Danilo P Bueno </t>
  </si>
  <si>
    <t>61.780.234/0001-93</t>
  </si>
  <si>
    <t>Darleide Sophia Dutra dos Santos</t>
  </si>
  <si>
    <t>57.713.128/0001-10</t>
  </si>
  <si>
    <t>Deape Soluções Empresariais Ltda - 1 maq</t>
  </si>
  <si>
    <t>48.290.360/0001-00</t>
  </si>
  <si>
    <t>Débora Regina Silva de Souza</t>
  </si>
  <si>
    <t xml:space="preserve">Débora Regina Silva de Souza </t>
  </si>
  <si>
    <t>48.225.992/0001-81</t>
  </si>
  <si>
    <t xml:space="preserve">Delmaci Alves Martins Silva </t>
  </si>
  <si>
    <t>53.273.883/0001-70</t>
  </si>
  <si>
    <t>Denize Cristaldo Dias</t>
  </si>
  <si>
    <t>51.794.578/0001-06</t>
  </si>
  <si>
    <t xml:space="preserve">DEPAULA </t>
  </si>
  <si>
    <t>57.631.002/0001-04</t>
  </si>
  <si>
    <t>Dercio Chaves Dantas</t>
  </si>
  <si>
    <t>55.864.754/0001-81</t>
  </si>
  <si>
    <t>devolucao_producao</t>
  </si>
  <si>
    <t>Ademir da Silva Vitor Junior</t>
  </si>
  <si>
    <t>63.288.953/0001-17</t>
  </si>
  <si>
    <t>40.253.103/0001-88</t>
  </si>
  <si>
    <t xml:space="preserve">DHARMA MINIMERCADO E CONVENIÊNCIA </t>
  </si>
  <si>
    <t>DHARMA MINIMERCADO E CONVENIÊNCIA - 4, 2 totens recebidos.</t>
  </si>
  <si>
    <t>43.283.939/0001-13</t>
  </si>
  <si>
    <t>Diego</t>
  </si>
  <si>
    <t>61.452.953/0001-85</t>
  </si>
  <si>
    <t>Diego Araujo Silva</t>
  </si>
  <si>
    <t>58.055.725/0001-67</t>
  </si>
  <si>
    <t>Diego bianchi Ramos</t>
  </si>
  <si>
    <t>DIEGO RODRIGUES HONORIO - chegou ok!</t>
  </si>
  <si>
    <t>Diego Santos Antunes Maciel</t>
  </si>
  <si>
    <t>50.700.522/0001-74</t>
  </si>
  <si>
    <t>Dienifer de Mattos</t>
  </si>
  <si>
    <t>44.416.412/0001-82</t>
  </si>
  <si>
    <t>Diorgenes Carvalho Costa</t>
  </si>
  <si>
    <t>57.530.544/0001-82</t>
  </si>
  <si>
    <t>Diovani d avila nunes</t>
  </si>
  <si>
    <t>Diovani D avila nunes LTDA</t>
  </si>
  <si>
    <t>58.281.294/0001-57</t>
  </si>
  <si>
    <t>DIVANE SANTANA LOPES</t>
  </si>
  <si>
    <t xml:space="preserve">DIVANE SANTANA LOPES </t>
  </si>
  <si>
    <t>50.438.057/0001-45</t>
  </si>
  <si>
    <t>DK A S GUIMARÃES</t>
  </si>
  <si>
    <t>49.305.641/0001-43</t>
  </si>
  <si>
    <t>Dko Market</t>
  </si>
  <si>
    <t>50.447.824/0001-82</t>
  </si>
  <si>
    <t xml:space="preserve">DNC comércio e distribuidora </t>
  </si>
  <si>
    <t>DNC Comercio e Distribuidora Ltda</t>
  </si>
  <si>
    <t>Douglas Schlickmann</t>
  </si>
  <si>
    <t>24.744.733/0001-07</t>
  </si>
  <si>
    <t>DUPAR ESTACIONAMENTOS</t>
  </si>
  <si>
    <t>Easy Peasy Comercio de Alimentos LTDA</t>
  </si>
  <si>
    <t>EasyPeasy comércio de alimentos</t>
  </si>
  <si>
    <t>36.543.978/0001-47</t>
  </si>
  <si>
    <t>Ed Carlo Alves Parente - Feito</t>
  </si>
  <si>
    <t>54.342.018/0001-09</t>
  </si>
  <si>
    <t>Ed. The garden</t>
  </si>
  <si>
    <t>32.284.466/0001-52</t>
  </si>
  <si>
    <t xml:space="preserve">Edilson Vieira Salles </t>
  </si>
  <si>
    <t>60.489.621/0001-02</t>
  </si>
  <si>
    <t>Edmar Santos</t>
  </si>
  <si>
    <t>34.614.239/0001-73</t>
  </si>
  <si>
    <t>Edrielly Caroline Melo de Oliveira - Feito</t>
  </si>
  <si>
    <t>15.070.270/0001-46</t>
  </si>
  <si>
    <t xml:space="preserve">Edson de Matos Moreira </t>
  </si>
  <si>
    <t>Edson Evangelista de Paula</t>
  </si>
  <si>
    <t>Edson Geraldo Fruchi</t>
  </si>
  <si>
    <t>42.487.115/0001-00</t>
  </si>
  <si>
    <t>Édson Gomes de Lima</t>
  </si>
  <si>
    <t xml:space="preserve">Édson Gomes de Lima </t>
  </si>
  <si>
    <t>55.132.409/0001-53</t>
  </si>
  <si>
    <t>Edson Rodrigo Bonfanfi</t>
  </si>
  <si>
    <t xml:space="preserve">Eduarda Castro Tatsuguchi </t>
  </si>
  <si>
    <t>42.794.483/0001-93</t>
  </si>
  <si>
    <t xml:space="preserve">Eduardo bosio </t>
  </si>
  <si>
    <t>59.785.111/0001-01</t>
  </si>
  <si>
    <t>Eduardo de Paula Ozório</t>
  </si>
  <si>
    <t>43.222.475/0001-35</t>
  </si>
  <si>
    <t>Eduardo Marinho</t>
  </si>
  <si>
    <t>48.962.107/0001-47</t>
  </si>
  <si>
    <t xml:space="preserve">Eduardo scheck </t>
  </si>
  <si>
    <t>11.191.031/0001-93</t>
  </si>
  <si>
    <t>Effe Market 11.191.031/0001-93</t>
  </si>
  <si>
    <t>58.123.637/0001-55</t>
  </si>
  <si>
    <t xml:space="preserve">Elaine Braz Da Silva </t>
  </si>
  <si>
    <t>54.556.797/0001-37</t>
  </si>
  <si>
    <t>Eliana Silva Oliveira</t>
  </si>
  <si>
    <t>41.612.142/0001-97</t>
  </si>
  <si>
    <t>Elias Guilherme Câmara Dias</t>
  </si>
  <si>
    <t>55.486.643/0001-89</t>
  </si>
  <si>
    <t>Elisangela Pereira</t>
  </si>
  <si>
    <t>62.813.973/0001-05</t>
  </si>
  <si>
    <t>Eliseu Rodrigues Filho</t>
  </si>
  <si>
    <t>Elissandra</t>
  </si>
  <si>
    <t>62.137.820/0001-87</t>
  </si>
  <si>
    <t>Elizabeth Cristina Silva da Costa</t>
  </si>
  <si>
    <t>60.718.759/0001-36</t>
  </si>
  <si>
    <t>Elizângela Mourão Saraiva</t>
  </si>
  <si>
    <t>45.459.887/0001-19</t>
  </si>
  <si>
    <t xml:space="preserve">Ellen Diana De Freitas </t>
  </si>
  <si>
    <t>43.680.661/0001-18</t>
  </si>
  <si>
    <t>ELTON DOUGLAS ROCHA SILVA</t>
  </si>
  <si>
    <t>62.860.219/0001-18</t>
  </si>
  <si>
    <t xml:space="preserve">Elton Souza Viana </t>
  </si>
  <si>
    <t>34.515.695/0001-66</t>
  </si>
  <si>
    <t>Elyson Sotti Panhan</t>
  </si>
  <si>
    <t>52.650.057/0001-30</t>
  </si>
  <si>
    <t>Emerson D'Aveiro</t>
  </si>
  <si>
    <t>Empório D’Rita</t>
  </si>
  <si>
    <t>Empório e mercado Rca</t>
  </si>
  <si>
    <t>Empório rac - SEDEX 12</t>
  </si>
  <si>
    <t>46.618.249/0001-66</t>
  </si>
  <si>
    <t>empreendimentos bonini</t>
  </si>
  <si>
    <t>Eriberto</t>
  </si>
  <si>
    <t>Eriberto Frozza</t>
  </si>
  <si>
    <t>48.561.795/0001-33</t>
  </si>
  <si>
    <t>Erico Umezu</t>
  </si>
  <si>
    <t>55.016.568/0001-92</t>
  </si>
  <si>
    <t xml:space="preserve">ESTHER FILOMENA ISRAEL SANTANA ROSÁRIO </t>
  </si>
  <si>
    <t>Euna Rodrigues Monteiro Andrade</t>
  </si>
  <si>
    <t>26.855.008/0001-23</t>
  </si>
  <si>
    <t xml:space="preserve">Evandro Nunes da Costa </t>
  </si>
  <si>
    <t>58.804.552/0001-32</t>
  </si>
  <si>
    <t xml:space="preserve">Everlin Aparecida de Oliveira </t>
  </si>
  <si>
    <t xml:space="preserve">F H SANCHEZ MINIMERCADO  INOVA SANCHEZ </t>
  </si>
  <si>
    <t>60.519.943/0001-57</t>
  </si>
  <si>
    <t>Fabiana da Silva</t>
  </si>
  <si>
    <t>45.909.970/0001-42</t>
  </si>
  <si>
    <t xml:space="preserve">Fabiano Favoretto Soares </t>
  </si>
  <si>
    <t>37.651.012/0001-96</t>
  </si>
  <si>
    <t>Fábio Alves Fernandes</t>
  </si>
  <si>
    <t xml:space="preserve">Fábio Alves Fernandes </t>
  </si>
  <si>
    <t>Fabio Aparecido Boffe</t>
  </si>
  <si>
    <t xml:space="preserve">Fabio Aparecido Boffe </t>
  </si>
  <si>
    <t>Fabio Aparecido Boffe - recebido</t>
  </si>
  <si>
    <t>57.123.012/0001-20</t>
  </si>
  <si>
    <t xml:space="preserve">Fábio Rogerio Cardoso </t>
  </si>
  <si>
    <t>45.463.127/0001-85</t>
  </si>
  <si>
    <t>FACILIT STORE LTDA (SMART STORE)</t>
  </si>
  <si>
    <t>Facilitar  Minimercado Ltda</t>
  </si>
  <si>
    <t xml:space="preserve">Fagundes Sena Sobral Ltda </t>
  </si>
  <si>
    <t>**Não é um card de troca**, cliente solicitou o cancelamento do pedido após já ter recebido a trava.
está devolvendo através do código de rastreio AN421354438BR</t>
  </si>
  <si>
    <t>Familia Honesta  Be Honest Franquia NL (ler comentário)</t>
  </si>
  <si>
    <t>Carolina Venâncio</t>
  </si>
  <si>
    <t>47.633.352/0001-48</t>
  </si>
  <si>
    <t>FASTMARKET COMÉRCIO LTDA</t>
  </si>
  <si>
    <t>61.422.726/0001-07</t>
  </si>
  <si>
    <t xml:space="preserve">Fátima Marchesano Marchê minimercado </t>
  </si>
  <si>
    <t>46.661.909/0001-91</t>
  </si>
  <si>
    <t>Felipe Bianchini?</t>
  </si>
  <si>
    <t>38.010.098/0001-30</t>
  </si>
  <si>
    <t>Felipe Botega</t>
  </si>
  <si>
    <t>61.473.805/0001-47</t>
  </si>
  <si>
    <t xml:space="preserve">Felipe Copetti Mustafá </t>
  </si>
  <si>
    <t>44.232.092/0001-00</t>
  </si>
  <si>
    <t xml:space="preserve">Felipe Henrique Kostka </t>
  </si>
  <si>
    <t>55.722.455/0001-02</t>
  </si>
  <si>
    <t>Felipe Jesus Pimentel Feitosa</t>
  </si>
  <si>
    <t>52.667.527/0001-78</t>
  </si>
  <si>
    <t xml:space="preserve">FELIPPE SANTOS SCALZILLI </t>
  </si>
  <si>
    <t>48.023.092/0001-51</t>
  </si>
  <si>
    <t>Fernanda Juan Teixeira</t>
  </si>
  <si>
    <t>52.153.552/0001-33</t>
  </si>
  <si>
    <t xml:space="preserve">Fernando Gustavo nora da silva </t>
  </si>
  <si>
    <t>Fernando Macedo</t>
  </si>
  <si>
    <t>40.734.161/0001-23</t>
  </si>
  <si>
    <t>Fernando Morais</t>
  </si>
  <si>
    <t>62.666.509/0001-25</t>
  </si>
  <si>
    <t>Filipe Pimentel Povoa</t>
  </si>
  <si>
    <t>58.554.691/0001-55</t>
  </si>
  <si>
    <t>Flaviano de Lima Costa</t>
  </si>
  <si>
    <t>61.272.474/0001-87</t>
  </si>
  <si>
    <t>FLORENTIO JUNIOR GOMES MONREAL</t>
  </si>
  <si>
    <t>Francine rosatti felix</t>
  </si>
  <si>
    <t>41.141.999/0001-76</t>
  </si>
  <si>
    <t xml:space="preserve">Francisco Henrique Balioni </t>
  </si>
  <si>
    <t>49.546.993/0001-90</t>
  </si>
  <si>
    <t>Frank Fonseca Santos</t>
  </si>
  <si>
    <t>50.446.955/0001-45</t>
  </si>
  <si>
    <t>Freitas Comércio Varejista de Mercadorias Ltda / Fernanda Freitas - Recebido 06/11</t>
  </si>
  <si>
    <t>55.189.057/0001-72</t>
  </si>
  <si>
    <t>FS Alimentos LTDA</t>
  </si>
  <si>
    <t>FVW Youse</t>
  </si>
  <si>
    <t>53.215.626/0001-81</t>
  </si>
  <si>
    <t xml:space="preserve">Gabriel Beti Cuchava Rocha </t>
  </si>
  <si>
    <t>54.485.174/0001-10</t>
  </si>
  <si>
    <t>Gabriel dos Santos Rocha</t>
  </si>
  <si>
    <t>44.518.356/0001-97</t>
  </si>
  <si>
    <t>Gabriel Felipe Joaquim</t>
  </si>
  <si>
    <t>53.806.938/0001-60</t>
  </si>
  <si>
    <t xml:space="preserve">Gabriel Felipe Kesslau </t>
  </si>
  <si>
    <t>Gabriel Melo - 1 módulo de geladeira</t>
  </si>
  <si>
    <t>60.930.239/0001-92</t>
  </si>
  <si>
    <t>Gabriel Senibaldi</t>
  </si>
  <si>
    <t>Gabriel Tabosa</t>
  </si>
  <si>
    <t>40.013.281/0001-31</t>
  </si>
  <si>
    <t>Gabriela Amélia Viviani de Oliveira - origem não identificada</t>
  </si>
  <si>
    <t>Gabriela Paranhos Chaves Camargos (GW Brindes Personalizados)</t>
  </si>
  <si>
    <t>36.866.522/0001-18</t>
  </si>
  <si>
    <t>Gabriela Paulino Brito</t>
  </si>
  <si>
    <t>40.347.008/0001-43</t>
  </si>
  <si>
    <t>Genivalda Gois Oliveira de Lima</t>
  </si>
  <si>
    <t>59.985.940/0001-20</t>
  </si>
  <si>
    <t>GERLANE CRISTINE DA SILVA E SOUZA</t>
  </si>
  <si>
    <t>60.590.309/0001-00</t>
  </si>
  <si>
    <t>60.907.465/0001-52</t>
  </si>
  <si>
    <t>Giovanna</t>
  </si>
  <si>
    <t>56.911.529/0001-11</t>
  </si>
  <si>
    <t xml:space="preserve">Gisele Aparecida Rodrigues Custódio </t>
  </si>
  <si>
    <t>59.087.525/0001-59</t>
  </si>
  <si>
    <t>Glaucineide de Brito Oliveira</t>
  </si>
  <si>
    <t>43.471.949/0001-82</t>
  </si>
  <si>
    <t>Glauco Roberto Cavalcanti dos Santos</t>
  </si>
  <si>
    <t>Glória Dias dos santos</t>
  </si>
  <si>
    <t>57.314.240/0001-88</t>
  </si>
  <si>
    <t>Gloria Regina Pereira Dalle Crode</t>
  </si>
  <si>
    <t>52.187.900/0001-93</t>
  </si>
  <si>
    <t>Goin minimarket</t>
  </si>
  <si>
    <t>37.365.637/0001-91</t>
  </si>
  <si>
    <t>GREEN BEER</t>
  </si>
  <si>
    <t>59.600.123/0001-06</t>
  </si>
  <si>
    <t>Guilherme Marques.</t>
  </si>
  <si>
    <t>51.285.749/0001-63</t>
  </si>
  <si>
    <t>GUILHERME RODRIGUES SPOLADOR</t>
  </si>
  <si>
    <t>50.291.942/0001-44</t>
  </si>
  <si>
    <t>Gustavo Brandão Fontes</t>
  </si>
  <si>
    <t>54.228.772/0001-04</t>
  </si>
  <si>
    <t>Gustavo Gonçalez</t>
  </si>
  <si>
    <t>56.904.957/0001-17</t>
  </si>
  <si>
    <t>Gustavo Henrique Gondim Gabino</t>
  </si>
  <si>
    <t>47.319.091/0001-96</t>
  </si>
  <si>
    <t xml:space="preserve">Gustavo Menocci Cotes Dos Santos </t>
  </si>
  <si>
    <t>48.895.120/0001-20</t>
  </si>
  <si>
    <t xml:space="preserve">H57 Store minimercado </t>
  </si>
  <si>
    <t>59.016.710/0001-52</t>
  </si>
  <si>
    <t>Hallan Pinho de Macedo</t>
  </si>
  <si>
    <t>44.295.662/0001-01</t>
  </si>
  <si>
    <t>Helen</t>
  </si>
  <si>
    <t>54.321.616/0001-93</t>
  </si>
  <si>
    <t xml:space="preserve">Helen Marcia da Silva </t>
  </si>
  <si>
    <t>43.440.242/0001-09</t>
  </si>
  <si>
    <t>Helio Cardoso Coelho</t>
  </si>
  <si>
    <t>59.115.885/0001-17</t>
  </si>
  <si>
    <t>Hemilly Felix da Silva - TOTEM COM ABA</t>
  </si>
  <si>
    <t>43.965.867/0001-94</t>
  </si>
  <si>
    <t>Henrique Santos Orsi</t>
  </si>
  <si>
    <t>47.905.009/0001-05</t>
  </si>
  <si>
    <t>HEVERTON ODILON FRANCISCO NETTO</t>
  </si>
  <si>
    <t>38.624.349/0001-77</t>
  </si>
  <si>
    <t>Hiago --&gt; Enviar Leitor BCR (NÃO ENVIAR BLE!)</t>
  </si>
  <si>
    <t>Hiago Cortezini Hadid</t>
  </si>
  <si>
    <t>Hiago Cortezini Hadid - Hadid Micromarket LTDA</t>
  </si>
  <si>
    <t xml:space="preserve">26.068.888/0001-98
</t>
  </si>
  <si>
    <t>Home Assessoria Negócios Imobiliários</t>
  </si>
  <si>
    <t>26.068.888/0001-98</t>
  </si>
  <si>
    <t>46.809.041/0001-24</t>
  </si>
  <si>
    <t>HOMEPLACE MARKET</t>
  </si>
  <si>
    <t>Homeplace market comércio de alimentos LTDA</t>
  </si>
  <si>
    <t>HOMEPLACE MARKETING COMERCIO DE ALIMENTOS LTDA</t>
  </si>
  <si>
    <t>15.549.046/0001-31</t>
  </si>
  <si>
    <t>25.121.965/0001-63</t>
  </si>
  <si>
    <t>Humberto Tadeu dos Santos Teixeira</t>
  </si>
  <si>
    <t>57.486.875/0001-62</t>
  </si>
  <si>
    <t>Iago Vinícius  de castro</t>
  </si>
  <si>
    <t>Ian Roger Ferreira</t>
  </si>
  <si>
    <t>46.015.258/0001-62</t>
  </si>
  <si>
    <t>ib market commerce</t>
  </si>
  <si>
    <t xml:space="preserve">IGOR </t>
  </si>
  <si>
    <t>IGOR - Buy At Home</t>
  </si>
  <si>
    <t>54.188.416/0001-04</t>
  </si>
  <si>
    <t>Igor Daniel Rosa da rocha</t>
  </si>
  <si>
    <t>38.019.297/0001-00</t>
  </si>
  <si>
    <t>Ilse Maria Layter</t>
  </si>
  <si>
    <t>Inova Machines</t>
  </si>
  <si>
    <t>Inova Pina ltda - CHIPS</t>
  </si>
  <si>
    <t>56.186.755/0001-87</t>
  </si>
  <si>
    <t xml:space="preserve">IPFA COMERCIO DE PICOLE E SERVICOS </t>
  </si>
  <si>
    <t>59.788.440/0001-06</t>
  </si>
  <si>
    <t xml:space="preserve">Isabel Cristina Ferreira Viana Brum </t>
  </si>
  <si>
    <t>60.906.800/0001-06</t>
  </si>
  <si>
    <t>Isabella Victoria Fior</t>
  </si>
  <si>
    <t>61.273.513/0001-60</t>
  </si>
  <si>
    <t>Isabelle Cristina Motta de oliveira merlo</t>
  </si>
  <si>
    <t>54.668.683/0001-89</t>
  </si>
  <si>
    <t>ISHIKAWA COMÉRCIO DE PRODUTOS ALIMENTÍCIOS LTDA</t>
  </si>
  <si>
    <t>62.005.878/0001-77</t>
  </si>
  <si>
    <t>istok Mackenzie ltda</t>
  </si>
  <si>
    <t>55.649.382/0001-70</t>
  </si>
  <si>
    <t>ISTOK RIO VERTENTES</t>
  </si>
  <si>
    <t>46.640.897/0001-19</t>
  </si>
  <si>
    <t>Ivan - máquina que não havia card</t>
  </si>
  <si>
    <t xml:space="preserve">Ivan David da Silva Junior </t>
  </si>
  <si>
    <t>59.823.306/0001-90</t>
  </si>
  <si>
    <t xml:space="preserve">Ivanete Simões Justino </t>
  </si>
  <si>
    <t>54.788.319/0001-52</t>
  </si>
  <si>
    <t>Jacinete Silva</t>
  </si>
  <si>
    <t>23.866.115/0001-69</t>
  </si>
  <si>
    <t xml:space="preserve">JACSON COSTA NEVES </t>
  </si>
  <si>
    <t>51.623.806/0001-77</t>
  </si>
  <si>
    <t>Janaina Cristina Dias Oliveira</t>
  </si>
  <si>
    <t>Janaina Cristina Dias Oliveira - Recebido 06/11</t>
  </si>
  <si>
    <t>53.310.270/0001-65</t>
  </si>
  <si>
    <t>Janaina Mourão de Souza</t>
  </si>
  <si>
    <t>49.888.119/0001-31</t>
  </si>
  <si>
    <t>Jaqueline loren silva vargas</t>
  </si>
  <si>
    <t>JEAN ALVARES DE CALDA</t>
  </si>
  <si>
    <t>35.156.727/0001-47</t>
  </si>
  <si>
    <t>JEAN ALVARES DE CALDAS EIRELI</t>
  </si>
  <si>
    <t>JEAN ALVARES DE CALDAS EIRELI -- CABOS KEY MASTER!!!</t>
  </si>
  <si>
    <t>45.756.647/0001-86</t>
  </si>
  <si>
    <t>Jefferson Ferreira</t>
  </si>
  <si>
    <t>44.133.211/0001-78</t>
  </si>
  <si>
    <t>Jessica Alves da Silva Fileto</t>
  </si>
  <si>
    <t>60.142.113/0001-53</t>
  </si>
  <si>
    <t>Jessica Moura Oliveira</t>
  </si>
  <si>
    <t>34.894.031/0001-55</t>
  </si>
  <si>
    <t xml:space="preserve">JHL Mercados Autônomos </t>
  </si>
  <si>
    <t>JHL Mercados Autônomos LTDA</t>
  </si>
  <si>
    <t>55.307.321/0001-25</t>
  </si>
  <si>
    <t>Joab Braz da Silva Junior</t>
  </si>
  <si>
    <t xml:space="preserve">Joana Darc Tagoada Jahnel </t>
  </si>
  <si>
    <t>João Batista Porto</t>
  </si>
  <si>
    <t>52.247.720/0001-50</t>
  </si>
  <si>
    <t>Joao C Mantovani</t>
  </si>
  <si>
    <t>58.182.994/0001-94</t>
  </si>
  <si>
    <t>Joao Carlos Cavalcante da Silva</t>
  </si>
  <si>
    <t>24.643.286/0001-91</t>
  </si>
  <si>
    <t xml:space="preserve">João Eduardo lago fernande </t>
  </si>
  <si>
    <t>13.630.114/0001-67</t>
  </si>
  <si>
    <t xml:space="preserve">João Fernando Bataglião Junior </t>
  </si>
  <si>
    <t>38.177.208/0001-53</t>
  </si>
  <si>
    <t>João Paulo Coelho</t>
  </si>
  <si>
    <t>57.990.339/0001-08</t>
  </si>
  <si>
    <t>Joao Paulo Macedo Carneiro Machado</t>
  </si>
  <si>
    <t>60.548.568/0001-73</t>
  </si>
  <si>
    <t xml:space="preserve">João Victor Teodoro Marchon Pereira </t>
  </si>
  <si>
    <t>João Vitor Bastos</t>
  </si>
  <si>
    <t>João Vitor Bastos - 10 totens</t>
  </si>
  <si>
    <t>João Vitor Bastos - 2 máquinas</t>
  </si>
  <si>
    <t>João Vitor Bastos - cabo de carregador</t>
  </si>
  <si>
    <t>34.517.971/0001-25</t>
  </si>
  <si>
    <t>Jonathan Azevedo Rangel</t>
  </si>
  <si>
    <t xml:space="preserve">Jonathan Azevedo Rangel </t>
  </si>
  <si>
    <t>49.244.641/0001-80</t>
  </si>
  <si>
    <t>Jorge</t>
  </si>
  <si>
    <t>63.544.601/0001-85</t>
  </si>
  <si>
    <t>Jorge Eduardo Rocha Silva - ENVIAR TRAVA NOVA</t>
  </si>
  <si>
    <t>Jorge Neto</t>
  </si>
  <si>
    <t>Jorge Peres de Oliveira Neto</t>
  </si>
  <si>
    <t>53.462.873/0001-82</t>
  </si>
  <si>
    <t>Jose Carlos Novais Silva</t>
  </si>
  <si>
    <t>62.316.712/0001-71</t>
  </si>
  <si>
    <t>JOSÉ CARLOS SANTANA FILHO</t>
  </si>
  <si>
    <t>JOSÉ CARLOS SANTANA FILHO - 2 adapt chegaram</t>
  </si>
  <si>
    <t>01.069.841/0001-18</t>
  </si>
  <si>
    <t>José Paulo Ribeiro</t>
  </si>
  <si>
    <t xml:space="preserve">José Paulo Ribeiro </t>
  </si>
  <si>
    <t>46.257.484/0001-50</t>
  </si>
  <si>
    <t xml:space="preserve">José Ramon Barros dos Santos </t>
  </si>
  <si>
    <t xml:space="preserve">José vieira Rodrigues </t>
  </si>
  <si>
    <t>62.049.547/0001-39</t>
  </si>
  <si>
    <t xml:space="preserve">Josefa luciana de lima </t>
  </si>
  <si>
    <t>57.655.510/0001-14</t>
  </si>
  <si>
    <t xml:space="preserve">JQ Market Comércio de Alimentos Ltda </t>
  </si>
  <si>
    <t>Juan - 4 máquinas, 11 totens e 7 eletroimas / uma máquina recebida, dois totens recebidos e todas as travas recebidas</t>
  </si>
  <si>
    <t>47.702.961/0001-01</t>
  </si>
  <si>
    <t>JULIANA CARRARO</t>
  </si>
  <si>
    <t>Juliana Carraro - Recebido 06/11</t>
  </si>
  <si>
    <t>58.021.230/0001-17</t>
  </si>
  <si>
    <t xml:space="preserve">Juliana de Moraes Rodrigues </t>
  </si>
  <si>
    <t>61.483.229/0001-19</t>
  </si>
  <si>
    <t>Juliana Faria Barboza</t>
  </si>
  <si>
    <t>51.913.700/0001-08</t>
  </si>
  <si>
    <t>Juliana palma</t>
  </si>
  <si>
    <t>42.599.165/0001-71</t>
  </si>
  <si>
    <t>Juliana Zanini</t>
  </si>
  <si>
    <t>25.020.218/0001-39</t>
  </si>
  <si>
    <t xml:space="preserve">Julie Concencio Claro Pinto </t>
  </si>
  <si>
    <t>Julinicius teste</t>
  </si>
  <si>
    <t>Julinicius Teste</t>
  </si>
  <si>
    <t>46.161.489/0001-84</t>
  </si>
  <si>
    <t>Julio Silva de Oliveira</t>
  </si>
  <si>
    <t>Juraci de Brito</t>
  </si>
  <si>
    <t>Jussara Eloise Rissato</t>
  </si>
  <si>
    <t>Jussara Eloise Rissato - totem fat</t>
  </si>
  <si>
    <t>28.445.595/0001-08</t>
  </si>
  <si>
    <t>Kaique T. Alvarez - EATS FOR YOU / DEVOLUÇÃO DE DEMONSTRAÇÕES</t>
  </si>
  <si>
    <t>KAIQUE TAVARES ALVAREZ - devolveu 1/10 dia 27/10</t>
  </si>
  <si>
    <t>56.076.124/0001-05</t>
  </si>
  <si>
    <t>Kalmo Minimercados Ltda</t>
  </si>
  <si>
    <t>50.825.266/0001-41</t>
  </si>
  <si>
    <t>Karina Avila Cruz</t>
  </si>
  <si>
    <t>Karina Lancerote Produtos</t>
  </si>
  <si>
    <t xml:space="preserve">karina lancerote produtos </t>
  </si>
  <si>
    <t>43.899.664/0001-47</t>
  </si>
  <si>
    <t>Karina Teixeira Quaglio Mello</t>
  </si>
  <si>
    <t>Karine Cristina Dinamarke Santos</t>
  </si>
  <si>
    <t>53.454.288/0001-30</t>
  </si>
  <si>
    <t>Karla Gomes</t>
  </si>
  <si>
    <t>48.473.831/0001-07</t>
  </si>
  <si>
    <t>Karolynne Reis (LER O COMENTÁRIO)</t>
  </si>
  <si>
    <t>42.540.485/0001-56</t>
  </si>
  <si>
    <t>Katia Alves Toyoko Kanashiro</t>
  </si>
  <si>
    <t>Kele Gleisse de Freitas dias Fernandes 1 maq</t>
  </si>
  <si>
    <t>47.888.217/0001-43</t>
  </si>
  <si>
    <t xml:space="preserve">Kelen Inasaki </t>
  </si>
  <si>
    <t>53.958.373/0001-36</t>
  </si>
  <si>
    <t>Kely Viana Ferreira</t>
  </si>
  <si>
    <t>58.269.353/0001-71</t>
  </si>
  <si>
    <t>KEVIN SOUZA ROSA</t>
  </si>
  <si>
    <t>KRISTIANE ANDRADE EUTAQUIO</t>
  </si>
  <si>
    <t>Kristiane Andrade Eutáquio</t>
  </si>
  <si>
    <t>52.680.222/0001-04</t>
  </si>
  <si>
    <t>L&amp;B Mercado</t>
  </si>
  <si>
    <t xml:space="preserve">LAIDES SOARES DA SILVA </t>
  </si>
  <si>
    <t xml:space="preserve">Lais Zanetti </t>
  </si>
  <si>
    <t>LAM COMERCIO E VAREJO</t>
  </si>
  <si>
    <t>51.316.649/0001-57</t>
  </si>
  <si>
    <t>Larissa Brenga de Campos Aguado</t>
  </si>
  <si>
    <t>34.119.449/0001-95</t>
  </si>
  <si>
    <t>Larissa Volpato Gonzaga - TESTE 2 SNS @juliobueno</t>
  </si>
  <si>
    <t>43.500.899/0001-14</t>
  </si>
  <si>
    <t>LARYSSA LIMA ALBUQUERQUE</t>
  </si>
  <si>
    <t>ld comércio varejista de produtos</t>
  </si>
  <si>
    <t>46.711.013/0001-70</t>
  </si>
  <si>
    <t>Leandro Alessandre pessoa</t>
  </si>
  <si>
    <t>48.727.774/0001-45</t>
  </si>
  <si>
    <t>Leandro da silva costa</t>
  </si>
  <si>
    <t>Leandro da Silva Costa --&gt; Totem 30C V1</t>
  </si>
  <si>
    <t>Leandro da Silva Pestana</t>
  </si>
  <si>
    <t>50.209.320/0001-24</t>
  </si>
  <si>
    <t>Leandro David Moreira da Silva</t>
  </si>
  <si>
    <t>07.120.716/0001-71</t>
  </si>
  <si>
    <t>Leandro de carvalho</t>
  </si>
  <si>
    <t>49.319.695/0001-68</t>
  </si>
  <si>
    <t>Leandro de Souza Ferreira</t>
  </si>
  <si>
    <t>49.592.500/0001-59</t>
  </si>
  <si>
    <t>Leandro Santana</t>
  </si>
  <si>
    <t>Leandro tranquilino</t>
  </si>
  <si>
    <t>13.603.718/0001-14</t>
  </si>
  <si>
    <t>Leonardo Rodrigues de Barros Alves Ferreira</t>
  </si>
  <si>
    <t>Leonardo Rodrigues de Barros Alves Ferreira / ler os comentários</t>
  </si>
  <si>
    <t>44.784.698/0001-59</t>
  </si>
  <si>
    <t>Lidiane Soares Henriques</t>
  </si>
  <si>
    <t>50.319.021/0001-42</t>
  </si>
  <si>
    <t xml:space="preserve">Lidiomar Arcanjo de Novais </t>
  </si>
  <si>
    <t>58.498.090/0001-72</t>
  </si>
  <si>
    <t>Lílian</t>
  </si>
  <si>
    <t>56.945.621/0001-00</t>
  </si>
  <si>
    <t>Lilian Rolemberg Ferreira</t>
  </si>
  <si>
    <t>49.950.267/0001-39</t>
  </si>
  <si>
    <t xml:space="preserve">LimaStore Comércio de Produtos Alimentícios </t>
  </si>
  <si>
    <t>59.200.342/0001-06</t>
  </si>
  <si>
    <t>LIVIA MARIA WEST SANTOS</t>
  </si>
  <si>
    <t>55.580.296/0001-59</t>
  </si>
  <si>
    <t>Livia Petrovcic Abrahao</t>
  </si>
  <si>
    <t>44.913.543/0001-75</t>
  </si>
  <si>
    <t>Loja das Plantas Ltda</t>
  </si>
  <si>
    <t>45.094.457/0001-40</t>
  </si>
  <si>
    <t>Lojas Aguiar LTDA</t>
  </si>
  <si>
    <t>60.727.403/0001-69</t>
  </si>
  <si>
    <t>LOPES VARELLA COMÉRCIO</t>
  </si>
  <si>
    <t>58.354.969/0001-40</t>
  </si>
  <si>
    <t xml:space="preserve">Luana de Lima Bernardo Cruz </t>
  </si>
  <si>
    <t>32.746.480/0001-20</t>
  </si>
  <si>
    <t>LUANA STHEFANY NUNES RENALDINI</t>
  </si>
  <si>
    <t xml:space="preserve">Luana Sthefany Nunes Renaldini </t>
  </si>
  <si>
    <t>58.073.758/0001-30</t>
  </si>
  <si>
    <t>Lucas Alves</t>
  </si>
  <si>
    <t xml:space="preserve">Lucas Alves </t>
  </si>
  <si>
    <t>Lucas de rezende Marega</t>
  </si>
  <si>
    <t>Lucas de Rezende Merega</t>
  </si>
  <si>
    <t>49.497.295/0001-42</t>
  </si>
  <si>
    <t>Lucas Gibrail</t>
  </si>
  <si>
    <t>60.968.878/0001-47</t>
  </si>
  <si>
    <t>Lucas Guerra Ferreira</t>
  </si>
  <si>
    <t>Lucas Guerra Ferreira - V3!!</t>
  </si>
  <si>
    <t>53.521.261/0001-13</t>
  </si>
  <si>
    <t>Lucas Prada Christovam</t>
  </si>
  <si>
    <t>55.013.637/0001-04</t>
  </si>
  <si>
    <t xml:space="preserve">Luciana Damasceno de Freitas </t>
  </si>
  <si>
    <t>33.142.011/0001-65</t>
  </si>
  <si>
    <t xml:space="preserve">Luciana de Souza Nakahara </t>
  </si>
  <si>
    <t>57.954.731/0001-93</t>
  </si>
  <si>
    <t>Luciana Keller</t>
  </si>
  <si>
    <t>Luciana Keller Convenience Village Store Ltda</t>
  </si>
  <si>
    <t>62.019.976/0001-63</t>
  </si>
  <si>
    <t xml:space="preserve">Luciana Silvia Correa </t>
  </si>
  <si>
    <t>37.898.854/0001-47</t>
  </si>
  <si>
    <t>Luciano Campos Reis Junior</t>
  </si>
  <si>
    <t>44.126.099/0001-48</t>
  </si>
  <si>
    <t>Lúcio Corrêa Oliveira de Oliveira</t>
  </si>
  <si>
    <t>41.130.750/0001-65</t>
  </si>
  <si>
    <t>LUIS ANTONIO MELLE - 2 leitores e 2 adaptadores chegaram</t>
  </si>
  <si>
    <t>51.694.538/0001-84</t>
  </si>
  <si>
    <t>Luis Gustavo Dalbó Girardi</t>
  </si>
  <si>
    <t>Luis Rafael</t>
  </si>
  <si>
    <t>51.397.710/0001-38</t>
  </si>
  <si>
    <t xml:space="preserve">LUIZ &amp; LUIZ CONVENIENCIA </t>
  </si>
  <si>
    <t>44.833.210/0001-36</t>
  </si>
  <si>
    <t>Luiz Fernando Miguez Seoane</t>
  </si>
  <si>
    <t xml:space="preserve">Luiz Fernando Miguez Seoane </t>
  </si>
  <si>
    <t>61.018.918/0001-52</t>
  </si>
  <si>
    <t>Luiz Gustavo Notario</t>
  </si>
  <si>
    <t>61.019.206/0001-58</t>
  </si>
  <si>
    <t xml:space="preserve">Luiz Henrique Faria Ziquinato </t>
  </si>
  <si>
    <t>Luiz Inacio L. da Silva (teste)</t>
  </si>
  <si>
    <t>44.651.600/0001-95</t>
  </si>
  <si>
    <t>Luiz Ricardo Marques</t>
  </si>
  <si>
    <t>48.399.962/0001-91</t>
  </si>
  <si>
    <t>M A Consultoria &amp; Gestão Empresarial LTDA</t>
  </si>
  <si>
    <t>02.163.959/0001-73</t>
  </si>
  <si>
    <t>M V LTDA</t>
  </si>
  <si>
    <t>54.491.483/0001-01</t>
  </si>
  <si>
    <t>M2D Minimercados Ltda</t>
  </si>
  <si>
    <t>MA2 Consultoria e gestão empresarial Ltda</t>
  </si>
  <si>
    <t>49.223.830/0001-77</t>
  </si>
  <si>
    <t>MAB Smart Com de Alimentos</t>
  </si>
  <si>
    <t>11.474.658/0001-51</t>
  </si>
  <si>
    <t>Macedo Máquinas e Serviços Eireli</t>
  </si>
  <si>
    <t>Manasses Pessoa de Lima - máquina deve vir acompanhada de um leitor e adaptador (hub ou smd)</t>
  </si>
  <si>
    <t>55.980.283/0001-77</t>
  </si>
  <si>
    <t>Manu - entregue por outro código reverso: AD112482427BR</t>
  </si>
  <si>
    <t>49.428.495/0001-43</t>
  </si>
  <si>
    <t>Marcela Santos Lima</t>
  </si>
  <si>
    <t>51.491.291/0001-07</t>
  </si>
  <si>
    <t xml:space="preserve">Marcele Ribeiro </t>
  </si>
  <si>
    <t>45.592.477/0001-41</t>
  </si>
  <si>
    <t xml:space="preserve">Marcello Oliveira </t>
  </si>
  <si>
    <t>Marcelo</t>
  </si>
  <si>
    <t>Marcelo Campos (ler comentario)</t>
  </si>
  <si>
    <t>41.682.067/0001-30</t>
  </si>
  <si>
    <t>Marcelo de Macedo Araújo cabo de carregador</t>
  </si>
  <si>
    <t>45.654.610/0001-47</t>
  </si>
  <si>
    <t>Marcelo Granieri Oliveira</t>
  </si>
  <si>
    <t>45.230.964/0001-64</t>
  </si>
  <si>
    <t>Marcelo Guimarães Xavier - Chegou</t>
  </si>
  <si>
    <t>Marcelo Guimarães Xavier @melesque ler quando chegar os itens faltantes (protocolo 200134 - ler comentário)</t>
  </si>
  <si>
    <t>Marcelo Henrique Oliveira Silva</t>
  </si>
  <si>
    <t>43.604.055/0001-13</t>
  </si>
  <si>
    <t>Marcelo Stanco Bocci</t>
  </si>
  <si>
    <t>Marcelo Stanco Bocci - Adaptador smd chegou</t>
  </si>
  <si>
    <t>59.331.457/0001-21</t>
  </si>
  <si>
    <t>Marcelo Tamietti Jardim</t>
  </si>
  <si>
    <t>marcia cristina schetini zica</t>
  </si>
  <si>
    <t>54.346.116/0003-78</t>
  </si>
  <si>
    <t>Márcia Torrezan Minimarket - URGENTE, Mercado parado</t>
  </si>
  <si>
    <t>51.772.420/0001-27</t>
  </si>
  <si>
    <t>Marciel da Rocha Tomaz</t>
  </si>
  <si>
    <t>Márcio Deana de Oliveira</t>
  </si>
  <si>
    <t>57.227.020/0001-17</t>
  </si>
  <si>
    <t>Márcio Gonçalves Pereira</t>
  </si>
  <si>
    <t>48.807.415/0001-06</t>
  </si>
  <si>
    <t>Márcio Lima</t>
  </si>
  <si>
    <t>Márcio Roberto Buscariolo</t>
  </si>
  <si>
    <t>50.600.886/0001-82</t>
  </si>
  <si>
    <t xml:space="preserve">MARCO AURÉLIO SOARES </t>
  </si>
  <si>
    <t>60.163.740/0001-70</t>
  </si>
  <si>
    <t>Marco Aurélio ubirajara Garcia Gomes</t>
  </si>
  <si>
    <t>04.509.294/0001-32</t>
  </si>
  <si>
    <t>Marcone Soares</t>
  </si>
  <si>
    <t>51.468.455/0001-77</t>
  </si>
  <si>
    <t>Marcos Favarão (ler comentário se atender!!!)</t>
  </si>
  <si>
    <t>61.578.958/0001-59</t>
  </si>
  <si>
    <t>Marcos Gomes da Silva</t>
  </si>
  <si>
    <t>54.194.925/0001-40</t>
  </si>
  <si>
    <t>Marcos Vinicius Dutra dos Santos</t>
  </si>
  <si>
    <t>51.804.238/0001-00</t>
  </si>
  <si>
    <t>Marcus Paulo Caldas Silveira</t>
  </si>
  <si>
    <t>Marcus Paulo Caldas Silveira (51.804.238/0001-00) - NF gerada e anexada</t>
  </si>
  <si>
    <t>50.459.790/0001-46</t>
  </si>
  <si>
    <t>Maria Amélia Madeiro dos Santos Lima</t>
  </si>
  <si>
    <t>54.443.185/0001-38</t>
  </si>
  <si>
    <t>MARIA BETANIA GOMES DA SILVA</t>
  </si>
  <si>
    <t>62.996.888/0001-11</t>
  </si>
  <si>
    <t>Maria das Graças Camilo Gimenez</t>
  </si>
  <si>
    <t>63.230.117/0001-81</t>
  </si>
  <si>
    <t>Maria Eduarda</t>
  </si>
  <si>
    <t>Maria Fernanda</t>
  </si>
  <si>
    <t>Maria Fernanda Costa</t>
  </si>
  <si>
    <t>50.693.970/0001-98</t>
  </si>
  <si>
    <t>Maria Lenita Chaves</t>
  </si>
  <si>
    <t xml:space="preserve">Maria Mariluze dos Santos Bastos Afonso </t>
  </si>
  <si>
    <t>63.448.337/0001-86</t>
  </si>
  <si>
    <t>Mariane Gabriela Chaves de Souza</t>
  </si>
  <si>
    <t>62.689.159/0001-12</t>
  </si>
  <si>
    <t xml:space="preserve">Marielli Rivieri Neves </t>
  </si>
  <si>
    <t>45.536.999/0001-26</t>
  </si>
  <si>
    <t xml:space="preserve">Market Center Mini Comércio Varejista Ltda </t>
  </si>
  <si>
    <t>MARKET IN HOUSE</t>
  </si>
  <si>
    <t>market minimercados</t>
  </si>
  <si>
    <t>Market+ Mercados inteligentes</t>
  </si>
  <si>
    <t>53.197.862/0001-12</t>
  </si>
  <si>
    <t>Mateus ramos de souza</t>
  </si>
  <si>
    <t>61.824.733/0001-35</t>
  </si>
  <si>
    <t>Matheus Fernandes Neris</t>
  </si>
  <si>
    <t>60.865.336/0001-49</t>
  </si>
  <si>
    <t>Matheus Garcia Alves</t>
  </si>
  <si>
    <t>39.766.503/0001-08</t>
  </si>
  <si>
    <t>MATUTINU</t>
  </si>
  <si>
    <t>Mauro Cesar Saraiva de Barros</t>
  </si>
  <si>
    <t>62.859.974/0001-82</t>
  </si>
  <si>
    <t>Mayara da Rocha Santana</t>
  </si>
  <si>
    <t>50.740.615/0001-22</t>
  </si>
  <si>
    <t xml:space="preserve">Mayara Gonçalves malheiros </t>
  </si>
  <si>
    <t>58.997.303/0001-00</t>
  </si>
  <si>
    <t>MC Home Market Ltda - adaptador chegou 00014643</t>
  </si>
  <si>
    <t>Meggamix sistemas automáticos de vendas</t>
  </si>
  <si>
    <t xml:space="preserve">Meggamix sistemas automáticos de vendas </t>
  </si>
  <si>
    <t xml:space="preserve">Meire Fernandes Boaventura Ferreira </t>
  </si>
  <si>
    <t>Meire Fernandes Boaventura Ferreira - cliente já devovleu comprovante nos anexos</t>
  </si>
  <si>
    <t>46.442.684/0001-82</t>
  </si>
  <si>
    <t>MERAKI Com Varejista Ltda (ler comentário!)</t>
  </si>
  <si>
    <t>MERAKI Com Varejista Ltda - 1 máquina recebida (ler comentário)</t>
  </si>
  <si>
    <t>Mercadex serviços</t>
  </si>
  <si>
    <t>54.196.440/0001-95</t>
  </si>
  <si>
    <t xml:space="preserve">MERCADEX VIVENDAS DO IMBUI </t>
  </si>
  <si>
    <t>41.313.670/0001-45</t>
  </si>
  <si>
    <t>Mercadinho Alto São Francisco Ltda - Adaptador HUB 12v</t>
  </si>
  <si>
    <t>29.801.679/0001-08</t>
  </si>
  <si>
    <t>Mercadinho Lago Azul Comercial de Alimentos Ltda</t>
  </si>
  <si>
    <t>04.819.011/0001-59</t>
  </si>
  <si>
    <t>Mercado barato demais</t>
  </si>
  <si>
    <t>37.916.002/0001-35</t>
  </si>
  <si>
    <t>MERCADO HONESTO LTDA</t>
  </si>
  <si>
    <t>54.802.583/0001-01</t>
  </si>
  <si>
    <t>Mercado imagine - Fabiano</t>
  </si>
  <si>
    <t>57.592.706/0001-07</t>
  </si>
  <si>
    <t xml:space="preserve">Mercado Prime box </t>
  </si>
  <si>
    <t>MERCANTE LTDA</t>
  </si>
  <si>
    <t>58.482.676/0001-49</t>
  </si>
  <si>
    <t>Messias Alves de Aquino - Cliente devolveu a máquina sem querer, vamos enviá-la para ele</t>
  </si>
  <si>
    <t>46.565.233/0001-32</t>
  </si>
  <si>
    <t>Meumercado.com</t>
  </si>
  <si>
    <t xml:space="preserve">Michele Bastos da Costa </t>
  </si>
  <si>
    <t>63.285.866/0001-06</t>
  </si>
  <si>
    <t>Michele Cristina Benetti de Falco</t>
  </si>
  <si>
    <t>43.292.435/0001-60</t>
  </si>
  <si>
    <t>Michele Evelin Faneco - máquina e adapt chegou 1170465751</t>
  </si>
  <si>
    <t>51.220.602/0001-95</t>
  </si>
  <si>
    <t>MILENE SOTTORIVA ANDREIA</t>
  </si>
  <si>
    <t>59.132.596/0001-26</t>
  </si>
  <si>
    <t xml:space="preserve">milla Cerqueira Leal </t>
  </si>
  <si>
    <t>38.486.639/0001-00</t>
  </si>
  <si>
    <t xml:space="preserve">Mineiro delivery Americana </t>
  </si>
  <si>
    <t>29.174.895/0001-62</t>
  </si>
  <si>
    <t xml:space="preserve">Mini mercado inteligente Ltda </t>
  </si>
  <si>
    <t>Mini mercado inteligente Ltda - Rose</t>
  </si>
  <si>
    <t>60.916.321/0001-62</t>
  </si>
  <si>
    <t>MINI27BR COMERCIO E SERVICOS LTDA</t>
  </si>
  <si>
    <t>58.577.195/0001-17</t>
  </si>
  <si>
    <t>55.510.335/0001-41</t>
  </si>
  <si>
    <t>Minimercado Sabias LTDA</t>
  </si>
  <si>
    <t>59.940.665/0001-28</t>
  </si>
  <si>
    <t>Minimercado24h</t>
  </si>
  <si>
    <t>Mirela</t>
  </si>
  <si>
    <t xml:space="preserve">Miriane AVILA PEREIRA </t>
  </si>
  <si>
    <t>44.460.666/0001-06</t>
  </si>
  <si>
    <t>MKF Comercio de Alimentos Ltda.</t>
  </si>
  <si>
    <t>57.696.798/0001-75</t>
  </si>
  <si>
    <t>Monalisa Carvalho de Oliveira</t>
  </si>
  <si>
    <t>55.145.943/0001-02</t>
  </si>
  <si>
    <t>Monasci Empreendimentos</t>
  </si>
  <si>
    <t>Monasci Empreendimwntos</t>
  </si>
  <si>
    <t>58.752.487/0001-49</t>
  </si>
  <si>
    <t>Mônica de jesus Medeiros</t>
  </si>
  <si>
    <t>52.998.460/0001-54</t>
  </si>
  <si>
    <t>Monique Regina da Costa</t>
  </si>
  <si>
    <t>60.545.751/0001-15</t>
  </si>
  <si>
    <t>MP minimercado</t>
  </si>
  <si>
    <t>36.601.806/0001-82</t>
  </si>
  <si>
    <t>MR. BOX COMERCIO DE ALIMENTOS LTDA</t>
  </si>
  <si>
    <t>Muda Brasil Honestidade LTDA</t>
  </si>
  <si>
    <t>42.334.311/0001-37</t>
  </si>
  <si>
    <t>Murilo Arnosti</t>
  </si>
  <si>
    <t>MVL comercio de alimentos ltda</t>
  </si>
  <si>
    <t>Nadia Aparecida Marrega Fortes</t>
  </si>
  <si>
    <t>46.283.261/0001-67</t>
  </si>
  <si>
    <t xml:space="preserve">Nadja viera Gomes </t>
  </si>
  <si>
    <t>NAGELA RODRIGUES OLIVEIRA</t>
  </si>
  <si>
    <t>53.372.008/0001-45</t>
  </si>
  <si>
    <t>Natália Dias da Silva</t>
  </si>
  <si>
    <t>55.224.707/0001-73</t>
  </si>
  <si>
    <t>Nathalia Fischer Nunes</t>
  </si>
  <si>
    <t xml:space="preserve">Nathalia Maria de Andrade Camargo </t>
  </si>
  <si>
    <t>31.573.706/0001-76</t>
  </si>
  <si>
    <t>Neodirley Correia</t>
  </si>
  <si>
    <t>Newton Carlos Fonseca Ramos</t>
  </si>
  <si>
    <t>Newton Carlos Fonseca Ramos - Recebido, 1 adaptador</t>
  </si>
  <si>
    <t>27.950.833/0001-70</t>
  </si>
  <si>
    <t>Nivaldo Vitalino da Silva Júnior</t>
  </si>
  <si>
    <t>14.774.755/0001-58</t>
  </si>
  <si>
    <t>ODRIGO DO NASCIMENTO AMORIM</t>
  </si>
  <si>
    <t xml:space="preserve">Okeo minimercados </t>
  </si>
  <si>
    <t>17.040.745/0001-87</t>
  </si>
  <si>
    <t>Oliveira e Cruz cafeteria LTDA</t>
  </si>
  <si>
    <t>170.040.745/0001-87</t>
  </si>
  <si>
    <t>Oliveira e Cruz cafeteria Ltda</t>
  </si>
  <si>
    <t>Oliveira e Cruz Cafetria</t>
  </si>
  <si>
    <t>55.482.841/0001-74</t>
  </si>
  <si>
    <t>Otomar Vielmo -- Modelo BCR (ANDROID 7 STONE!!!!!!) NÂO ENVIAR BLE</t>
  </si>
  <si>
    <t>55.534.822/0001-44</t>
  </si>
  <si>
    <t>P&amp;D COMERCIO ALIMENTICIO LTDA</t>
  </si>
  <si>
    <t>44.912.604/0001-80</t>
  </si>
  <si>
    <t xml:space="preserve">Pastrami com de alimento </t>
  </si>
  <si>
    <t>57.000.552/0001-17</t>
  </si>
  <si>
    <t xml:space="preserve">Patricia Aparecida Carvalho da Silva </t>
  </si>
  <si>
    <t>44.493.707/0001-52</t>
  </si>
  <si>
    <t xml:space="preserve">Patrícia Aparecida Filartiga Garcia Correia </t>
  </si>
  <si>
    <t>44.191.608/0001-16</t>
  </si>
  <si>
    <t xml:space="preserve">Patrícia Pasqualetto </t>
  </si>
  <si>
    <t>55.625.675/0001-18</t>
  </si>
  <si>
    <t>Patrick Santos</t>
  </si>
  <si>
    <t>42.605.507/0001-19</t>
  </si>
  <si>
    <t xml:space="preserve">Paula Aparecida Motta de Araujo </t>
  </si>
  <si>
    <t>51.490.229/0001-92</t>
  </si>
  <si>
    <t xml:space="preserve">Paula Thalita Pereira dos Santos </t>
  </si>
  <si>
    <t>Paulo Amaral</t>
  </si>
  <si>
    <t>Paulo Henrique</t>
  </si>
  <si>
    <t>Paulo Henrique - 4 AMLabs - 4 ADAPTADORES</t>
  </si>
  <si>
    <t>Paulo Pergentino</t>
  </si>
  <si>
    <t>Paulo Sérgio Alves Azevedo</t>
  </si>
  <si>
    <t>42.925.771/0001-30</t>
  </si>
  <si>
    <t>Paulo Victor Matias Rodrigues</t>
  </si>
  <si>
    <t>58.814.126/0001-80</t>
  </si>
  <si>
    <t xml:space="preserve">Paulo Vitor Storch Thimoteo </t>
  </si>
  <si>
    <t>49.715.804/0001-66</t>
  </si>
  <si>
    <t>Pedro Henrique Valença Duarte</t>
  </si>
  <si>
    <t>49.739.516/0001-41</t>
  </si>
  <si>
    <t>Pedro Renato Lucio Marcelino - VM VENDINHA LTDA/ORIGEM NÃO IDENTIFICADA</t>
  </si>
  <si>
    <t>46.454.841/0001-70</t>
  </si>
  <si>
    <t>PEG PAG EXPRESS LTDA</t>
  </si>
  <si>
    <t>50.849.540/0001-12</t>
  </si>
  <si>
    <t>PEGMANIA COMÉRCIO</t>
  </si>
  <si>
    <t>27.999.186/0001-90</t>
  </si>
  <si>
    <t>Perto e Pronto Comercio de Equipamento e Conveniencia Ltda</t>
  </si>
  <si>
    <t>48.587.610/0001-60</t>
  </si>
  <si>
    <t>phillipe Souza de carvalho</t>
  </si>
  <si>
    <t xml:space="preserve">Pick N Pay Market </t>
  </si>
  <si>
    <t>Pick N Pay Market comércio varejista de conveniência ltda</t>
  </si>
  <si>
    <t>57.351.594/0001-00</t>
  </si>
  <si>
    <t>Pietra Goes de Vito</t>
  </si>
  <si>
    <t>Pimpão Mini Mercato</t>
  </si>
  <si>
    <t xml:space="preserve">Pimpão Mini Mercato </t>
  </si>
  <si>
    <t>PIMPÃO MINI MERCATO - 1 máquina - devolvido AN158006870BR</t>
  </si>
  <si>
    <t>37.571.388/0001-90</t>
  </si>
  <si>
    <t>PMW MERCADO LTDA</t>
  </si>
  <si>
    <t>Prado Comércio de Produtos Alimentícios Ltda</t>
  </si>
  <si>
    <t>21.292.890/0001-22</t>
  </si>
  <si>
    <t>Priscila Benone de Araújo Lima</t>
  </si>
  <si>
    <t>Priscila do Couto Santos</t>
  </si>
  <si>
    <t>51.097.831/0001-64</t>
  </si>
  <si>
    <t>Priscila Inoue Gonçalves Xavier</t>
  </si>
  <si>
    <t>52.266.729/0001-08</t>
  </si>
  <si>
    <t xml:space="preserve">Priscila lopes da Silva </t>
  </si>
  <si>
    <t>61.226.794/0001-09</t>
  </si>
  <si>
    <t>PRISCILA MORAES MENEZES</t>
  </si>
  <si>
    <t>59.454.954/0001-17</t>
  </si>
  <si>
    <t>R Solaris Mercato Ltda</t>
  </si>
  <si>
    <t>54.930.074/0001-56</t>
  </si>
  <si>
    <t>Rafael Aparecido de Araújo</t>
  </si>
  <si>
    <t>48.505.709/0001-75</t>
  </si>
  <si>
    <t xml:space="preserve">Rafael Aparecido de Oliveira </t>
  </si>
  <si>
    <t>51.902.273/0001-62</t>
  </si>
  <si>
    <t>Rafael de Souza Martins</t>
  </si>
  <si>
    <t>RAFAEL IVAIR DARINI</t>
  </si>
  <si>
    <t>62.605.577/0001-84</t>
  </si>
  <si>
    <t>Rafael Lobo Ferreira Bouças</t>
  </si>
  <si>
    <t>Ramon Barros</t>
  </si>
  <si>
    <t>53.941.751/0001-79</t>
  </si>
  <si>
    <t>Rapchef Rio Preto Ltda</t>
  </si>
  <si>
    <t>48.706.623/0001-00</t>
  </si>
  <si>
    <t>Raphael Martins Campos</t>
  </si>
  <si>
    <t>24.591.993/0001-81</t>
  </si>
  <si>
    <t>Raquel Pontes</t>
  </si>
  <si>
    <t xml:space="preserve">46.409.749/0001-98
</t>
  </si>
  <si>
    <t>RB Minimercados Ltda</t>
  </si>
  <si>
    <t>55.147.645/0001-43</t>
  </si>
  <si>
    <t>RCB Soluções para Condomínios Ltda</t>
  </si>
  <si>
    <t>59.328.404/0001-51</t>
  </si>
  <si>
    <t xml:space="preserve">RCF Mercados Autônomos Ltda </t>
  </si>
  <si>
    <t>40.027.506/0001-09</t>
  </si>
  <si>
    <t>Recheio de Sabor</t>
  </si>
  <si>
    <t>RedecomprEbem home marketing</t>
  </si>
  <si>
    <t xml:space="preserve">Regilene Barreto </t>
  </si>
  <si>
    <t>Regilene Barreto - nf remessa feita</t>
  </si>
  <si>
    <t>54.868.833/0001-06</t>
  </si>
  <si>
    <t xml:space="preserve">REIS &amp; SANTOS MINIMERCADOS E ALIMENTOS LTDA </t>
  </si>
  <si>
    <t>54.207.347/0001-39</t>
  </si>
  <si>
    <t xml:space="preserve">Rejane Viterbo Rivas </t>
  </si>
  <si>
    <t>55.550.873/0001-60</t>
  </si>
  <si>
    <t>Rekanto Autônomo LTDA</t>
  </si>
  <si>
    <t>56.092.744/0001-38</t>
  </si>
  <si>
    <t>Renan Caruso Albachiara</t>
  </si>
  <si>
    <t>46.267.390/0001-61</t>
  </si>
  <si>
    <t>Renan oliveira da silva</t>
  </si>
  <si>
    <t>58.065.998/0001-92</t>
  </si>
  <si>
    <t>Renata - SMART FAST MARKET</t>
  </si>
  <si>
    <t>47.747.623/0001-96</t>
  </si>
  <si>
    <t>Renata Nivea Totolo Contiero</t>
  </si>
  <si>
    <t>Renata Nivea Totolo Contiero - Cliente devolveu uma máquina a mais</t>
  </si>
  <si>
    <t>49.792.784/0001-27</t>
  </si>
  <si>
    <t>47.309.680/0001-93</t>
  </si>
  <si>
    <t xml:space="preserve">Renato Gonçalves Vieira </t>
  </si>
  <si>
    <t>62.043.162/0001-64</t>
  </si>
  <si>
    <t>50.432.188/0001-15</t>
  </si>
  <si>
    <t>Renato Rodrigues Rosa</t>
  </si>
  <si>
    <t>39.591.162/0001-87</t>
  </si>
  <si>
    <t>Retistore  comércio de produtos</t>
  </si>
  <si>
    <t>Retistore  comércio de produtos alimentícios ltda</t>
  </si>
  <si>
    <t xml:space="preserve">02.935.993/0001-19
</t>
  </si>
  <si>
    <t>RHEMA SERVIÇOS E COMÉRCIO DE MÁQUINAS LTDA</t>
  </si>
  <si>
    <t>55.341.486/0001-13</t>
  </si>
  <si>
    <t>Ricardo Augusto Silva Lopes</t>
  </si>
  <si>
    <t>31.191.809/0001-71</t>
  </si>
  <si>
    <t>Ricardo S Sgarbiero</t>
  </si>
  <si>
    <t>54.831.667/0001-65</t>
  </si>
  <si>
    <t>Rita de Cássia Almeida Lima Gralha</t>
  </si>
  <si>
    <t>Rita Márcia Macedo Cortado</t>
  </si>
  <si>
    <t>51.722.582/0001-50</t>
  </si>
  <si>
    <t>RM Store comércio serviços e Mini Mercado Ltda</t>
  </si>
  <si>
    <t>54.727.620/0001-56</t>
  </si>
  <si>
    <t>Roberta Orita Dittz de Castro - chegou adaptador smd</t>
  </si>
  <si>
    <t>51.649.202/0001-08</t>
  </si>
  <si>
    <t xml:space="preserve">Roberta Regina de Resende Gouveia </t>
  </si>
  <si>
    <t>36.930.095/0001-90</t>
  </si>
  <si>
    <t>Roberto Baroni</t>
  </si>
  <si>
    <t>10.941.101/0001-10</t>
  </si>
  <si>
    <t>Robinson Luiz Machado (ler comentário)</t>
  </si>
  <si>
    <t>Robinson Machado</t>
  </si>
  <si>
    <t>robson</t>
  </si>
  <si>
    <t>ROBSON ROCHA DE SOUZA</t>
  </si>
  <si>
    <t>49.201.842/0001-09</t>
  </si>
  <si>
    <t>Robson Teodoro de Faria</t>
  </si>
  <si>
    <t>62.142.881/0001-32</t>
  </si>
  <si>
    <t>Rodrigo de Carvalho Barra</t>
  </si>
  <si>
    <t>Rodrigo do Nascimento Amorim  Emporio Gyz</t>
  </si>
  <si>
    <t>20.800.281/0001-74</t>
  </si>
  <si>
    <t>Rodrigo Hoffmann</t>
  </si>
  <si>
    <t>Rodrigo Presser - analisar no grupo quantos totens chegaram presencialmente - 45 totens</t>
  </si>
  <si>
    <t>Pedido na AMLabs</t>
  </si>
  <si>
    <t>Rodrigo Presser - Muda Vending - analisar no grupo quantos totens chegaram presencialmente - 29 totens</t>
  </si>
  <si>
    <t>Rodrigo Presser - Muda Vending - Henerique forçou pedido ( Só ira devolver 1 toten,  pois o outro foi um toten TP Flex)</t>
  </si>
  <si>
    <t>60.981.429/0001-39</t>
  </si>
  <si>
    <t>Rogério Corsini</t>
  </si>
  <si>
    <t>57.730.060/0002-68</t>
  </si>
  <si>
    <t>Rogério do Nascimento</t>
  </si>
  <si>
    <t>54.848.533/0001-57</t>
  </si>
  <si>
    <t xml:space="preserve">Rogério Soares da Cruz </t>
  </si>
  <si>
    <t>55.500.902/0001-89</t>
  </si>
  <si>
    <t>Rômulo Soares de Sá</t>
  </si>
  <si>
    <t>54.265.385/0001-48</t>
  </si>
  <si>
    <t>Ronaldo Elias de Mello</t>
  </si>
  <si>
    <t>55.499.193/0001-69</t>
  </si>
  <si>
    <t>Rooster Soluções Autônomas Ltda</t>
  </si>
  <si>
    <t>47.681.537/0001-28</t>
  </si>
  <si>
    <t>Rosana Bernardini Erbetto</t>
  </si>
  <si>
    <t xml:space="preserve">Rosana Bernardini Erbetto </t>
  </si>
  <si>
    <t>61.383.175/0001-10</t>
  </si>
  <si>
    <t>ROSANA SANTOS DE ALMEIDA</t>
  </si>
  <si>
    <t>RSolaris Mercato Ltda</t>
  </si>
  <si>
    <t xml:space="preserve">rua barão do Amazonas </t>
  </si>
  <si>
    <t>61.460.411/0001-54</t>
  </si>
  <si>
    <t>Rubens Luis da Silva</t>
  </si>
  <si>
    <t>54.310.070/0001-75</t>
  </si>
  <si>
    <t xml:space="preserve">Rubens Martins Domingues </t>
  </si>
  <si>
    <t>55.600.317/0001-50</t>
  </si>
  <si>
    <t xml:space="preserve">Rudolfo Azevedo Martins </t>
  </si>
  <si>
    <t>47.183.849/0001-01</t>
  </si>
  <si>
    <t>S P DE CARVALHO NETO</t>
  </si>
  <si>
    <t>52.734.135/0001-84</t>
  </si>
  <si>
    <t>Samara</t>
  </si>
  <si>
    <t>54.590.684/0001-58</t>
  </si>
  <si>
    <t xml:space="preserve">Samara </t>
  </si>
  <si>
    <t>SAMARA DE SOUZA MARQUES</t>
  </si>
  <si>
    <t>55.502.909/0001-30</t>
  </si>
  <si>
    <t>Sandra Gouvea - 30C para V1</t>
  </si>
  <si>
    <t>51.403.354/0001-18</t>
  </si>
  <si>
    <t xml:space="preserve">Sandra Maria dos Santos Gouvea </t>
  </si>
  <si>
    <t>47.654.766/0001-53</t>
  </si>
  <si>
    <t xml:space="preserve">Sandro Carvalho de Oliveira </t>
  </si>
  <si>
    <t>52.744.987/0001-52</t>
  </si>
  <si>
    <t>Sandro Reis de Moraes Oliveira</t>
  </si>
  <si>
    <t xml:space="preserve">Sandro Reis de Moraes Oliveira </t>
  </si>
  <si>
    <t>SANTOS E NOBRE SÍNDICOS ASSOCIADOS  - chegou</t>
  </si>
  <si>
    <t>41.195.860/0001-05</t>
  </si>
  <si>
    <t>Sara Maria Santos Negrao</t>
  </si>
  <si>
    <t>53.678.345/0001-65</t>
  </si>
  <si>
    <t>Sara Sena Rocha de Matos</t>
  </si>
  <si>
    <t>42.606.223/0001-47</t>
  </si>
  <si>
    <t>SB Comercio de Alimentos Ltda</t>
  </si>
  <si>
    <t>60.291.944/0001-97</t>
  </si>
  <si>
    <t>SEMPREAQUI COMERCIO E SERVIÇOS LTDA</t>
  </si>
  <si>
    <t xml:space="preserve">SERGIO KARAGULIAN </t>
  </si>
  <si>
    <t>51.330.549/0001-85</t>
  </si>
  <si>
    <t xml:space="preserve">Sergio Sinzato Junior </t>
  </si>
  <si>
    <t>Silas Pereira da Luz</t>
  </si>
  <si>
    <t>Silmar Rodrigues Torres</t>
  </si>
  <si>
    <t>Silvério Cardeliquio</t>
  </si>
  <si>
    <t>Silvia Letícia Dutra Melles</t>
  </si>
  <si>
    <t>Silvio Cesar dos Santos Piovesane</t>
  </si>
  <si>
    <t>60.993.877/0001-52</t>
  </si>
  <si>
    <t>Simone de Souza zanellatto</t>
  </si>
  <si>
    <t>60.232.871/0001-62</t>
  </si>
  <si>
    <t xml:space="preserve">SL MARKET EM CONDOMÍNIOS </t>
  </si>
  <si>
    <t>Smart Auto comercio</t>
  </si>
  <si>
    <t xml:space="preserve">Smart bodega ltda </t>
  </si>
  <si>
    <t>46.327.306/0001-58</t>
  </si>
  <si>
    <t>Smart Store Apucarana Ltda</t>
  </si>
  <si>
    <t>54.708.799/0001-02</t>
  </si>
  <si>
    <t>SMARTSTORE ASSIS</t>
  </si>
  <si>
    <t>SmartStore Rio Claro</t>
  </si>
  <si>
    <t>57.776.517/0001-94</t>
  </si>
  <si>
    <t>SmartStore Serra Gaúcha</t>
  </si>
  <si>
    <t xml:space="preserve">Snack Garage </t>
  </si>
  <si>
    <t>30.020.715/0001-77</t>
  </si>
  <si>
    <t>Solange Aguiar de Souza</t>
  </si>
  <si>
    <t>Solange Oliveira Canuto dos Reis</t>
  </si>
  <si>
    <t>48.940.890/0001-48</t>
  </si>
  <si>
    <t>Soma Suplementos</t>
  </si>
  <si>
    <t>57.860.164/0001-06</t>
  </si>
  <si>
    <t>Sônia Maria Time</t>
  </si>
  <si>
    <t>62.725.348/0001-01</t>
  </si>
  <si>
    <t xml:space="preserve">Sophia Dione Emanuele Nunes </t>
  </si>
  <si>
    <t>Souza e Machado Suplementos LTDA Soma Suplementos</t>
  </si>
  <si>
    <t>46.139.577/0001-80</t>
  </si>
  <si>
    <t>St micromarket comércio ltda</t>
  </si>
  <si>
    <t>62.616.904/0001-01</t>
  </si>
  <si>
    <t>STEFANI SOLLA ANDRADE MARTINS</t>
  </si>
  <si>
    <t>Stefani solla andrade martins</t>
  </si>
  <si>
    <t>51.782.507/0003-47</t>
  </si>
  <si>
    <t>Stevanato &amp; Trevisan comércio de alimentos Ltda</t>
  </si>
  <si>
    <t>25.316.405/0001-64</t>
  </si>
  <si>
    <t xml:space="preserve">Sthefany Karen Muniz Queiroz Araujo </t>
  </si>
  <si>
    <t>STORE IMPACTUS</t>
  </si>
  <si>
    <t>54.944.598/0001-04</t>
  </si>
  <si>
    <t>Sue Ane Bianca Santos</t>
  </si>
  <si>
    <t>Super Box 24h</t>
  </si>
  <si>
    <t>Super Box Minimercado</t>
  </si>
  <si>
    <t>SUPER BOX MINIMERCADO LTDA</t>
  </si>
  <si>
    <t>SUPPORTTE GESTAO E REPRESENTACAO</t>
  </si>
  <si>
    <t xml:space="preserve">Suzana das dores marcilia </t>
  </si>
  <si>
    <t>51.393.028/0001-77</t>
  </si>
  <si>
    <t xml:space="preserve">Sxmart Solutions </t>
  </si>
  <si>
    <t>37.714.871/0001-87</t>
  </si>
  <si>
    <t xml:space="preserve">TALITA PEREIRA DA SILVA </t>
  </si>
  <si>
    <t>Talita Pires</t>
  </si>
  <si>
    <t>62.050.006/0001-20</t>
  </si>
  <si>
    <t>Tamara Kaline Firmino Souza</t>
  </si>
  <si>
    <t>Tamara Kaline Firmino Souza - v3</t>
  </si>
  <si>
    <t>57.303.207/0001-52</t>
  </si>
  <si>
    <t>Tatiane</t>
  </si>
  <si>
    <t>59.916.151/0001-37</t>
  </si>
  <si>
    <t xml:space="preserve">TATIANE BARBOSA DA SILVA </t>
  </si>
  <si>
    <t>Tatiane Candido Molina - Km Com</t>
  </si>
  <si>
    <t>05.932.689/0001-06</t>
  </si>
  <si>
    <t>TATIANE CRISTINA VERISSIMO DE PAULA</t>
  </si>
  <si>
    <t>Tatiane Cristina Veríssimo de Paula</t>
  </si>
  <si>
    <t>55.428.642/0001-88</t>
  </si>
  <si>
    <t>Tatiane de Paula Thomé</t>
  </si>
  <si>
    <t>44.712.254/0001-08</t>
  </si>
  <si>
    <t xml:space="preserve">Tawany Pires sabes </t>
  </si>
  <si>
    <t>42.866.619/0001-23</t>
  </si>
  <si>
    <t>TECH MARKET BRASIL - Bruno</t>
  </si>
  <si>
    <t>TESTE</t>
  </si>
  <si>
    <t>julio.bueno@amlabs.com.br</t>
  </si>
  <si>
    <t>teste</t>
  </si>
  <si>
    <t>45.044.316/0001-13</t>
  </si>
  <si>
    <t>Thais Cristine kestering barbosa</t>
  </si>
  <si>
    <t>50.345.585/0001-50</t>
  </si>
  <si>
    <t>Thalisson da Silva Santos</t>
  </si>
  <si>
    <t xml:space="preserve">Thalisson da Silva Santos </t>
  </si>
  <si>
    <t>56.240.675/0001-62</t>
  </si>
  <si>
    <t>THAMILES OLIVEIRA DE SENA</t>
  </si>
  <si>
    <t>Thauana</t>
  </si>
  <si>
    <t>Thiago</t>
  </si>
  <si>
    <t>Thiago Amaral</t>
  </si>
  <si>
    <t xml:space="preserve">Thiago Cardoso Ferreira dos Santos </t>
  </si>
  <si>
    <t>39.641.424/0001-70</t>
  </si>
  <si>
    <t>Thiago Moura Galindo</t>
  </si>
  <si>
    <t xml:space="preserve">Thiago Moura Galindo </t>
  </si>
  <si>
    <t>Thiago Patrick</t>
  </si>
  <si>
    <t>51.877.768/0001-89</t>
  </si>
  <si>
    <t>Thiago Rodrigo da Silva</t>
  </si>
  <si>
    <t>Thiago Rodrigo da Silva.</t>
  </si>
  <si>
    <t>Thomaz</t>
  </si>
  <si>
    <t>52.451.851/0001-54</t>
  </si>
  <si>
    <t xml:space="preserve">Tita Comércio Varejista LTDA </t>
  </si>
  <si>
    <t>50.397.735/0001-79</t>
  </si>
  <si>
    <t>Tony Joseph Falfali</t>
  </si>
  <si>
    <t>63.561.036/0001-64</t>
  </si>
  <si>
    <t>Uai Machine</t>
  </si>
  <si>
    <t>50.704.413/0001-25</t>
  </si>
  <si>
    <t>Umberto Paschoal Júnior</t>
  </si>
  <si>
    <t>45.253.915/0001-47</t>
  </si>
  <si>
    <t>60.093.558/0001-90</t>
  </si>
  <si>
    <t>Valderico Cruz Teixeira</t>
  </si>
  <si>
    <t>62.360.595/0001-43</t>
  </si>
  <si>
    <t>Valentin Odair Scantamburlo.</t>
  </si>
  <si>
    <t xml:space="preserve">Valentin Odair Scantamburlo. </t>
  </si>
  <si>
    <t>49.540.130/0001-06</t>
  </si>
  <si>
    <t xml:space="preserve">Valmir da Silva Anselmo </t>
  </si>
  <si>
    <t>47.368.293/0001-28</t>
  </si>
  <si>
    <t>46.821.433/0001-09</t>
  </si>
  <si>
    <t>Vanessa Milani Safe mart</t>
  </si>
  <si>
    <t>61.705.631/0001-09</t>
  </si>
  <si>
    <t>Vanessa Okara Ferreira</t>
  </si>
  <si>
    <t xml:space="preserve">Vanessa Okara Ferreira </t>
  </si>
  <si>
    <t>63.425.450/0001-46</t>
  </si>
  <si>
    <t>Vanessa Rossi Mini Mercado Ltda - máquina não ligou (o que fazer nesses casos?)</t>
  </si>
  <si>
    <t>Vanusa Arantes Vasques</t>
  </si>
  <si>
    <t xml:space="preserve">Vanusa Arantes vasques </t>
  </si>
  <si>
    <t>Vendinha24h serviços e comercio de produtos alimenticios ltda</t>
  </si>
  <si>
    <t>VERÍSSIMO JOSÉ BISPO JÚNIOR</t>
  </si>
  <si>
    <t>56.196.733/0001-06</t>
  </si>
  <si>
    <t>Victor Maeda</t>
  </si>
  <si>
    <t>VILLAGIO MINIMARKET LTDA</t>
  </si>
  <si>
    <t>52.765.822/0002-48</t>
  </si>
  <si>
    <t>Vinício Souza Garrido</t>
  </si>
  <si>
    <t>52.765.822/0001-67</t>
  </si>
  <si>
    <t xml:space="preserve">Vinício Souza garrido </t>
  </si>
  <si>
    <t>62.466.238/0001-64</t>
  </si>
  <si>
    <t>Vinicius - VSO Comercio de Alimentos</t>
  </si>
  <si>
    <t xml:space="preserve">Vinicius Marchi Sgarbi	</t>
  </si>
  <si>
    <t>62.392.130/0001-74</t>
  </si>
  <si>
    <t>Vinicius Massimo Silva Rodrigues</t>
  </si>
  <si>
    <t>39.753.351/0001-09</t>
  </si>
  <si>
    <t>Vinícius Rosa de Melo</t>
  </si>
  <si>
    <t>55.527.928/0001-10</t>
  </si>
  <si>
    <t>Vinicius sarmento</t>
  </si>
  <si>
    <t>27.106.805/0001-70</t>
  </si>
  <si>
    <t>Vitor Luiz de amelo</t>
  </si>
  <si>
    <t>Vitor Luiz de Melo</t>
  </si>
  <si>
    <t>Vitória Vargas</t>
  </si>
  <si>
    <t>23.149.645/0001-96</t>
  </si>
  <si>
    <t>Vívian Carvalho de Souza Almeida</t>
  </si>
  <si>
    <t>Vizinho Market Ltda</t>
  </si>
  <si>
    <t>47.948.792/0001-94</t>
  </si>
  <si>
    <t>VR FRANCHISING (ler comentário)</t>
  </si>
  <si>
    <t>45.609.614/0001-03</t>
  </si>
  <si>
    <t>Wagner dos Santos Sousa</t>
  </si>
  <si>
    <t>Wendel Resende Maciel</t>
  </si>
  <si>
    <t>44.980.028/0001-08</t>
  </si>
  <si>
    <t>WILLIAN BOVI</t>
  </si>
  <si>
    <t>41.697.567/0001-46</t>
  </si>
  <si>
    <t>Willian Lovato - TOTEM COM ABA</t>
  </si>
  <si>
    <t>58.277.264/0001-77</t>
  </si>
  <si>
    <t>Windson Nogueira da Silva</t>
  </si>
  <si>
    <t xml:space="preserve">Wizmart </t>
  </si>
  <si>
    <t>wizmart bsb</t>
  </si>
  <si>
    <t>56.073.650/0001-11</t>
  </si>
  <si>
    <t>WizMart ES Comércio Varejista LTDA</t>
  </si>
  <si>
    <t>WIZMART-BSB COMERCIO VAREJISTA LTDA</t>
  </si>
  <si>
    <t>Yang Henrique Calanca Okubo - 10 máquinas e 4 totens a mais</t>
  </si>
  <si>
    <t>Yang Henrique Calanca Okubo - 10 totens</t>
  </si>
  <si>
    <t>Yang Henrique Calanca Okubo - 20 máquinas a mais</t>
  </si>
  <si>
    <t>49.722.962/0001-43</t>
  </si>
  <si>
    <t>YASMIN RUBIA DE SOUZA MARTINS</t>
  </si>
  <si>
    <t xml:space="preserve">Yates comércio de produtos </t>
  </si>
  <si>
    <t>44.928.688/0001-40</t>
  </si>
  <si>
    <t>Yotsuo Shigeno - analisar ticket</t>
  </si>
  <si>
    <t>57.465.459/0002-69</t>
  </si>
  <si>
    <t>Yslaine Oliveira</t>
  </si>
  <si>
    <t>Yuri - 1 adap já devolvido</t>
  </si>
  <si>
    <t>43.093.498/0001-97</t>
  </si>
  <si>
    <t>Yuri Frazao</t>
  </si>
  <si>
    <t>Yuri Frazao - 2 adaptadores</t>
  </si>
  <si>
    <t>52.775.062/0001-79</t>
  </si>
  <si>
    <t xml:space="preserve">Zeza Place </t>
  </si>
  <si>
    <t>50.235.776/0001-69</t>
  </si>
  <si>
    <t xml:space="preserve">Ziggy &amp; Zakk Conveniência </t>
  </si>
  <si>
    <t>18.330.268/0001-57</t>
  </si>
  <si>
    <t xml:space="preserve">Zilda de Souza Praxedes </t>
  </si>
  <si>
    <t>&gt;60 dias</t>
  </si>
  <si>
    <t>%</t>
  </si>
  <si>
    <t>Contagem de Fase atual</t>
  </si>
  <si>
    <t>Coluna1</t>
  </si>
  <si>
    <t>Total_Mes</t>
  </si>
  <si>
    <t>Recebido_ Mes</t>
  </si>
  <si>
    <t>Mês</t>
  </si>
  <si>
    <t>Ano</t>
  </si>
  <si>
    <t>% Devolvida</t>
  </si>
  <si>
    <t>Média de % Devolvida</t>
  </si>
  <si>
    <t>Meta</t>
  </si>
  <si>
    <t>Média de Meta</t>
  </si>
  <si>
    <t xml:space="preserve"> Caio Vinícius Torres Costa Moura</t>
  </si>
  <si>
    <t>Cards em C4</t>
  </si>
  <si>
    <t>62.993.550/0001-06</t>
  </si>
  <si>
    <t xml:space="preserve"> Jaqueline da Silva Luiz </t>
  </si>
  <si>
    <t xml:space="preserve"> Leandro Alves de Mira </t>
  </si>
  <si>
    <t xml:space="preserve"> LIMA STORE COMERCIO DE PRODUTOS ALIMENTICIOS LTDA</t>
  </si>
  <si>
    <t>03 - Ligação ativa</t>
  </si>
  <si>
    <t>49.896.421/0001-31</t>
  </si>
  <si>
    <t xml:space="preserve">Amanda moreno da silva </t>
  </si>
  <si>
    <t>23.766.888/0001-73</t>
  </si>
  <si>
    <t>Ana paula leal da paixao</t>
  </si>
  <si>
    <t>BOX MARKET COMERCIAL LTDA. (totem fat)</t>
  </si>
  <si>
    <t>BRUNA DE AMORIM BEZIAZACINAI</t>
  </si>
  <si>
    <t>Bruna Lorena (foi devolvido uma máquina a mais)</t>
  </si>
  <si>
    <t>Bruna Lucio Ferreira</t>
  </si>
  <si>
    <t>62.683.394/0001-87</t>
  </si>
  <si>
    <t xml:space="preserve">Conveniência Nova Era Xpress </t>
  </si>
  <si>
    <t>Cristian Ricardo Nivoloni (aparentemente, uma máquina a mais recebida)</t>
  </si>
  <si>
    <t>57.649.917/0001-39</t>
  </si>
  <si>
    <t>Daniela Soares de Andrade</t>
  </si>
  <si>
    <t>Diana Aparecida Duarte (cliente solicitou novo código de rastreio e foi enviado)</t>
  </si>
  <si>
    <t xml:space="preserve">Dreams foods ltda </t>
  </si>
  <si>
    <t>E-Markett (fonte rasp)</t>
  </si>
  <si>
    <t xml:space="preserve">Ed Carlo Alves Parente </t>
  </si>
  <si>
    <t>57.874.050/0001-15</t>
  </si>
  <si>
    <t>Edwilson Queiroz da Cruz:</t>
  </si>
  <si>
    <t>49.904.307/0001-06</t>
  </si>
  <si>
    <t>Emiangela Miguel dos Anjos</t>
  </si>
  <si>
    <t>49.349.037/0001-19</t>
  </si>
  <si>
    <t>Erika Agro Representacoes LTDA</t>
  </si>
  <si>
    <t>43.246.258/0001-85</t>
  </si>
  <si>
    <t>FÁBIO DOS SANTOS MARQUES</t>
  </si>
  <si>
    <t>35.300.940/0001-80</t>
  </si>
  <si>
    <t>Felipe</t>
  </si>
  <si>
    <t xml:space="preserve">Felipe Jesus Pimentel Feitosa </t>
  </si>
  <si>
    <t>52.776.488/0001-47</t>
  </si>
  <si>
    <t xml:space="preserve">Fellipe Thomaz de Azevedo Barreto </t>
  </si>
  <si>
    <t>47.081.845/0001-12</t>
  </si>
  <si>
    <t xml:space="preserve">Fernanda da silva cordeio </t>
  </si>
  <si>
    <t>63.727.372/0001-34</t>
  </si>
  <si>
    <t>Flavio Dias da Silva</t>
  </si>
  <si>
    <t>Fvw Vending Comércio e Locação de Equipamentos e Alimentos Ltda.</t>
  </si>
  <si>
    <t>Gilberto jacomossi - (boleto anexo) pago</t>
  </si>
  <si>
    <t>53.867.124/0001-35</t>
  </si>
  <si>
    <t>GLÁUCIA BELO</t>
  </si>
  <si>
    <t>52.277.148/0001-71</t>
  </si>
  <si>
    <t>Gledson Antonio Cavalcanti dos Santos</t>
  </si>
  <si>
    <t>20.996.873/0001-03</t>
  </si>
  <si>
    <t>HELPMART MERCADO INTELIGENTE</t>
  </si>
  <si>
    <t>Iara Maria Medeiros de Aquino</t>
  </si>
  <si>
    <t>48.101.971/0001-54</t>
  </si>
  <si>
    <t>Isamara Fontes</t>
  </si>
  <si>
    <t>26.679.709/0001-59</t>
  </si>
  <si>
    <t xml:space="preserve">Itamar Rodrigo Moreira de Oliveira </t>
  </si>
  <si>
    <t>João Carlos Teixeira Santos 1 V1</t>
  </si>
  <si>
    <t>63.615.075/0001-05</t>
  </si>
  <si>
    <t>João Paulo Rocha Sad</t>
  </si>
  <si>
    <t xml:space="preserve">Juliana De Jesus Dos Santos Silva </t>
  </si>
  <si>
    <t>52.645.979/0001-59</t>
  </si>
  <si>
    <t>Katson Costa</t>
  </si>
  <si>
    <t>62.840.412/0001-97</t>
  </si>
  <si>
    <t>Kaua Fernandes</t>
  </si>
  <si>
    <t>LAIDES SOARES DA SILVA</t>
  </si>
  <si>
    <t>64.690.630/0001-18</t>
  </si>
  <si>
    <t>Laiza Gabrielly Pereira De Aquino- NÃO BLOQUEAR, CLIENTE VAI DEVOLVER TOTEM COM A MÁQUINA (QUANDO A MÁQUINA CHEGAR)</t>
  </si>
  <si>
    <t>45.105.562/0001-38</t>
  </si>
  <si>
    <t>Luan Henrique Freire Righi</t>
  </si>
  <si>
    <t>51.215.420/0001-26</t>
  </si>
  <si>
    <t>Luciana chelim Fernandes:</t>
  </si>
  <si>
    <t>15.126.475/0001-04</t>
  </si>
  <si>
    <t xml:space="preserve">Marco Aurélio Marques </t>
  </si>
  <si>
    <t>48.816.749/0001-38</t>
  </si>
  <si>
    <t>Marcos Henrique Barboza</t>
  </si>
  <si>
    <t>Maria Fernanda Costa - 30c moderninha v2</t>
  </si>
  <si>
    <t>50.573.176/0001-00</t>
  </si>
  <si>
    <t>MARLY HELENA PERUCCA COLIADO</t>
  </si>
  <si>
    <t>Minimercado Cerboncini - dev parcial - protocolo 200243 (ler comentário) - falta devolver 1 totem e 5 máquinas</t>
  </si>
  <si>
    <t>OUR MARKET MINIMERCADO E LANC</t>
  </si>
  <si>
    <t>Backlog</t>
  </si>
  <si>
    <t>48.520.946/0001-05</t>
  </si>
  <si>
    <t>Patrick Carmona</t>
  </si>
  <si>
    <t xml:space="preserve">PAULO SERGIO ALVES AZEVEDO </t>
  </si>
  <si>
    <t>46.078.007/0001-27</t>
  </si>
  <si>
    <t>Priscilla Ozono</t>
  </si>
  <si>
    <t xml:space="preserve">Projeto picolé para todos </t>
  </si>
  <si>
    <t>RHEMA SERVIÇOS E COMÉRCIO DE MÁQUINAS LTDA - 4 módulos</t>
  </si>
  <si>
    <t>Ricardo Santos</t>
  </si>
  <si>
    <t>RIGATTI COMERCIO DE PRODUTOS ALIMENTICIOS LTDA (2 leitores + 4 gabinete totem) - acionado sofia 02/02</t>
  </si>
  <si>
    <t>RIGATTI COMERCIO DE PRODUTOS ALIMENTICIOS LTDA (4 totens com máquina)</t>
  </si>
  <si>
    <t>49.661.094/0001-39</t>
  </si>
  <si>
    <t>RINALDO MADONA SCARPARO</t>
  </si>
  <si>
    <t xml:space="preserve">Rodrigo </t>
  </si>
  <si>
    <t>Rodrigo Presser - Muda Market - analisar no grupo quantos totens chegaram presencialmente - 16 totens - faltam 12 máquinas</t>
  </si>
  <si>
    <t>58.701.952/0001-12</t>
  </si>
  <si>
    <t>Rosane</t>
  </si>
  <si>
    <t>52.905.034/0001-29</t>
  </si>
  <si>
    <t>SANDRA REGINA DE CASTRO FERREIRA</t>
  </si>
  <si>
    <t>THIAGO MOURA GALINDO</t>
  </si>
  <si>
    <t>Tiago SmartStore</t>
  </si>
  <si>
    <t>URBANEASY MARKET LTDA</t>
  </si>
  <si>
    <t>V&amp;F COMERCIO LTDA - 8 totens</t>
  </si>
  <si>
    <t>vendinha 24h (2 totens 30c) - acionado Sofia 06/02.</t>
  </si>
  <si>
    <t>vendinha24h serviços e comercio de produtos alimenticios LTDA</t>
  </si>
  <si>
    <t>VITORIA DE SIMONE DE OLIVEIRA ME  - postado</t>
  </si>
  <si>
    <t>Yang H. C. Okubo - 1 máquina</t>
  </si>
  <si>
    <t>All4 Vending - Ramon (movi pra não receber cobranças no momento)</t>
  </si>
  <si>
    <t>Renato Igor dias Silva - Cliente pagou pelo 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</si>
</sst>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\ hh:mm:ss;@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0" fontId="1" fillId="0" borderId="2" xfId="0" applyNumberFormat="1" applyFont="1" applyBorder="1" applyAlignment="1">
      <alignment horizontal="center"/>
    </xf>
    <xf numFmtId="1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left" indent="1"/>
    </xf>
    <xf numFmtId="9" fontId="0" fillId="0" borderId="0" xfId="0" applyNumberFormat="1"/>
    <xf numFmtId="10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49">
    <dxf>
      <numFmt numFmtId="164" formatCode="[$-409]yyyy\-mm\-dd\ hh:mm:ss;@"/>
      <alignment horizontal="center" vertical="bottom" textRotation="0" wrapText="0" indent="0" justifyLastLine="0" shrinkToFit="0" readingOrder="0"/>
    </dxf>
    <dxf>
      <numFmt numFmtId="14" formatCode="0.00%"/>
    </dxf>
    <dxf>
      <numFmt numFmtId="13" formatCode="0%"/>
    </dxf>
    <dxf>
      <numFmt numFmtId="19" formatCode="dd/mm/yyyy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left" vertical="bottom" textRotation="0" wrapText="0" indent="3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alignment horizontal="center" vertical="center" textRotation="0" wrapText="0" indent="0" justifyLastLine="0" shrinkToFit="0" readingOrder="0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numFmt numFmtId="164" formatCode="[$-409]yyyy\-mm\-dd\ hh:mm:ss;@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E7D26"/>
      <color rgb="FFE8D8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tx1"/>
                </a:solidFill>
              </a:rPr>
              <a:t>Aging do Backlog de Devoluções - Distribuição por Faixa de Dias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8033811961326472E-2"/>
          <c:y val="0.13483769029333509"/>
          <c:w val="0.96485306857593245"/>
          <c:h val="0.77098883256831852"/>
        </c:manualLayout>
      </c:layout>
      <c:barChart>
        <c:barDir val="col"/>
        <c:grouping val="stacked"/>
        <c:varyColors val="0"/>
        <c:ser>
          <c:idx val="0"/>
          <c:order val="0"/>
          <c:tx>
            <c:v>Em rota de entrega</c:v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Aging'!$B$14:$B$19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4">
                  <c:v>6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9-49D7-BCC7-355C1F0D6BC5}"/>
            </c:ext>
          </c:extLst>
        </c:ser>
        <c:ser>
          <c:idx val="1"/>
          <c:order val="1"/>
          <c:tx>
            <c:v>Equipamentos a receber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Aging'!$C$14:$C$19</c:f>
              <c:numCache>
                <c:formatCode>General</c:formatCode>
                <c:ptCount val="6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9-49D7-BCC7-355C1F0D6BC5}"/>
            </c:ext>
          </c:extLst>
        </c:ser>
        <c:ser>
          <c:idx val="2"/>
          <c:order val="2"/>
          <c:tx>
            <c:v>Notificação de bloqueio parcial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Aging'!$D$14:$D$19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26</c:v>
                </c:pt>
                <c:pt idx="3">
                  <c:v>10</c:v>
                </c:pt>
                <c:pt idx="4">
                  <c:v>53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9-49D7-BCC7-355C1F0D6BC5}"/>
            </c:ext>
          </c:extLst>
        </c:ser>
        <c:ser>
          <c:idx val="3"/>
          <c:order val="3"/>
          <c:tx>
            <c:v>Régua de cobrança 1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Aging'!$E$14:$E$19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79-49D7-BCC7-355C1F0D6BC5}"/>
            </c:ext>
          </c:extLst>
        </c:ser>
        <c:ser>
          <c:idx val="4"/>
          <c:order val="4"/>
          <c:tx>
            <c:v>Regua de cobrança 2</c:v>
          </c:tx>
          <c:spPr>
            <a:solidFill>
              <a:srgbClr val="FE7D2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Aging'!$F$14:$F$19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79-49D7-BCC7-355C1F0D6BC5}"/>
            </c:ext>
          </c:extLst>
        </c:ser>
        <c:ser>
          <c:idx val="5"/>
          <c:order val="5"/>
          <c:tx>
            <c:v>Resposta Migração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Aging'!$G$14:$G$19</c:f>
              <c:numCache>
                <c:formatCode>General</c:formatCode>
                <c:ptCount val="6"/>
                <c:pt idx="2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79-49D7-BCC7-355C1F0D6BC5}"/>
            </c:ext>
          </c:extLst>
        </c:ser>
        <c:ser>
          <c:idx val="6"/>
          <c:order val="6"/>
          <c:tx>
            <c:strRef>
              <c:f>'Analise Aging'!$H$12:$H$13</c:f>
              <c:strCache>
                <c:ptCount val="2"/>
                <c:pt idx="1">
                  <c:v>Total Geral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0" bIns="7200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Aging'!$H$14:$H$19</c:f>
              <c:numCache>
                <c:formatCode>General</c:formatCode>
                <c:ptCount val="6"/>
                <c:pt idx="0">
                  <c:v>99</c:v>
                </c:pt>
                <c:pt idx="1">
                  <c:v>21</c:v>
                </c:pt>
                <c:pt idx="2">
                  <c:v>31</c:v>
                </c:pt>
                <c:pt idx="3">
                  <c:v>10</c:v>
                </c:pt>
                <c:pt idx="4">
                  <c:v>62</c:v>
                </c:pt>
                <c:pt idx="5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79-49D7-BCC7-355C1F0D6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750504592"/>
        <c:axId val="750505072"/>
      </c:barChart>
      <c:catAx>
        <c:axId val="7505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505072"/>
        <c:crosses val="autoZero"/>
        <c:auto val="1"/>
        <c:lblAlgn val="ctr"/>
        <c:lblOffset val="100"/>
        <c:noMultiLvlLbl val="0"/>
      </c:catAx>
      <c:valAx>
        <c:axId val="750505072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5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[KPI-C3 1.xlsx]%Devolvidos!Tabela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Itens Devolvidos ao Longo</a:t>
            </a:r>
            <a:r>
              <a:rPr lang="en-US" baseline="0"/>
              <a:t> do Tempo</a:t>
            </a:r>
            <a:endParaRPr lang="en-US"/>
          </a:p>
        </c:rich>
      </c:tx>
      <c:layout>
        <c:manualLayout>
          <c:xMode val="edge"/>
          <c:yMode val="edge"/>
          <c:x val="0.34040596491115716"/>
          <c:y val="2.418919663014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'%Devolvidos'!$B$3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'%Devolvidos'!$A$4:$A$12</c:f>
              <c:strCache>
                <c:ptCount val="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</c:strCache>
            </c:strRef>
          </c:cat>
          <c:val>
            <c:numRef>
              <c:f>'%Devolvidos'!$B$4:$B$12</c:f>
              <c:numCache>
                <c:formatCode>0.00%</c:formatCode>
                <c:ptCount val="8"/>
                <c:pt idx="0">
                  <c:v>0.15053763440860216</c:v>
                </c:pt>
                <c:pt idx="1">
                  <c:v>9.3548387096774197E-2</c:v>
                </c:pt>
                <c:pt idx="2">
                  <c:v>0.14193548387096774</c:v>
                </c:pt>
                <c:pt idx="3">
                  <c:v>0.16021505376344086</c:v>
                </c:pt>
                <c:pt idx="4">
                  <c:v>0.12043010752688173</c:v>
                </c:pt>
                <c:pt idx="5">
                  <c:v>0.13978494623655913</c:v>
                </c:pt>
                <c:pt idx="6">
                  <c:v>3.5483870967741936E-2</c:v>
                </c:pt>
                <c:pt idx="7">
                  <c:v>0.15806451612903225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E-404F-B1CF-9559424161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308560"/>
        <c:axId val="1357310480"/>
      </c:lineChart>
      <c:catAx>
        <c:axId val="13573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310480"/>
        <c:crosses val="autoZero"/>
        <c:auto val="1"/>
        <c:lblAlgn val="ctr"/>
        <c:lblOffset val="100"/>
        <c:noMultiLvlLbl val="0"/>
      </c:catAx>
      <c:valAx>
        <c:axId val="13573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90000"/>
                </a:schemeClr>
              </a:solidFill>
              <a:prstDash val="sys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3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chemeClr val="tx1"/>
                </a:solidFill>
              </a:rPr>
              <a:t>Aging do Backlog de Devoluções - Distribuição por Faixa de Dias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8033811961326472E-2"/>
          <c:y val="0.13483769029333509"/>
          <c:w val="0.96485306857593245"/>
          <c:h val="0.77098883256831852"/>
        </c:manualLayout>
      </c:layout>
      <c:barChart>
        <c:barDir val="col"/>
        <c:grouping val="stacked"/>
        <c:varyColors val="0"/>
        <c:ser>
          <c:idx val="0"/>
          <c:order val="0"/>
          <c:tx>
            <c:v>Em rota de entrega</c:v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Aging'!$B$14:$B$19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4">
                  <c:v>6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5-4B74-87DE-6E47011818CA}"/>
            </c:ext>
          </c:extLst>
        </c:ser>
        <c:ser>
          <c:idx val="1"/>
          <c:order val="1"/>
          <c:tx>
            <c:v>Equipamentos a receber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Aging'!$C$14:$C$19</c:f>
              <c:numCache>
                <c:formatCode>General</c:formatCode>
                <c:ptCount val="6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5-4B74-87DE-6E47011818CA}"/>
            </c:ext>
          </c:extLst>
        </c:ser>
        <c:ser>
          <c:idx val="2"/>
          <c:order val="2"/>
          <c:tx>
            <c:v>Notificação de bloqueio parcial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Aging'!$D$14:$D$19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26</c:v>
                </c:pt>
                <c:pt idx="3">
                  <c:v>10</c:v>
                </c:pt>
                <c:pt idx="4">
                  <c:v>53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5-4B74-87DE-6E47011818CA}"/>
            </c:ext>
          </c:extLst>
        </c:ser>
        <c:ser>
          <c:idx val="3"/>
          <c:order val="3"/>
          <c:tx>
            <c:v>Régua de cobrança 1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Aging'!$E$14:$E$19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5-4B74-87DE-6E47011818CA}"/>
            </c:ext>
          </c:extLst>
        </c:ser>
        <c:ser>
          <c:idx val="4"/>
          <c:order val="4"/>
          <c:tx>
            <c:v>Regua de cobrança 2</c:v>
          </c:tx>
          <c:spPr>
            <a:solidFill>
              <a:srgbClr val="FE7D2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Aging'!$F$14:$F$19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E5-4B74-87DE-6E47011818CA}"/>
            </c:ext>
          </c:extLst>
        </c:ser>
        <c:ser>
          <c:idx val="5"/>
          <c:order val="5"/>
          <c:tx>
            <c:v>Resposta Migração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Aging'!$G$14:$G$19</c:f>
              <c:numCache>
                <c:formatCode>General</c:formatCode>
                <c:ptCount val="6"/>
                <c:pt idx="2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E5-4B74-87DE-6E47011818CA}"/>
            </c:ext>
          </c:extLst>
        </c:ser>
        <c:ser>
          <c:idx val="6"/>
          <c:order val="6"/>
          <c:tx>
            <c:strRef>
              <c:f>'Analise Aging'!$H$12:$H$13</c:f>
              <c:strCache>
                <c:ptCount val="2"/>
                <c:pt idx="1">
                  <c:v>Total Geral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0" bIns="7200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Aging'!$A$14:$A$19</c:f>
              <c:strCache>
                <c:ptCount val="6"/>
                <c:pt idx="0">
                  <c:v>0-14 dias</c:v>
                </c:pt>
                <c:pt idx="1">
                  <c:v>15-19 dias</c:v>
                </c:pt>
                <c:pt idx="2">
                  <c:v>20-24 dias</c:v>
                </c:pt>
                <c:pt idx="3">
                  <c:v>25-30 dias</c:v>
                </c:pt>
                <c:pt idx="4">
                  <c:v>31-60 dias</c:v>
                </c:pt>
                <c:pt idx="5">
                  <c:v>&gt;60 dias</c:v>
                </c:pt>
              </c:strCache>
            </c:strRef>
          </c:cat>
          <c:val>
            <c:numRef>
              <c:f>'Analise Aging'!$H$14:$H$19</c:f>
              <c:numCache>
                <c:formatCode>General</c:formatCode>
                <c:ptCount val="6"/>
                <c:pt idx="0">
                  <c:v>99</c:v>
                </c:pt>
                <c:pt idx="1">
                  <c:v>21</c:v>
                </c:pt>
                <c:pt idx="2">
                  <c:v>31</c:v>
                </c:pt>
                <c:pt idx="3">
                  <c:v>10</c:v>
                </c:pt>
                <c:pt idx="4">
                  <c:v>62</c:v>
                </c:pt>
                <c:pt idx="5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E5-4B74-87DE-6E470118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750504592"/>
        <c:axId val="750505072"/>
      </c:barChart>
      <c:catAx>
        <c:axId val="7505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505072"/>
        <c:crosses val="autoZero"/>
        <c:auto val="1"/>
        <c:lblAlgn val="ctr"/>
        <c:lblOffset val="100"/>
        <c:noMultiLvlLbl val="0"/>
      </c:catAx>
      <c:valAx>
        <c:axId val="750505072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5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ayout>
        <c:manualLayout>
          <c:xMode val="edge"/>
          <c:yMode val="edge"/>
          <c:x val="6.8660293922403665E-2"/>
          <c:y val="0.95668048232515412"/>
          <c:w val="0.86267931002788079"/>
          <c:h val="4.3319517674845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[KPI-C3 1.xlsx]%Devolvidos!Tabela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Itens Devolvidos ao Longo</a:t>
            </a:r>
            <a:r>
              <a:rPr lang="en-US" baseline="0"/>
              <a:t> do Tempo</a:t>
            </a:r>
            <a:endParaRPr lang="en-US"/>
          </a:p>
        </c:rich>
      </c:tx>
      <c:layout>
        <c:manualLayout>
          <c:xMode val="edge"/>
          <c:yMode val="edge"/>
          <c:x val="0.34040596491115716"/>
          <c:y val="2.418919663014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'%Devolvidos'!$B$3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'%Devolvidos'!$A$4:$A$12</c:f>
              <c:strCache>
                <c:ptCount val="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</c:strCache>
            </c:strRef>
          </c:cat>
          <c:val>
            <c:numRef>
              <c:f>'%Devolvidos'!$B$4:$B$12</c:f>
              <c:numCache>
                <c:formatCode>0.00%</c:formatCode>
                <c:ptCount val="8"/>
                <c:pt idx="0">
                  <c:v>0.15053763440860216</c:v>
                </c:pt>
                <c:pt idx="1">
                  <c:v>9.3548387096774197E-2</c:v>
                </c:pt>
                <c:pt idx="2">
                  <c:v>0.14193548387096774</c:v>
                </c:pt>
                <c:pt idx="3">
                  <c:v>0.16021505376344086</c:v>
                </c:pt>
                <c:pt idx="4">
                  <c:v>0.12043010752688173</c:v>
                </c:pt>
                <c:pt idx="5">
                  <c:v>0.13978494623655913</c:v>
                </c:pt>
                <c:pt idx="6">
                  <c:v>3.5483870967741936E-2</c:v>
                </c:pt>
                <c:pt idx="7">
                  <c:v>0.15806451612903225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F-4916-8F35-398E094093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308560"/>
        <c:axId val="1357310480"/>
      </c:lineChart>
      <c:catAx>
        <c:axId val="13573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310480"/>
        <c:crosses val="autoZero"/>
        <c:auto val="1"/>
        <c:lblAlgn val="ctr"/>
        <c:lblOffset val="100"/>
        <c:noMultiLvlLbl val="0"/>
      </c:catAx>
      <c:valAx>
        <c:axId val="13573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90000"/>
                </a:schemeClr>
              </a:solidFill>
              <a:prstDash val="sys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3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[KPI-C3 1.xlsx]KPIs!Tabela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</a:t>
            </a:r>
            <a:r>
              <a:rPr lang="en-US" baseline="0"/>
              <a:t> Pedidos De Troca Devolvidos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683468728267154E-2"/>
              <c:y val="-2.60586319218241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341624086466288E-2"/>
          <c:y val="7.7546961325966848E-2"/>
          <c:w val="0.95300081884380028"/>
          <c:h val="0.829864010092661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KPIs!$S$1</c:f>
              <c:strCache>
                <c:ptCount val="1"/>
                <c:pt idx="0">
                  <c:v>Média de % Devolvida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KPIs!$R$2:$R$12</c:f>
              <c:multiLvlStrCache>
                <c:ptCount val="8"/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KPIs!$S$2:$S$12</c:f>
              <c:numCache>
                <c:formatCode>0.00%</c:formatCode>
                <c:ptCount val="8"/>
                <c:pt idx="0">
                  <c:v>0.73446327683615542</c:v>
                </c:pt>
                <c:pt idx="1">
                  <c:v>0.7671232876712355</c:v>
                </c:pt>
                <c:pt idx="2">
                  <c:v>0.75634517766497145</c:v>
                </c:pt>
                <c:pt idx="3">
                  <c:v>0.67692307692307563</c:v>
                </c:pt>
                <c:pt idx="4">
                  <c:v>0.6641221374045797</c:v>
                </c:pt>
                <c:pt idx="5">
                  <c:v>0.6763285024154585</c:v>
                </c:pt>
                <c:pt idx="6">
                  <c:v>0.65919282511211152</c:v>
                </c:pt>
                <c:pt idx="7">
                  <c:v>0.17460317460317426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1-41F7-B162-B8F22F93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8968624"/>
        <c:axId val="1694250688"/>
      </c:barChart>
      <c:lineChart>
        <c:grouping val="standard"/>
        <c:varyColors val="0"/>
        <c:ser>
          <c:idx val="1"/>
          <c:order val="1"/>
          <c:tx>
            <c:strRef>
              <c:f>KPIs!$T$1</c:f>
              <c:strCache>
                <c:ptCount val="1"/>
                <c:pt idx="0">
                  <c:v>Média de Meta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B1-41F7-B162-B8F22F93A2F7}"/>
              </c:ext>
            </c:extLst>
          </c:dPt>
          <c:dLbls>
            <c:dLbl>
              <c:idx val="7"/>
              <c:layout>
                <c:manualLayout>
                  <c:x val="-1.3683468728267154E-2"/>
                  <c:y val="-2.6058631921824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B1-41F7-B162-B8F22F93A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KPIs!$R$2:$R$12</c:f>
              <c:multiLvlStrCache>
                <c:ptCount val="8"/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KPIs!$T$2:$T$12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1-41F7-B162-B8F22F93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968624"/>
        <c:axId val="1694250688"/>
      </c:lineChart>
      <c:catAx>
        <c:axId val="21189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4250688"/>
        <c:crosses val="autoZero"/>
        <c:auto val="1"/>
        <c:lblAlgn val="ctr"/>
        <c:lblOffset val="100"/>
        <c:noMultiLvlLbl val="0"/>
      </c:catAx>
      <c:valAx>
        <c:axId val="16942506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96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23</xdr:row>
      <xdr:rowOff>98611</xdr:rowOff>
    </xdr:from>
    <xdr:to>
      <xdr:col>8</xdr:col>
      <xdr:colOff>313765</xdr:colOff>
      <xdr:row>54</xdr:row>
      <xdr:rowOff>125506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119632-DA85-6E01-625D-847025E29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262890</xdr:colOff>
      <xdr:row>1</xdr:row>
      <xdr:rowOff>167640</xdr:rowOff>
    </xdr:from>
    <xdr:to>
      <xdr:col>17</xdr:col>
      <xdr:colOff>243840</xdr:colOff>
      <xdr:row>26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4DA323-DEB7-E47B-281A-481C16184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190500</xdr:colOff>
      <xdr:row>27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C453CE-AF32-429A-BAEA-5433DB521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135255</xdr:rowOff>
    </xdr:from>
    <xdr:to>
      <xdr:col>14</xdr:col>
      <xdr:colOff>190500</xdr:colOff>
      <xdr:row>53</xdr:row>
      <xdr:rowOff>112395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875330-9AB3-4F24-AFFB-0C4E53586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608011</xdr:colOff>
      <xdr:row>12</xdr:row>
      <xdr:rowOff>59267</xdr:rowOff>
    </xdr:from>
    <xdr:to>
      <xdr:col>37</xdr:col>
      <xdr:colOff>29633</xdr:colOff>
      <xdr:row>44</xdr:row>
      <xdr:rowOff>116417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A66658-5E7C-85C0-0BE9-35D93A624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Ferreira" refreshedDate="46080.454841782404" createdVersion="8" refreshedVersion="8" minRefreshableVersion="3" recordCount="1465" xr:uid="{C388182F-0DCE-4829-9726-81BA06D4C107}">
  <cacheSource type="worksheet">
    <worksheetSource name="Tabela1"/>
  </cacheSource>
  <cacheFields count="40">
    <cacheField name="Código" numFmtId="0">
      <sharedItems containsSemiMixedTypes="0" containsString="0" containsNumber="1" containsInteger="1" minValue="1169121174" maxValue="1304765136"/>
    </cacheField>
    <cacheField name="CNPJ da Troca (C3)" numFmtId="0">
      <sharedItems containsBlank="1"/>
    </cacheField>
    <cacheField name="Título" numFmtId="0">
      <sharedItems/>
    </cacheField>
    <cacheField name="Fase atual" numFmtId="0">
      <sharedItems count="12">
        <s v="Recebido"/>
        <s v="Regua de Cobrança 2"/>
        <s v="Em Rota de Entrega"/>
        <s v="Arquivados"/>
        <s v="Resposta de Migração"/>
        <s v="Notificação de bloqueio parcial"/>
        <s v="Regua de cobrança 1"/>
        <s v="Equipamentos a Receber"/>
        <s v="Perda"/>
        <s v="Gerar Boleto"/>
        <s v="Migração de Conta"/>
        <s v="Pedido na AMLabs"/>
      </sharedItems>
    </cacheField>
    <cacheField name="Criador" numFmtId="0">
      <sharedItems/>
    </cacheField>
    <cacheField name="Criado em" numFmtId="14">
      <sharedItems containsSemiMixedTypes="0" containsNonDate="0" containsDate="1" containsString="0" minDate="2025-07-01T00:23:29" maxDate="2026-02-26T19:07:09" count="1464">
        <d v="2025-11-05T22:02:26"/>
        <d v="2026-02-10T19:07:00"/>
        <d v="2025-08-25T15:25:53"/>
        <d v="2026-01-23T15:02:57"/>
        <d v="2025-09-12T00:24:34"/>
        <d v="2026-02-12T19:07:21"/>
        <d v="2025-11-28T19:05:42"/>
        <d v="2025-07-14T20:25:24"/>
        <d v="2025-08-04T20:26:00"/>
        <d v="2025-11-18T15:05:28"/>
        <d v="2025-07-28T18:36:34"/>
        <d v="2025-07-25T20:28:01"/>
        <d v="2025-10-20T15:03:16"/>
        <d v="2026-02-04T15:06:02"/>
        <d v="2025-10-07T20:26:21"/>
        <d v="2025-09-12T20:28:08"/>
        <d v="2025-11-28T20:03:09"/>
        <d v="2025-11-13T19:04:28"/>
        <d v="2025-11-06T19:04:14"/>
        <d v="2025-11-14T12:47:13"/>
        <d v="2025-12-20T11:44:07"/>
        <d v="2026-02-10T19:06:55"/>
        <d v="2026-02-12T19:07:33"/>
        <d v="2025-12-11T19:08:22"/>
        <d v="2025-11-26T19:04:56"/>
        <d v="2026-02-25T19:06:20"/>
        <d v="2025-07-02T00:25:15"/>
        <d v="2025-09-12T20:26:29"/>
        <d v="2026-01-08T19:03:52"/>
        <d v="2025-12-04T12:07:29"/>
        <d v="2025-09-05T15:26:17"/>
        <d v="2025-07-18T20:25:06"/>
        <d v="2025-10-06T15:24:09"/>
        <d v="2025-12-11T22:08:28"/>
        <d v="2026-01-23T15:04:21"/>
        <d v="2026-02-06T14:31:46"/>
        <d v="2026-02-06T13:36:17"/>
        <d v="2025-09-05T20:25:49"/>
        <d v="2025-07-15T15:25:27"/>
        <d v="2025-07-29T20:26:37"/>
        <d v="2025-11-06T15:03:19"/>
        <d v="2025-08-08T20:25:51"/>
        <d v="2025-08-08T20:25:34"/>
        <d v="2025-09-01T20:25:46"/>
        <d v="2025-12-18T20:15:55"/>
        <d v="2025-12-04T15:07:27"/>
        <d v="2025-09-12T15:28:27"/>
        <d v="2025-11-14T19:03:33"/>
        <d v="2026-01-29T19:06:29"/>
        <d v="2025-10-15T19:10:37"/>
        <d v="2025-11-06T20:21:35"/>
        <d v="2025-12-23T19:08:36"/>
        <d v="2026-02-18T22:05:02"/>
        <d v="2025-07-17T20:23:34"/>
        <d v="2025-11-24T13:05:26"/>
        <d v="2025-10-06T14:16:34"/>
        <d v="2026-02-10T15:06:04"/>
        <d v="2026-01-07T15:06:25"/>
        <d v="2025-09-17T20:26:05"/>
        <d v="2026-02-12T19:07:07"/>
        <d v="2025-07-14T20:26:20"/>
        <d v="2026-02-09T19:06:02"/>
        <d v="2025-09-04T15:26:31"/>
        <d v="2025-12-05T22:07:51"/>
        <d v="2025-09-15T15:26:36"/>
        <d v="2025-07-01T00:23:29"/>
        <d v="2025-10-28T13:03:52"/>
        <d v="2025-09-04T20:27:24"/>
        <d v="2026-01-12T22:05:46"/>
        <d v="2026-02-11T19:05:28"/>
        <d v="2025-12-31T19:05:04"/>
        <d v="2025-07-21T20:23:58"/>
        <d v="2025-08-22T20:26:26"/>
        <d v="2026-01-05T19:07:07"/>
        <d v="2026-01-13T15:04:20"/>
        <d v="2026-01-05T19:05:01"/>
        <d v="2026-01-27T22:04:45"/>
        <d v="2025-08-11T20:24:14"/>
        <d v="2025-07-09T20:26:19"/>
        <d v="2025-11-26T22:04:58"/>
        <d v="2026-01-05T22:06:56"/>
        <d v="2026-01-15T22:07:08"/>
        <d v="2026-01-16T22:04:45"/>
        <d v="2025-12-20T11:48:25"/>
        <d v="2025-12-16T15:19:24"/>
        <d v="2025-12-16T15:19:45"/>
        <d v="2026-01-22T19:05:28"/>
        <d v="2026-01-12T13:07:24"/>
        <d v="2026-01-12T16:36:12"/>
        <d v="2025-09-08T15:26:15"/>
        <d v="2025-09-12T00:27:34"/>
        <d v="2025-09-22T20:25:57"/>
        <d v="2025-09-08T20:26:16"/>
        <d v="2025-07-31T20:26:34"/>
        <d v="2026-01-21T19:06:08"/>
        <d v="2025-10-07T15:26:25"/>
        <d v="2025-07-21T20:25:46"/>
        <d v="2025-10-04T15:25:56"/>
        <d v="2026-02-06T15:04:26"/>
        <d v="2025-12-19T19:30:10"/>
        <d v="2025-09-30T19:57:51"/>
        <d v="2025-12-15T19:08:33"/>
        <d v="2025-07-07T20:26:38"/>
        <d v="2025-07-29T19:22:28"/>
        <d v="2025-11-06T15:01:04"/>
        <d v="2025-08-26T15:23:19"/>
        <d v="2025-08-13T20:23:57"/>
        <d v="2025-12-12T19:07:41"/>
        <d v="2025-07-22T19:22:18"/>
        <d v="2025-11-10T19:06:00"/>
        <d v="2025-10-01T20:25:01"/>
        <d v="2025-09-18T19:53:03"/>
        <d v="2025-11-18T20:17:12"/>
        <d v="2026-01-05T19:06:57"/>
        <d v="2025-09-08T20:25:40"/>
        <d v="2025-07-25T20:26:45"/>
        <d v="2025-08-06T20:24:40"/>
        <d v="2026-01-29T16:56:33"/>
        <d v="2025-09-04T20:27:20"/>
        <d v="2025-08-18T15:25:28"/>
        <d v="2025-07-03T20:42:48"/>
        <d v="2026-02-24T22:03:24"/>
        <d v="2025-12-19T22:06:42"/>
        <d v="2025-07-10T20:25:50"/>
        <d v="2026-01-09T13:57:53"/>
        <d v="2025-10-21T22:05:56"/>
        <d v="2025-07-08T20:26:10"/>
        <d v="2026-02-11T19:06:35"/>
        <d v="2025-11-06T22:04:04"/>
        <d v="2025-10-02T18:41:18"/>
        <d v="2025-08-01T20:25:50"/>
        <d v="2026-02-23T19:02:43"/>
        <d v="2025-12-12T19:52:34"/>
        <d v="2026-01-29T13:04:29"/>
        <d v="2026-01-15T22:04:06"/>
        <d v="2025-08-29T18:49:59"/>
        <d v="2025-10-27T19:05:43"/>
        <d v="2025-10-03T20:25:07"/>
        <d v="2025-12-31T19:06:35"/>
        <d v="2025-11-03T19:04:55"/>
        <d v="2025-07-29T14:49:48"/>
        <d v="2025-09-09T20:26:25"/>
        <d v="2025-12-01T15:07:05"/>
        <d v="2026-01-21T19:43:01"/>
        <d v="2025-10-03T20:26:07"/>
        <d v="2025-12-11T19:08:16"/>
        <d v="2025-07-16T20:23:23"/>
        <d v="2026-01-07T22:06:34"/>
        <d v="2025-12-10T12:26:02"/>
        <d v="2025-11-25T19:01:12"/>
        <d v="2025-07-17T20:25:18"/>
        <d v="2025-08-13T20:24:58"/>
        <d v="2025-12-22T22:09:50"/>
        <d v="2026-02-18T22:05:57"/>
        <d v="2025-10-08T20:26:30"/>
        <d v="2025-10-22T15:02:33"/>
        <d v="2026-02-05T19:06:03"/>
        <d v="2025-11-13T19:04:42"/>
        <d v="2025-11-13T19:04:37"/>
        <d v="2026-01-22T12:09:58"/>
        <d v="2026-01-09T15:07:23"/>
        <d v="2025-07-14T20:25:29"/>
        <d v="2025-10-17T15:03:04"/>
        <d v="2025-10-21T22:04:17"/>
        <d v="2025-11-10T22:04:28"/>
        <d v="2025-11-04T22:05:28"/>
        <d v="2025-10-21T22:04:26"/>
        <d v="2025-12-26T15:07:13"/>
        <d v="2025-10-06T20:25:18"/>
        <d v="2025-12-04T13:08:35"/>
        <d v="2025-11-14T17:06:47"/>
        <d v="2025-11-10T19:06:05"/>
        <d v="2025-10-07T20:26:26"/>
        <d v="2026-02-25T19:07:08"/>
        <d v="2025-10-03T20:25:02"/>
        <d v="2026-02-05T19:06:25"/>
        <d v="2025-08-22T20:26:32"/>
        <d v="2025-09-25T15:28:30"/>
        <d v="2025-11-10T13:47:00"/>
        <d v="2025-12-15T19:08:27"/>
        <d v="2025-12-18T20:17:00"/>
        <d v="2025-10-01T20:03:51"/>
        <d v="2025-12-08T22:05:56"/>
        <d v="2025-07-08T15:25:31"/>
        <d v="2025-10-27T15:04:44"/>
        <d v="2025-10-09T20:25:29"/>
        <d v="2025-10-20T19:04:48"/>
        <d v="2025-12-22T15:09:21"/>
        <d v="2025-09-09T15:26:05"/>
        <d v="2025-11-06T19:04:04"/>
        <d v="2025-11-24T19:07:12"/>
        <d v="2025-11-19T19:05:47"/>
        <d v="2026-02-05T20:02:15"/>
        <d v="2025-12-01T13:00:02"/>
        <d v="2025-10-16T19:05:01"/>
        <d v="2025-10-09T20:25:44"/>
        <d v="2026-01-19T19:06:54"/>
        <d v="2026-01-23T19:07:17"/>
        <d v="2025-10-16T19:05:09"/>
        <d v="2025-11-10T19:05:30"/>
        <d v="2025-11-27T19:06:36"/>
        <d v="2026-01-28T15:05:08"/>
        <d v="2025-07-25T20:27:56"/>
        <d v="2025-12-18T20:15:30"/>
        <d v="2025-10-21T19:05:38"/>
        <d v="2025-07-12T20:25:38"/>
        <d v="2025-08-13T20:25:24"/>
        <d v="2025-09-24T20:26:34"/>
        <d v="2026-02-18T22:05:43"/>
        <d v="2025-09-17T19:06:38"/>
        <d v="2025-08-20T20:26:40"/>
        <d v="2025-07-28T20:27:07"/>
        <d v="2025-10-01T20:25:36"/>
        <d v="2025-12-03T20:24:15"/>
        <d v="2025-09-29T20:38:38"/>
        <d v="2025-09-17T15:25:27"/>
        <d v="2025-07-30T20:25:38"/>
        <d v="2025-07-22T20:25:44"/>
        <d v="2025-07-18T20:26:26"/>
        <d v="2026-01-07T15:05:00"/>
        <d v="2026-01-21T19:03:24"/>
        <d v="2026-02-02T15:05:51"/>
        <d v="2026-01-05T17:23:13"/>
        <d v="2026-01-21T15:05:35"/>
        <d v="2025-11-03T13:03:54"/>
        <d v="2025-10-01T15:26:41"/>
        <d v="2026-02-11T19:03:10"/>
        <d v="2025-10-27T19:04:59"/>
        <d v="2025-11-25T13:05:52"/>
        <d v="2025-09-19T20:26:11"/>
        <d v="2026-02-06T13:34:29"/>
        <d v="2026-01-29T15:05:41"/>
        <d v="2025-11-11T19:06:12"/>
        <d v="2026-01-13T15:05:42"/>
        <d v="2025-07-29T14:47:26"/>
        <d v="2025-12-18T20:18:40"/>
        <d v="2025-12-23T19:07:42"/>
        <d v="2025-12-01T14:58:18"/>
        <d v="2025-09-26T12:32:25"/>
        <d v="2025-07-07T20:24:32"/>
        <d v="2025-08-28T15:24:46"/>
        <d v="2025-07-21T20:26:12"/>
        <d v="2025-08-15T20:24:48"/>
        <d v="2025-08-04T15:26:03"/>
        <d v="2026-01-28T15:04:47"/>
        <d v="2026-02-02T15:05:39"/>
        <d v="2025-07-07T20:25:15"/>
        <d v="2025-09-11T00:25:13"/>
        <d v="2026-01-16T19:07:09"/>
        <d v="2025-07-28T20:27:33"/>
        <d v="2025-08-01T20:24:29"/>
        <d v="2025-11-18T14:43:32"/>
        <d v="2025-11-13T19:05:01"/>
        <d v="2025-08-13T15:24:26"/>
        <d v="2026-01-12T15:07:13"/>
        <d v="2026-01-20T19:05:39"/>
        <d v="2025-09-26T20:27:24"/>
        <d v="2025-10-16T19:06:13"/>
        <d v="2025-09-11T20:28:23"/>
        <d v="2025-10-28T13:04:35"/>
        <d v="2025-08-15T20:24:44"/>
        <d v="2025-09-03T19:31:51"/>
        <d v="2025-10-23T19:05:14"/>
        <d v="2026-01-08T15:05:48"/>
        <d v="2025-10-31T22:05:36"/>
        <d v="2026-02-25T22:03:55"/>
        <d v="2025-10-13T15:04:29"/>
        <d v="2025-08-18T15:24:06"/>
        <d v="2025-08-25T15:24:27"/>
        <d v="2025-09-09T15:24:47"/>
        <d v="2025-09-15T15:26:31"/>
        <d v="2025-07-30T20:26:37"/>
        <d v="2026-02-23T13:05:28"/>
        <d v="2025-08-20T00:24:55"/>
        <d v="2025-07-28T15:25:34"/>
        <d v="2025-11-06T19:03:12"/>
        <d v="2025-11-17T19:04:07"/>
        <d v="2025-10-03T20:26:25"/>
        <d v="2025-12-12T19:57:13"/>
        <d v="2025-10-27T13:06:06"/>
        <d v="2025-09-19T16:52:12"/>
        <d v="2025-12-16T22:07:02"/>
        <d v="2025-10-23T19:03:39"/>
        <d v="2025-11-03T19:20:14"/>
        <d v="2025-08-05T17:13:39"/>
        <d v="2025-07-15T13:52:34"/>
        <d v="2025-09-30T15:25:52"/>
        <d v="2025-12-26T12:41:51"/>
        <d v="2026-02-04T19:06:41"/>
        <d v="2025-08-18T15:49:52"/>
        <d v="2025-07-22T20:26:25"/>
        <d v="2025-09-12T00:26:10"/>
        <d v="2025-12-31T15:09:11"/>
        <d v="2025-07-29T20:26:32"/>
        <d v="2025-09-05T20:26:44"/>
        <d v="2025-07-21T20:26:43"/>
        <d v="2025-09-25T20:25:51"/>
        <d v="2026-02-09T13:04:24"/>
        <d v="2026-02-09T13:03:41"/>
        <d v="2026-01-30T16:52:09"/>
        <d v="2026-02-06T15:02:38"/>
        <d v="2026-01-29T14:26:33"/>
        <d v="2025-12-09T22:07:26"/>
        <d v="2025-09-17T20:25:04"/>
        <d v="2026-01-13T19:05:24"/>
        <d v="2026-02-13T19:07:00"/>
        <d v="2026-02-24T19:06:02"/>
        <d v="2026-01-16T19:04:28"/>
        <d v="2026-01-26T13:03:35"/>
        <d v="2026-02-09T19:05:51"/>
        <d v="2025-12-08T22:06:34"/>
        <d v="2025-08-06T15:25:44"/>
        <d v="2025-07-17T15:25:35"/>
        <d v="2025-10-27T13:05:22"/>
        <d v="2025-11-18T19:04:38"/>
        <d v="2025-09-13T15:27:09"/>
        <d v="2025-09-01T18:25:35"/>
        <d v="2025-10-23T19:04:15"/>
        <d v="2026-01-07T19:05:46"/>
        <d v="2026-01-06T22:05:54"/>
        <d v="2025-07-30T20:25:43"/>
        <d v="2026-02-20T19:05:47"/>
        <d v="2026-02-06T19:03:26"/>
        <d v="2026-02-13T19:02:34"/>
        <d v="2026-01-29T16:43:14"/>
        <d v="2026-02-06T22:04:53"/>
        <d v="2026-02-04T19:06:46"/>
        <d v="2025-10-09T20:26:09"/>
        <d v="2025-09-24T20:28:25"/>
        <d v="2025-09-17T20:25:32"/>
        <d v="2025-09-22T20:26:25"/>
        <d v="2025-07-08T15:24:44"/>
        <d v="2025-12-15T19:07:40"/>
        <d v="2025-09-19T20:24:33"/>
        <d v="2025-08-29T15:24:31"/>
        <d v="2025-10-24T15:04:10"/>
        <d v="2025-07-21T20:27:01"/>
        <d v="2025-08-01T16:20:13"/>
        <d v="2025-10-22T14:14:46"/>
        <d v="2025-10-13T19:05:53"/>
        <d v="2026-01-15T22:06:25"/>
        <d v="2026-01-07T19:05:05"/>
        <d v="2025-09-29T20:26:44"/>
        <d v="2025-12-18T20:16:02"/>
        <d v="2025-07-10T20:26:27"/>
        <d v="2025-09-10T20:25:26"/>
        <d v="2025-12-03T22:07:44"/>
        <d v="2026-02-20T22:06:14"/>
        <d v="2025-09-05T00:26:11"/>
        <d v="2025-11-06T22:04:19"/>
        <d v="2026-01-22T19:04:29"/>
        <d v="2025-10-08T20:25:08"/>
        <d v="2025-08-06T15:25:25"/>
        <d v="2025-07-28T20:27:36"/>
        <d v="2026-01-12T13:35:59"/>
        <d v="2025-08-28T20:26:02"/>
        <d v="2025-09-15T20:27:06"/>
        <d v="2026-02-11T19:07:44"/>
        <d v="2025-12-05T19:11:23"/>
        <d v="2025-09-30T20:25:12"/>
        <d v="2025-11-14T19:06:01"/>
        <d v="2025-11-17T17:57:32"/>
        <d v="2026-01-22T19:06:31"/>
        <d v="2026-02-12T16:35:00"/>
        <d v="2026-01-07T19:04:27"/>
        <d v="2026-02-25T15:10:56"/>
        <d v="2025-11-17T18:39:46"/>
        <d v="2026-02-24T22:05:26"/>
        <d v="2026-01-28T13:05:24"/>
        <d v="2025-10-15T19:02:38"/>
        <d v="2025-11-10T15:02:25"/>
        <d v="2025-08-11T20:24:32"/>
        <d v="2025-10-20T13:04:56"/>
        <d v="2025-12-17T19:41:40"/>
        <d v="2025-12-18T20:18:49"/>
        <d v="2025-09-26T15:27:58"/>
        <d v="2025-10-03T15:26:25"/>
        <d v="2025-12-10T19:08:38"/>
        <d v="2026-02-20T19:04:22"/>
        <d v="2026-01-14T15:08:18"/>
        <d v="2025-08-01T20:25:38"/>
        <d v="2025-10-09T00:25:20"/>
        <d v="2025-10-02T20:26:03"/>
        <d v="2025-10-15T19:03:26"/>
        <d v="2025-07-29T12:56:39"/>
        <d v="2025-11-11T19:04:58"/>
        <d v="2025-12-18T22:07:46"/>
        <d v="2025-12-10T15:06:32"/>
        <d v="2025-10-15T19:05:39"/>
        <d v="2025-09-05T20:25:58"/>
        <d v="2025-09-11T20:26:41"/>
        <d v="2025-09-26T15:27:02"/>
        <d v="2025-12-24T15:05:46"/>
        <d v="2025-11-04T19:04:04"/>
        <d v="2025-07-16T20:25:22"/>
        <d v="2025-07-24T15:26:12"/>
        <d v="2026-02-19T19:07:58"/>
        <d v="2026-02-05T19:06:35"/>
        <d v="2025-12-26T22:08:09"/>
        <d v="2025-12-03T15:06:50"/>
        <d v="2025-07-24T20:27:33"/>
        <d v="2025-07-23T20:26:07"/>
        <d v="2025-10-09T20:28:12"/>
        <d v="2026-01-28T15:04:51"/>
        <d v="2025-09-17T20:26:55"/>
        <d v="2025-07-29T14:53:52"/>
        <d v="2026-01-07T12:51:21"/>
        <d v="2026-02-19T19:02:36"/>
        <d v="2026-02-20T19:06:46"/>
        <d v="2026-02-25T19:07:22"/>
        <d v="2026-02-10T19:07:10"/>
        <d v="2026-01-09T13:08:24"/>
        <d v="2025-09-25T15:27:28"/>
        <d v="2025-12-16T15:07:16"/>
        <d v="2026-01-27T18:04:48"/>
        <d v="2025-12-18T20:18:57"/>
        <d v="2025-12-15T19:02:35"/>
        <d v="2025-07-23T20:26:59"/>
        <d v="2026-01-12T19:08:01"/>
        <d v="2025-11-18T19:05:02"/>
        <d v="2025-07-10T20:26:18"/>
        <d v="2025-12-18T20:16:19"/>
        <d v="2025-10-06T20:25:54"/>
        <d v="2025-12-17T19:08:02"/>
        <d v="2025-08-18T20:24:40"/>
        <d v="2026-01-22T19:06:49"/>
        <d v="2026-01-12T19:06:47"/>
        <d v="2025-09-04T20:26:44"/>
        <d v="2025-07-18T20:27:02"/>
        <d v="2025-07-11T20:26:06"/>
        <d v="2025-07-23T20:25:55"/>
        <d v="2025-10-17T22:06:16"/>
        <d v="2025-10-31T15:03:29"/>
        <d v="2026-01-16T13:08:35"/>
        <d v="2025-09-20T15:26:38"/>
        <d v="2025-10-17T19:06:37"/>
        <d v="2026-02-06T14:33:30"/>
        <d v="2025-07-05T15:27:29"/>
        <d v="2025-12-04T19:07:54"/>
        <d v="2025-08-27T20:25:06"/>
        <d v="2025-12-12T19:54:37"/>
        <d v="2025-12-11T22:07:46"/>
        <d v="2026-02-23T19:06:09"/>
        <d v="2026-02-13T19:05:20"/>
        <d v="2025-08-27T20:25:01"/>
        <d v="2025-08-01T20:25:33"/>
        <d v="2025-07-28T15:26:30"/>
        <d v="2026-02-20T15:05:34"/>
        <d v="2025-10-07T20:26:11"/>
        <d v="2026-01-19T22:04:16"/>
        <d v="2025-10-27T19:05:35"/>
        <d v="2025-08-12T15:23:43"/>
        <d v="2025-08-25T15:23:15"/>
        <d v="2025-11-19T15:04:52"/>
        <d v="2025-11-25T18:54:12"/>
        <d v="2026-02-18T15:05:09"/>
        <d v="2026-02-09T19:05:11"/>
        <d v="2026-01-21T13:15:22"/>
        <d v="2025-10-28T19:03:35"/>
        <d v="2025-07-24T20:26:39"/>
        <d v="2025-11-27T19:07:15"/>
        <d v="2025-09-01T15:25:52"/>
        <d v="2025-10-30T19:04:14"/>
        <d v="2025-11-21T22:05:37"/>
        <d v="2025-09-18T14:30:51"/>
        <d v="2026-01-23T19:05:04"/>
        <d v="2026-01-16T19:03:49"/>
        <d v="2025-08-07T17:34:27"/>
        <d v="2025-12-22T13:10:27"/>
        <d v="2025-12-12T19:10:18"/>
        <d v="2026-01-12T13:38:51"/>
        <d v="2025-09-03T20:27:05"/>
        <d v="2025-10-13T22:03:55"/>
        <d v="2025-10-06T20:24:49"/>
        <d v="2025-09-19T20:26:32"/>
        <d v="2025-12-10T15:04:55"/>
        <d v="2026-01-07T22:05:59"/>
        <d v="2026-02-19T22:05:56"/>
        <d v="2025-10-28T15:02:38"/>
        <d v="2025-07-04T15:25:48"/>
        <d v="2025-07-07T20:26:13"/>
        <d v="2025-10-16T19:05:15"/>
        <d v="2025-12-22T13:10:57"/>
        <d v="2026-01-05T19:04:24"/>
        <d v="2025-09-17T20:26:29"/>
        <d v="2025-08-25T20:25:00"/>
        <d v="2026-02-04T22:04:14"/>
        <d v="2025-07-23T20:27:06"/>
        <d v="2025-09-29T20:26:36"/>
        <d v="2026-02-04T16:17:37"/>
        <d v="2025-10-16T22:05:46"/>
        <d v="2026-01-15T22:06:38"/>
        <d v="2025-07-24T20:27:20"/>
        <d v="2025-07-22T20:27:10"/>
        <d v="2026-01-06T19:04:11"/>
        <d v="2026-01-27T19:04:00"/>
        <d v="2025-09-26T20:25:05"/>
        <d v="2025-07-21T20:27:10"/>
        <d v="2025-07-25T20:28:40"/>
        <d v="2025-09-25T18:20:11"/>
        <d v="2025-09-01T17:53:12"/>
        <d v="2025-10-22T18:06:54"/>
        <d v="2026-01-22T15:06:35"/>
        <d v="2025-12-19T22:10:18"/>
        <d v="2026-01-09T13:30:04"/>
        <d v="2025-07-28T15:26:39"/>
        <d v="2025-09-23T15:24:29"/>
        <d v="2026-01-20T22:05:30"/>
        <d v="2026-01-14T15:07:43"/>
        <d v="2025-12-05T19:11:07"/>
        <d v="2025-12-01T15:06:20"/>
        <d v="2025-09-08T20:26:25"/>
        <d v="2025-12-18T20:19:04"/>
        <d v="2026-02-13T15:06:59"/>
        <d v="2026-01-12T14:10:36"/>
        <d v="2025-12-26T12:41:26"/>
        <d v="2025-08-14T20:25:16"/>
        <d v="2025-08-22T20:26:46"/>
        <d v="2025-08-22T20:26:41"/>
        <d v="2025-07-24T19:58:30"/>
        <d v="2025-11-06T19:04:20"/>
        <d v="2025-12-15T13:08:38"/>
        <d v="2025-08-12T20:25:02"/>
        <d v="2026-01-20T19:06:53"/>
        <d v="2026-01-09T19:08:54"/>
        <d v="2026-01-15T19:05:48"/>
        <d v="2025-12-12T22:08:43"/>
        <d v="2025-08-14T20:25:25"/>
        <d v="2025-08-07T20:26:02"/>
        <d v="2026-02-25T22:06:24"/>
        <d v="2025-08-26T00:24:35"/>
        <d v="2026-01-09T14:26:29"/>
        <d v="2025-11-19T15:04:14"/>
        <d v="2026-02-23T19:05:07"/>
        <d v="2026-01-07T19:05:10"/>
        <d v="2025-08-12T13:36:01"/>
        <d v="2026-02-06T18:09:17"/>
        <d v="2026-02-26T19:05:01"/>
        <d v="2026-01-14T15:07:56"/>
        <d v="2025-08-04T19:50:08"/>
        <d v="2026-02-23T13:06:04"/>
        <d v="2026-01-07T19:08:06"/>
        <d v="2025-12-09T19:08:15"/>
        <d v="2026-02-23T19:06:54"/>
        <d v="2025-10-09T20:28:16"/>
        <d v="2025-12-26T15:05:19"/>
        <d v="2025-10-29T19:05:16"/>
        <d v="2026-01-28T19:05:31"/>
        <d v="2025-12-18T20:18:25"/>
        <d v="2025-08-19T20:25:14"/>
        <d v="2025-08-22T20:25:54"/>
        <d v="2025-09-12T15:29:06"/>
        <d v="2025-09-17T20:25:22"/>
        <d v="2025-10-06T20:26:07"/>
        <d v="2025-07-23T20:27:34"/>
        <d v="2025-12-29T19:04:48"/>
        <d v="2025-08-18T19:14:39"/>
        <d v="2025-09-05T14:01:14"/>
        <d v="2025-07-30T20:26:31"/>
        <d v="2025-09-27T15:25:45"/>
        <d v="2025-12-05T19:09:47"/>
        <d v="2025-09-30T21:18:34"/>
        <d v="2026-01-05T19:07:12"/>
        <d v="2026-01-07T22:06:25"/>
        <d v="2025-10-24T19:04:44"/>
        <d v="2025-09-09T15:25:31"/>
        <d v="2025-10-17T15:02:24"/>
        <d v="2025-09-08T15:24:09"/>
        <d v="2026-01-06T13:22:45"/>
        <d v="2025-12-04T20:59:24"/>
        <d v="2026-01-19T17:49:06"/>
        <d v="2025-11-19T19:05:16"/>
        <d v="2025-11-24T17:41:58"/>
        <d v="2025-11-21T22:06:25"/>
        <d v="2026-02-06T13:35:54"/>
        <d v="2025-09-29T14:21:32"/>
        <d v="2025-11-04T19:02:56"/>
        <d v="2026-02-20T22:04:44"/>
        <d v="2025-10-23T14:27:33"/>
        <d v="2025-07-30T20:23:29"/>
        <d v="2026-02-19T22:04:42"/>
        <d v="2025-08-29T20:25:34"/>
        <d v="2025-10-23T19:04:46"/>
        <d v="2025-09-22T20:26:36"/>
        <d v="2026-02-23T19:03:54"/>
        <d v="2026-02-10T17:14:47"/>
        <d v="2025-08-11T15:24:48"/>
        <d v="2026-01-19T13:04:38"/>
        <d v="2025-11-27T19:07:31"/>
        <d v="2026-02-12T19:03:46"/>
        <d v="2026-01-09T19:06:58"/>
        <d v="2025-10-15T15:05:37"/>
        <d v="2025-08-18T20:13:29"/>
        <d v="2025-11-19T22:04:40"/>
        <d v="2025-07-12T20:25:25"/>
        <d v="2025-10-23T19:04:24"/>
        <d v="2025-08-05T20:24:57"/>
        <d v="2026-01-08T19:04:42"/>
        <d v="2025-07-08T20:25:27"/>
        <d v="2025-07-15T00:25:52"/>
        <d v="2026-02-12T19:08:01"/>
        <d v="2025-12-05T19:07:13"/>
        <d v="2026-01-29T19:06:19"/>
        <d v="2025-12-31T15:10:02"/>
        <d v="2025-12-10T19:08:05"/>
        <d v="2025-11-26T19:05:29"/>
        <d v="2026-02-18T19:03:36"/>
        <d v="2026-02-24T19:05:27"/>
        <d v="2026-01-12T19:04:32"/>
        <d v="2025-08-07T15:07:34"/>
        <d v="2025-07-18T15:26:11"/>
        <d v="2025-12-10T22:07:54"/>
        <d v="2025-09-01T15:25:17"/>
        <d v="2025-10-15T15:05:20"/>
        <d v="2026-01-12T22:05:51"/>
        <d v="2025-07-11T20:35:37"/>
        <d v="2025-07-01T20:26:04"/>
        <d v="2025-08-04T20:23:46"/>
        <d v="2025-08-19T20:25:26"/>
        <d v="2025-08-25T20:23:45"/>
        <d v="2025-09-15T20:24:36"/>
        <d v="2026-01-22T19:06:18"/>
        <d v="2025-08-13T15:25:12"/>
        <d v="2025-07-21T15:26:50"/>
        <d v="2026-02-03T15:07:24"/>
        <d v="2026-01-05T18:40:34"/>
        <d v="2025-10-23T19:04:06"/>
        <d v="2025-12-11T22:07:55"/>
        <d v="2025-07-23T00:26:13"/>
        <d v="2025-09-01T15:25:57"/>
        <d v="2026-01-30T15:06:45"/>
        <d v="2025-10-27T16:50:15"/>
        <d v="2025-08-11T20:25:48"/>
        <d v="2025-10-08T20:25:18"/>
        <d v="2025-08-18T20:17:58"/>
        <d v="2025-08-28T15:24:51"/>
        <d v="2026-01-19T19:05:23"/>
        <d v="2025-11-24T22:04:36"/>
        <d v="2025-09-29T15:23:36"/>
        <d v="2025-10-08T20:25:44"/>
        <d v="2026-01-30T19:35:36"/>
        <d v="2025-07-03T00:25:54"/>
        <d v="2025-07-19T20:25:29"/>
        <d v="2025-07-03T00:26:07"/>
        <d v="2025-07-12T20:24:41"/>
        <d v="2025-07-20T15:26:53"/>
        <d v="2026-02-26T19:07:09"/>
        <d v="2025-12-11T19:09:44"/>
        <d v="2025-08-28T20:25:08"/>
        <d v="2025-11-03T19:04:34"/>
        <d v="2025-12-01T22:05:59"/>
        <d v="2025-10-21T13:03:01"/>
        <d v="2025-09-17T15:23:51"/>
        <d v="2025-11-26T19:05:16"/>
        <d v="2025-12-01T19:03:34"/>
        <d v="2025-07-25T20:28:35"/>
        <d v="2025-09-26T19:50:31"/>
        <d v="2026-02-26T19:03:51"/>
        <d v="2026-01-09T15:06:24"/>
        <d v="2026-02-04T22:03:05"/>
        <d v="2025-08-28T15:24:08"/>
        <d v="2025-07-14T20:25:20"/>
        <d v="2026-02-09T14:19:17"/>
        <d v="2025-07-12T15:25:49"/>
        <d v="2025-09-12T15:27:31"/>
        <d v="2025-10-08T20:25:42"/>
        <d v="2025-12-19T19:07:12"/>
        <d v="2025-10-13T22:03:50"/>
        <d v="2025-10-02T20:24:51"/>
        <d v="2025-10-23T19:04:00"/>
        <d v="2025-09-04T15:26:36"/>
        <d v="2025-07-31T20:24:56"/>
        <d v="2025-12-08T13:06:46"/>
        <d v="2025-07-15T20:49:03"/>
        <d v="2025-07-10T20:25:29"/>
        <d v="2025-11-11T15:02:44"/>
        <d v="2026-02-25T19:02:59"/>
        <d v="2025-10-02T18:00:48"/>
        <d v="2025-10-20T19:59:18"/>
        <d v="2025-11-17T18:55:38"/>
        <d v="2025-12-08T22:08:10"/>
        <d v="2026-01-23T13:04:26"/>
        <d v="2025-11-10T15:02:44"/>
        <d v="2026-01-09T12:32:27"/>
        <d v="2025-12-05T15:08:33"/>
        <d v="2025-08-04T20:25:51"/>
        <d v="2025-12-19T13:25:06"/>
        <d v="2025-10-28T19:03:49"/>
        <d v="2025-12-16T22:05:03"/>
        <d v="2025-12-29T13:05:38"/>
        <d v="2025-11-14T15:05:06"/>
        <d v="2025-09-17T17:48:04"/>
        <d v="2025-10-24T19:04:49"/>
        <d v="2025-10-14T19:04:32"/>
        <d v="2025-12-18T15:06:32"/>
        <d v="2025-09-17T19:04:00"/>
        <d v="2025-09-17T19:05:13"/>
        <d v="2025-07-01T20:25:32"/>
        <d v="2025-07-22T20:26:17"/>
        <d v="2025-07-30T20:25:03"/>
        <d v="2025-07-16T20:25:18"/>
        <d v="2025-12-19T13:29:13"/>
        <d v="2025-08-11T20:24:58"/>
        <d v="2025-08-11T20:26:01"/>
        <d v="2025-09-26T20:26:44"/>
        <d v="2026-01-07T16:54:10"/>
        <d v="2026-02-03T19:06:32"/>
        <d v="2025-10-29T19:03:45"/>
        <d v="2026-01-06T10:24:50"/>
        <d v="2025-10-10T15:26:52"/>
        <d v="2025-10-21T22:05:11"/>
        <d v="2025-08-08T20:25:47"/>
        <d v="2025-08-06T20:26:08"/>
        <d v="2025-12-30T19:08:06"/>
        <d v="2025-07-21T20:26:51"/>
        <d v="2025-11-12T22:05:27"/>
        <d v="2026-02-04T22:03:57"/>
        <d v="2026-02-25T15:10:58"/>
        <d v="2025-07-21T20:27:25"/>
        <d v="2025-11-14T13:05:09"/>
        <d v="2026-01-07T15:03:46"/>
        <d v="2026-02-03T19:07:12"/>
        <d v="2026-01-09T19:04:32"/>
        <d v="2025-09-04T20:27:08"/>
        <d v="2025-10-09T20:26:15"/>
        <d v="2026-01-30T19:07:54"/>
        <d v="2025-11-24T19:06:40"/>
        <d v="2025-09-25T20:27:55"/>
        <d v="2025-08-29T20:26:04"/>
        <d v="2025-12-22T13:10:05"/>
        <d v="2025-12-22T22:10:24"/>
        <d v="2025-10-31T22:05:23"/>
        <d v="2025-08-28T18:33:59"/>
        <d v="2025-09-02T18:08:12"/>
        <d v="2025-08-29T18:59:41"/>
        <d v="2025-11-11T13:05:50"/>
        <d v="2025-12-11T22:07:32"/>
        <d v="2026-02-19T19:06:51"/>
        <d v="2025-12-12T19:07:55"/>
        <d v="2025-10-06T19:48:51"/>
        <d v="2025-09-26T20:26:38"/>
        <d v="2025-07-04T15:26:39"/>
        <d v="2025-12-05T19:10:28"/>
        <d v="2026-02-03T19:07:06"/>
        <d v="2026-01-07T19:03:47"/>
        <d v="2025-08-29T20:26:30"/>
        <d v="2026-01-28T13:03:20"/>
        <d v="2025-07-02T20:26:51"/>
        <d v="2025-08-27T20:25:10"/>
        <d v="2025-08-21T20:25:46"/>
        <d v="2025-08-13T15:25:41"/>
        <d v="2025-09-10T15:25:27"/>
        <d v="2025-10-03T15:25:26"/>
        <d v="2025-09-24T20:24:59"/>
        <d v="2025-11-05T19:03:41"/>
        <d v="2025-11-26T19:03:13"/>
        <d v="2025-12-10T22:07:40"/>
        <d v="2025-12-12T19:07:06"/>
        <d v="2025-12-08T19:09:14"/>
        <d v="2026-01-06T19:02:57"/>
        <d v="2025-07-18T20:23:53"/>
        <d v="2026-02-03T20:20:44"/>
        <d v="2026-02-12T15:04:24"/>
        <d v="2026-01-14T19:03:50"/>
        <d v="2026-01-30T15:03:44"/>
        <d v="2026-02-23T15:06:59"/>
        <d v="2025-09-19T12:48:34"/>
        <d v="2025-09-04T15:27:07"/>
        <d v="2026-01-26T13:06:55"/>
        <d v="2025-09-01T20:25:20"/>
        <d v="2025-08-11T19:23:40"/>
        <d v="2026-01-27T19:03:56"/>
        <d v="2025-08-11T19:23:21"/>
        <d v="2025-08-06T20:25:07"/>
        <d v="2025-09-27T15:25:40"/>
        <d v="2026-01-15T19:10:08"/>
        <d v="2025-09-04T00:24:50"/>
        <d v="2025-09-10T00:25:28"/>
        <d v="2026-02-11T19:06:25"/>
        <d v="2025-12-26T19:08:26"/>
        <d v="2026-01-05T22:04:59"/>
        <d v="2025-11-21T19:06:03"/>
        <d v="2026-01-22T19:02:57"/>
        <d v="2025-12-01T19:03:53"/>
        <d v="2025-12-30T19:40:05"/>
        <d v="2025-09-16T20:25:49"/>
        <d v="2025-09-12T20:27:55"/>
        <d v="2025-10-24T19:04:58"/>
        <d v="2025-10-10T20:26:40"/>
        <d v="2025-09-17T15:26:36"/>
        <d v="2026-01-19T13:04:21"/>
        <d v="2025-09-27T15:25:14"/>
        <d v="2026-02-20T19:07:01"/>
        <d v="2025-07-25T20:27:52"/>
        <d v="2025-07-22T20:26:21"/>
        <d v="2025-09-05T00:25:58"/>
        <d v="2025-11-24T22:06:48"/>
        <d v="2025-10-15T22:04:26"/>
        <d v="2025-07-22T20:26:38"/>
        <d v="2025-07-22T20:27:15"/>
        <d v="2025-09-25T20:26:37"/>
        <d v="2026-02-23T14:12:23"/>
        <d v="2025-08-13T00:23:28"/>
        <d v="2025-09-23T19:49:15"/>
        <d v="2025-09-11T20:28:38"/>
        <d v="2025-09-16T17:12:43"/>
        <d v="2025-07-10T20:26:09"/>
        <d v="2025-07-28T20:27:20"/>
        <d v="2025-11-17T19:03:17"/>
        <d v="2025-10-28T19:03:19"/>
        <d v="2025-09-27T15:24:45"/>
        <d v="2025-10-23T19:06:01"/>
        <d v="2026-01-09T13:05:46"/>
        <d v="2025-12-08T22:08:28"/>
        <d v="2025-12-20T14:18:32"/>
        <d v="2025-09-29T15:25:00"/>
        <d v="2025-08-07T20:24:59"/>
        <d v="2025-08-26T20:23:47"/>
        <d v="2026-01-21T15:02:32"/>
        <d v="2025-10-09T20:27:37"/>
        <d v="2025-08-08T17:07:32"/>
        <d v="2025-07-25T19:48:39"/>
        <d v="2025-08-22T20:26:16"/>
        <d v="2025-08-22T20:26:21"/>
        <d v="2025-07-04T20:27:54"/>
        <d v="2026-01-23T19:07:11"/>
        <d v="2025-08-14T20:25:29"/>
        <d v="2025-07-20T15:27:10"/>
        <d v="2025-07-16T20:25:47"/>
        <d v="2025-11-27T19:07:25"/>
        <d v="2025-08-20T20:27:06"/>
        <d v="2025-10-21T19:05:57"/>
        <d v="2025-10-17T19:06:47"/>
        <d v="2025-08-19T20:25:31"/>
        <d v="2026-02-19T19:06:47"/>
        <d v="2025-11-14T19:05:22"/>
        <d v="2025-12-10T12:24:33"/>
        <d v="2026-01-09T19:03:47"/>
        <d v="2026-01-09T19:03:08"/>
        <d v="2025-08-28T15:26:36"/>
        <d v="2025-09-17T20:26:07"/>
        <d v="2025-09-03T15:24:30"/>
        <d v="2025-10-20T19:03:07"/>
        <d v="2025-12-18T22:08:04"/>
        <d v="2025-12-18T22:07:59"/>
        <d v="2026-02-06T13:37:41"/>
        <d v="2025-09-18T12:42:17"/>
        <d v="2025-11-14T12:51:11"/>
        <d v="2025-09-22T20:26:07"/>
        <d v="2025-10-02T20:24:56"/>
        <d v="2025-12-04T19:08:08"/>
        <d v="2025-12-11T19:08:49"/>
        <d v="2025-07-07T20:24:11"/>
        <d v="2025-12-02T19:05:58"/>
        <d v="2025-09-18T19:54:31"/>
        <d v="2026-01-28T19:05:46"/>
        <d v="2025-12-01T12:59:53"/>
        <d v="2025-07-04T20:26:07"/>
        <d v="2025-07-01T20:25:23"/>
        <d v="2025-12-19T14:39:52"/>
        <d v="2025-10-15T22:04:21"/>
        <d v="2025-12-18T15:07:31"/>
        <d v="2025-10-07T20:39:39"/>
        <d v="2025-09-03T18:00:14"/>
        <d v="2025-10-31T19:05:01"/>
        <d v="2026-02-09T15:44:34"/>
        <d v="2026-02-06T13:36:55"/>
        <d v="2025-10-20T19:05:06"/>
        <d v="2025-08-04T20:24:12"/>
        <d v="2025-12-15T13:04:31"/>
        <d v="2026-02-18T19:03:08"/>
        <d v="2025-10-20T19:05:24"/>
        <d v="2025-12-15T13:05:26"/>
        <d v="2025-12-08T19:08:49"/>
        <d v="2026-01-26T15:05:57"/>
        <d v="2026-02-23T22:02:36"/>
        <d v="2026-01-14T22:04:00"/>
        <d v="2025-12-12T19:59:03"/>
        <d v="2025-10-07T15:25:38"/>
        <d v="2026-02-18T22:02:55"/>
        <d v="2026-02-19T19:04:24"/>
        <d v="2025-09-09T20:24:40"/>
        <d v="2025-08-13T15:24:22"/>
        <d v="2025-12-10T22:09:12"/>
        <d v="2025-12-17T14:35:54"/>
        <d v="2025-07-04T15:26:44"/>
        <d v="2026-02-06T13:34:53"/>
        <d v="2025-11-07T21:24:50"/>
        <d v="2025-11-18T12:09:44"/>
        <d v="2026-02-11T22:07:06"/>
        <d v="2026-01-13T22:04:18"/>
        <d v="2026-02-19T19:08:28"/>
        <d v="2025-07-09T20:25:16"/>
        <d v="2025-08-23T15:26:23"/>
        <d v="2025-10-27T19:05:58"/>
        <d v="2025-11-03T13:05:02"/>
        <d v="2025-07-29T12:51:16"/>
        <d v="2025-12-08T13:08:11"/>
        <d v="2025-10-17T19:06:42"/>
        <d v="2025-08-07T20:25:41"/>
        <d v="2025-10-02T17:37:57"/>
        <d v="2025-12-01T15:06:58"/>
        <d v="2025-08-28T20:24:18"/>
        <d v="2025-09-06T15:26:14"/>
        <d v="2025-10-07T20:25:32"/>
        <d v="2025-12-18T20:01:40"/>
        <d v="2025-12-24T13:05:50"/>
        <d v="2025-12-18T20:18:08"/>
        <d v="2026-01-23T19:04:41"/>
        <d v="2026-02-10T21:03:27"/>
        <d v="2025-12-18T20:17:10"/>
        <d v="2025-10-20T12:57:03"/>
        <d v="2025-07-23T15:25:55"/>
        <d v="2025-12-01T22:03:02"/>
        <d v="2025-12-19T12:24:33"/>
        <d v="2025-11-04T16:18:43"/>
        <d v="2026-01-26T19:06:37"/>
        <d v="2025-11-17T15:05:46"/>
        <d v="2025-11-13T19:03:35"/>
        <d v="2025-12-16T19:06:51"/>
        <d v="2025-12-16T19:07:10"/>
        <d v="2025-11-21T13:03:49"/>
        <d v="2025-09-26T20:25:58"/>
        <d v="2026-02-12T16:32:04"/>
        <d v="2025-12-29T19:06:44"/>
        <d v="2026-01-23T19:06:43"/>
        <d v="2026-02-04T19:05:57"/>
        <d v="2025-11-19T19:06:02"/>
        <d v="2025-12-12T19:54:07"/>
        <d v="2025-09-25T20:25:40"/>
        <d v="2025-07-21T20:10:54"/>
        <d v="2026-02-19T19:05:22"/>
        <d v="2026-02-04T16:24:10"/>
        <d v="2025-08-27T15:24:58"/>
        <d v="2025-10-10T20:25:53"/>
        <d v="2026-01-29T16:46:02"/>
        <d v="2026-02-12T22:05:35"/>
        <d v="2026-02-06T13:37:07"/>
        <d v="2025-12-29T13:05:33"/>
        <d v="2025-12-11T22:08:14"/>
        <d v="2026-02-25T19:08:38"/>
        <d v="2026-01-23T15:06:43"/>
        <d v="2026-01-30T19:06:51"/>
        <d v="2025-07-18T20:26:24"/>
        <d v="2026-01-20T19:05:22"/>
        <d v="2025-10-16T19:05:59"/>
        <d v="2025-10-21T19:05:43"/>
        <d v="2025-10-17T22:04:04"/>
        <d v="2026-02-20T22:04:54"/>
        <d v="2025-08-01T15:24:58"/>
        <d v="2026-02-24T19:05:05"/>
        <d v="2026-02-11T19:06:23"/>
        <d v="2026-02-20T19:07:10"/>
        <d v="2025-09-03T20:24:21"/>
        <d v="2025-10-14T19:04:58"/>
        <d v="2025-07-10T20:26:13"/>
        <d v="2025-07-14T20:26:32"/>
        <d v="2026-01-29T15:04:34"/>
        <d v="2026-02-26T15:06:52"/>
        <d v="2025-08-20T13:30:01"/>
        <d v="2025-11-28T22:03:21"/>
        <d v="2025-11-04T22:04:30"/>
        <d v="2025-10-17T19:05:36"/>
        <d v="2026-02-24T11:50:04"/>
        <d v="2026-02-25T13:22:08"/>
        <d v="2025-10-09T15:27:37"/>
        <d v="2025-11-10T12:01:26"/>
        <d v="2025-11-18T17:51:40"/>
        <d v="2026-01-08T17:55:39"/>
        <d v="2026-01-09T13:43:08"/>
        <d v="2025-08-12T20:25:06"/>
        <d v="2025-11-24T14:21:28"/>
        <d v="2026-02-10T22:03:19"/>
        <d v="2026-02-25T22:07:23"/>
        <d v="2026-02-24T19:06:20"/>
        <d v="2025-09-08T21:46:48"/>
        <d v="2025-10-31T19:05:32"/>
        <d v="2026-02-16T13:06:38"/>
        <d v="2026-02-23T19:04:35"/>
        <d v="2025-10-10T00:26:16"/>
        <d v="2025-11-17T19:03:26"/>
        <d v="2026-02-06T12:12:16"/>
        <d v="2025-12-18T20:14:24"/>
        <d v="2025-09-03T20:26:04"/>
        <d v="2025-09-09T20:26:06"/>
        <d v="2025-07-04T15:26:52"/>
        <d v="2025-10-17T13:31:25"/>
        <d v="2025-09-12T20:26:57"/>
        <d v="2026-01-08T19:03:24"/>
        <d v="2025-09-23T20:25:13"/>
        <d v="2026-01-22T19:06:54"/>
        <d v="2025-08-11T15:24:40"/>
        <d v="2025-09-08T20:26:31"/>
        <d v="2025-09-24T20:28:32"/>
        <d v="2026-01-16T19:07:33"/>
        <d v="2025-12-08T19:06:02"/>
        <d v="2025-10-24T19:05:32"/>
        <d v="2025-10-23T15:04:08"/>
        <d v="2025-08-19T20:24:14"/>
        <d v="2025-10-07T14:50:25"/>
        <d v="2025-09-16T15:24:40"/>
        <d v="2025-09-23T15:24:35"/>
        <d v="2025-07-21T15:26:59"/>
        <d v="2026-01-16T19:03:15"/>
        <d v="2025-11-04T16:12:23"/>
        <d v="2025-12-10T15:08:02"/>
        <d v="2025-10-27T22:03:39"/>
        <d v="2026-02-05T15:05:09"/>
        <d v="2025-10-14T22:05:32"/>
        <d v="2026-02-13T19:05:31"/>
        <d v="2025-08-01T15:25:07"/>
        <d v="2025-09-24T15:27:05"/>
        <d v="2026-01-26T22:04:59"/>
        <d v="2025-09-11T20:23:29"/>
        <d v="2025-09-01T20:26:11"/>
        <d v="2025-08-21T20:25:51"/>
        <d v="2025-10-09T20:25:34"/>
        <d v="2025-10-03T20:24:03"/>
        <d v="2025-11-19T19:05:52"/>
        <d v="2025-07-31T20:26:04"/>
        <d v="2025-12-10T19:07:02"/>
        <d v="2026-01-14T13:06:38"/>
        <d v="2026-01-22T15:06:27"/>
        <d v="2025-10-13T19:03:43"/>
        <d v="2026-02-18T19:06:59"/>
        <d v="2025-09-16T20:26:20"/>
        <d v="2025-10-08T20:27:13"/>
        <d v="2025-09-06T15:25:41"/>
        <d v="2025-12-26T15:09:54"/>
        <d v="2026-01-26T17:51:42"/>
        <d v="2026-01-07T13:01:13"/>
        <d v="2026-01-07T19:08:18"/>
        <d v="2025-07-02T20:25:51"/>
        <d v="2025-11-26T22:03:26"/>
        <d v="2025-10-13T19:05:57"/>
        <d v="2025-11-07T19:04:34"/>
        <d v="2026-02-24T19:04:56"/>
        <d v="2025-12-10T19:09:12"/>
        <d v="2025-09-03T20:24:12"/>
        <d v="2025-10-13T19:05:49"/>
        <d v="2025-10-20T19:04:57"/>
        <d v="2025-12-15T19:05:30"/>
        <d v="2025-10-29T19:05:07"/>
        <d v="2026-01-09T19:08:45"/>
        <d v="2026-01-07T22:04:41"/>
        <d v="2025-09-04T20:25:06"/>
        <d v="2025-08-29T20:25:39"/>
        <d v="2025-10-17T15:04:38"/>
        <d v="2025-09-19T20:23:50"/>
        <d v="2025-08-22T20:24:11"/>
        <d v="2025-11-26T19:05:35"/>
        <d v="2025-12-16T22:06:03"/>
        <d v="2025-07-08T15:24:57"/>
        <d v="2026-02-25T22:07:10"/>
        <d v="2025-11-14T22:05:14"/>
        <d v="2026-01-29T19:05:58"/>
        <d v="2026-01-26T22:05:21"/>
        <d v="2026-02-12T19:06:51"/>
        <d v="2026-01-16T19:07:17"/>
        <d v="2026-02-25T19:08:32"/>
        <d v="2026-02-23T15:06:01"/>
        <d v="2025-08-13T20:25:20"/>
        <d v="2025-11-12T22:05:19"/>
        <d v="2025-12-11T19:05:01"/>
        <d v="2025-12-15T22:04:27"/>
        <d v="2025-08-26T00:24:31"/>
        <d v="2025-08-06T20:24:45"/>
        <d v="2025-08-01T20:24:50"/>
        <d v="2025-10-07T20:24:53"/>
        <d v="2025-10-02T15:25:06"/>
        <d v="2025-10-06T20:26:02"/>
        <d v="2026-01-19T22:05:41"/>
        <d v="2025-08-14T20:23:34"/>
        <d v="2026-01-06T22:05:46"/>
        <d v="2025-07-16T15:25:10"/>
        <d v="2025-12-04T22:07:58"/>
        <d v="2025-09-26T20:26:25"/>
        <d v="2025-07-08T20:26:24"/>
        <d v="2025-09-05T20:26:58"/>
        <d v="2025-07-07T20:27:08"/>
        <d v="2025-10-27T19:06:04"/>
        <d v="2026-02-04T22:04:44"/>
        <d v="2025-07-17T20:25:43"/>
        <d v="2026-02-04T19:05:45"/>
        <d v="2025-09-12T20:28:38"/>
        <d v="2025-07-21T20:24:28"/>
        <d v="2026-02-06T13:35:35"/>
        <d v="2026-02-06T13:37:20"/>
        <d v="2025-12-03T22:05:36"/>
        <d v="2025-10-03T11:50:05"/>
        <d v="2025-08-06T20:26:13"/>
        <d v="2025-08-06T20:25:47"/>
        <d v="2026-02-18T22:05:21"/>
        <d v="2025-12-18T22:07:24"/>
        <d v="2025-08-28T00:25:22"/>
        <d v="2025-09-12T00:27:17"/>
        <d v="2026-02-06T19:05:31"/>
        <d v="2025-08-26T20:25:57"/>
        <d v="2025-12-26T19:07:52"/>
        <d v="2025-11-11T19:06:41"/>
        <d v="2025-09-02T20:26:25"/>
        <d v="2026-01-26T22:05:27"/>
        <d v="2026-02-12T22:05:53"/>
        <d v="2026-01-20T13:03:27"/>
        <d v="2025-07-15T20:50:47"/>
        <d v="2026-01-08T22:04:48"/>
        <d v="2025-08-29T18:37:04"/>
        <d v="2025-10-13T19:06:01"/>
        <d v="2025-08-25T15:25:07"/>
        <d v="2026-01-05T19:05:57"/>
        <d v="2025-08-11T20:24:49"/>
        <d v="2025-12-31T15:06:43"/>
        <d v="2026-02-26T15:05:05"/>
        <d v="2026-01-16T19:07:54"/>
        <d v="2025-11-05T19:04:36"/>
        <d v="2025-12-01T19:07:02"/>
        <d v="2026-02-19T22:04:20"/>
        <d v="2025-10-10T20:23:43"/>
        <d v="2025-12-18T15:09:58"/>
        <d v="2025-10-03T15:24:19"/>
        <d v="2025-09-17T15:26:18"/>
        <d v="2025-10-30T15:05:35"/>
        <d v="2025-12-22T15:11:10"/>
        <d v="2026-01-20T19:04:37"/>
        <d v="2025-09-04T15:26:21"/>
        <d v="2025-12-12T19:08:57"/>
        <d v="2025-07-21T20:26:26"/>
        <d v="2025-09-04T15:26:08"/>
        <d v="2025-11-19T19:05:10"/>
        <d v="2026-02-04T19:05:51"/>
        <d v="2025-09-08T20:25:45"/>
        <d v="2025-09-01T20:25:12"/>
        <d v="2025-07-24T20:27:47"/>
        <d v="2026-01-22T19:06:37"/>
        <d v="2025-10-09T20:27:30"/>
        <d v="2025-12-26T19:07:27"/>
        <d v="2025-09-29T20:24:59"/>
        <d v="2026-02-24T15:06:30"/>
        <d v="2025-07-14T15:24:21"/>
        <d v="2026-02-12T13:56:23"/>
        <d v="2026-02-16T13:30:45"/>
        <d v="2026-02-16T13:25:21"/>
        <d v="2026-02-12T19:08:13"/>
        <d v="2025-12-22T19:06:24"/>
        <d v="2025-12-02T13:05:41"/>
        <d v="2025-08-01T13:10:14"/>
        <d v="2025-09-25T15:28:16"/>
        <d v="2025-10-31T21:09:01"/>
        <d v="2026-02-25T16:53:10"/>
        <d v="2025-08-14T11:40:33"/>
        <d v="2025-11-10T15:04:41"/>
        <d v="2025-07-04T20:27:04"/>
        <d v="2025-07-21T20:27:05"/>
        <d v="2026-01-22T19:03:38"/>
        <d v="2025-07-28T15:26:52"/>
        <d v="2025-12-22T19:07:17"/>
        <d v="2026-01-08T13:29:31"/>
        <d v="2025-12-04T17:06:06"/>
        <d v="2025-09-01T20:24:16"/>
        <d v="2025-11-11T22:05:58"/>
        <d v="2025-11-11T22:04:55"/>
        <d v="2025-09-19T20:26:41"/>
        <d v="2025-12-16T15:05:56"/>
        <d v="2025-11-27T19:07:05"/>
        <d v="2025-10-23T15:04:46"/>
        <d v="2025-12-19T12:24:47"/>
        <d v="2025-10-01T15:25:54"/>
        <d v="2026-02-16T16:31:19"/>
        <d v="2025-07-18T20:26:30"/>
        <d v="2025-07-21T21:17:18"/>
        <d v="2025-12-12T22:04:56"/>
        <d v="2026-02-06T22:04:58"/>
        <d v="2026-01-12T19:07:23"/>
        <d v="2025-07-15T00:25:47"/>
        <d v="2025-09-01T17:01:17"/>
        <d v="2025-10-06T20:04:55"/>
        <d v="2025-12-11T13:06:01"/>
        <d v="2025-09-11T19:57:25"/>
        <d v="2025-11-06T20:06:07"/>
        <d v="2025-10-27T19:04:42"/>
        <d v="2025-07-09T20:25:03"/>
        <d v="2026-01-05T22:04:54"/>
        <d v="2026-01-12T15:06:01"/>
        <d v="2025-09-12T20:28:43"/>
        <d v="2026-01-27T22:04:40"/>
        <d v="2026-02-11T19:03:54"/>
        <d v="2025-10-20T15:02:46"/>
        <d v="2026-01-19T22:03:29"/>
        <d v="2026-02-04T16:12:58"/>
        <d v="2025-12-10T22:06:54"/>
        <d v="2026-01-20T22:05:32"/>
        <d v="2026-01-13T19:02:56"/>
        <d v="2025-12-30T22:07:11"/>
        <d v="2025-08-14T19:50:54"/>
        <d v="2026-02-13T18:31:22"/>
        <d v="2025-09-13T15:26:09"/>
        <d v="2025-10-29T19:24:02"/>
        <d v="2025-09-18T20:26:23"/>
        <d v="2025-10-11T00:26:13"/>
        <d v="2025-10-17T22:04:09"/>
        <d v="2025-07-08T20:26:02"/>
        <d v="2025-09-18T20:28:16"/>
        <d v="2026-01-22T22:04:15"/>
        <d v="2025-09-05T17:21:15"/>
        <d v="2025-08-29T15:26:48"/>
        <d v="2026-02-09T19:05:56"/>
        <d v="2026-02-05T15:03:54"/>
        <d v="2025-09-11T15:25:06"/>
        <d v="2025-08-26T20:25:42"/>
        <d v="2025-12-18T20:18:15"/>
        <d v="2026-02-18T19:05:11"/>
        <d v="2025-08-04T15:25:58"/>
        <d v="2026-01-21T19:06:16"/>
        <d v="2025-10-27T20:29:01"/>
        <d v="2025-10-21T17:18:14"/>
        <d v="2025-10-14T19:34:34"/>
        <d v="2026-01-15T15:05:49"/>
        <d v="2026-01-08T15:06:32"/>
        <d v="2026-02-13T18:27:57"/>
        <d v="2025-07-24T16:10:19"/>
        <d v="2025-09-03T20:25:39"/>
        <d v="2025-12-10T19:10:55"/>
        <d v="2025-10-20T13:03:48"/>
        <d v="2025-11-19T19:05:05"/>
        <d v="2025-11-03T19:04:31"/>
        <d v="2025-08-21T20:26:04"/>
        <d v="2025-08-28T13:39:46"/>
        <d v="2025-11-12T16:56:22"/>
        <d v="2025-11-21T19:05:28"/>
        <d v="2025-09-11T15:23:32"/>
        <d v="2025-12-16T19:08:22"/>
        <d v="2025-09-03T15:26:55"/>
        <d v="2025-11-17T18:01:53"/>
        <d v="2025-12-10T19:09:46"/>
        <d v="2025-09-22T15:24:03"/>
        <d v="2025-12-05T19:08:22"/>
        <d v="2025-10-03T20:24:12"/>
        <d v="2025-10-09T20:25:24"/>
        <d v="2025-07-22T20:26:34"/>
        <d v="2025-12-10T19:10:41"/>
        <d v="2025-07-07T15:26:38"/>
        <d v="2025-11-26T19:22:59"/>
        <d v="2025-11-19T19:05:30"/>
        <d v="2025-12-18T20:15:49"/>
        <d v="2025-10-14T19:05:28"/>
        <d v="2026-01-16T19:04:42"/>
        <d v="2025-10-21T19:06:07"/>
        <d v="2025-09-04T20:13:49"/>
        <d v="2025-07-24T20:27:52"/>
        <d v="2025-07-01T16:17:23"/>
        <d v="2025-08-22T20:24:07"/>
        <d v="2025-07-10T15:25:56"/>
        <d v="2026-02-09T19:06:26"/>
        <d v="2026-01-08T22:05:36"/>
        <d v="2025-12-19T18:10:58"/>
        <d v="2025-09-02T15:25:17"/>
        <d v="2026-01-29T19:07:00"/>
        <d v="2026-02-24T19:05:37"/>
        <d v="2025-08-30T15:25:37"/>
        <d v="2025-10-31T19:05:38"/>
        <d v="2025-11-24T22:05:40"/>
        <d v="2025-09-08T20:24:54"/>
        <d v="2026-01-13T19:07:49"/>
        <d v="2025-11-13T22:04:55"/>
        <d v="2025-10-06T20:25:39"/>
        <d v="2025-12-19T13:58:41"/>
        <d v="2025-11-12T19:05:57"/>
        <d v="2026-02-18T15:05:40"/>
        <d v="2026-01-08T13:20:07"/>
        <d v="2026-01-20T19:05:08"/>
        <d v="2025-10-10T15:25:20"/>
        <d v="2026-01-28T19:04:40"/>
        <d v="2026-01-28T13:04:11"/>
        <d v="2026-02-09T19:06:11"/>
        <d v="2025-07-25T20:28:18"/>
        <d v="2025-11-13T15:04:36"/>
        <d v="2025-11-03T19:03:24"/>
        <d v="2026-01-23T19:07:02"/>
        <d v="2025-10-01T15:25:29"/>
        <d v="2025-07-29T14:19:13"/>
        <d v="2026-02-16T13:44:52"/>
        <d v="2025-07-31T20:26:29"/>
        <d v="2025-08-06T20:24:37"/>
        <d v="2025-07-29T14:53:05"/>
        <d v="2025-08-04T15:24:54"/>
        <d v="2026-01-21T13:03:22"/>
        <d v="2025-08-01T20:25:42"/>
        <d v="2025-12-05T19:10:18"/>
        <d v="2025-09-19T20:24:28"/>
        <d v="2025-07-09T20:25:29"/>
        <d v="2025-12-11T22:02:25"/>
        <d v="2025-09-12T15:23:22"/>
        <d v="2026-02-20T13:05:36"/>
        <d v="2025-09-08T20:25:03"/>
        <d v="2026-02-18T15:05:51"/>
        <d v="2025-09-22T20:26:30"/>
        <d v="2025-09-22T20:25:52"/>
        <d v="2025-12-15T22:06:26"/>
        <d v="2025-09-24T17:50:34"/>
        <d v="2026-01-30T16:54:23"/>
        <d v="2025-12-18T19:10:21"/>
        <d v="2025-12-01T19:07:14"/>
        <d v="2025-08-19T20:32:11"/>
        <d v="2025-08-27T20:25:58"/>
        <d v="2025-09-15T20:26:58"/>
        <d v="2025-12-12T20:02:05"/>
        <d v="2025-11-11T19:03:45"/>
        <d v="2025-09-29T15:27:03"/>
        <d v="2025-09-29T15:25:30"/>
        <d v="2025-09-08T20:26:20"/>
        <d v="2025-09-17T15:23:36"/>
        <d v="2026-01-23T19:06:17"/>
        <d v="2025-07-28T20:27:00"/>
        <d v="2025-10-27T13:06:19"/>
        <d v="2026-01-26T19:03:02"/>
        <d v="2025-07-03T20:26:27"/>
        <d v="2026-01-15T19:09:17"/>
        <d v="2026-01-12T13:25:01"/>
        <d v="2026-02-06T13:37:30"/>
        <d v="2026-01-08T20:13:55"/>
        <d v="2026-02-19T22:02:52"/>
        <d v="2026-01-19T13:04:54"/>
        <d v="2026-01-05T13:07:55"/>
        <d v="2025-08-12T15:24:19"/>
        <d v="2025-09-25T15:27:59"/>
        <d v="2025-10-09T15:27:51"/>
        <d v="2025-09-13T15:25:55"/>
        <d v="2025-10-02T15:25:00"/>
        <d v="2025-12-18T20:02:07"/>
        <d v="2025-12-04T22:07:16"/>
        <d v="2026-01-27T19:05:34"/>
        <d v="2026-01-12T13:07:29"/>
        <d v="2025-12-19T14:52:04"/>
        <d v="2026-01-20T19:07:15"/>
        <d v="2025-11-11T20:43:25"/>
        <d v="2025-12-15T15:07:51"/>
        <d v="2025-12-10T19:08:14"/>
        <d v="2025-12-17T19:07:16"/>
        <d v="2025-11-10T22:05:31"/>
        <d v="2025-10-02T20:24:33"/>
        <d v="2026-02-25T21:45:20"/>
        <d v="2025-07-03T18:47:42"/>
        <d v="2026-01-07T12:24:51"/>
        <d v="2025-11-13T17:32:31"/>
        <d v="2026-02-23T19:39:18"/>
        <d v="2026-02-09T19:04:06"/>
        <d v="2025-11-25T19:06:17"/>
        <d v="2026-02-05T15:06:04"/>
        <d v="2026-01-08T15:06:15"/>
        <d v="2025-07-18T15:26:02"/>
        <d v="2025-09-04T20:27:10"/>
        <d v="2025-12-16T19:08:17"/>
        <d v="2025-11-12T19:05:46"/>
        <d v="2025-10-24T19:05:58"/>
        <d v="2025-07-08T20:25:41"/>
        <d v="2025-08-26T20:24:08"/>
        <d v="2025-07-18T20:25:23"/>
        <d v="2025-09-12T20:26:35"/>
        <d v="2025-07-24T20:26:04"/>
        <d v="2026-01-08T15:05:20"/>
        <d v="2026-01-19T13:04:16"/>
        <d v="2025-12-05T19:11:18"/>
        <d v="2025-07-25T19:28:59"/>
        <d v="2025-07-03T20:25:49"/>
        <d v="2025-08-19T20:26:02"/>
        <d v="2025-10-24T19:05:09"/>
        <d v="2025-10-03T19:09:10"/>
        <d v="2026-01-06T19:05:18"/>
        <d v="2026-02-19T19:07:48"/>
        <d v="2025-10-30T22:03:59"/>
        <d v="2026-01-27T17:46:32"/>
        <d v="2025-07-21T20:26:21"/>
        <d v="2026-01-07T15:05:41"/>
        <d v="2025-12-17T22:07:10"/>
        <d v="2025-07-31T15:25:27"/>
        <d v="2025-12-08T19:05:49"/>
        <d v="2025-09-01T20:25:28"/>
        <d v="2026-02-19T15:05:33"/>
        <d v="2025-10-10T15:27:00"/>
        <d v="2025-12-15T22:02:38"/>
        <d v="2025-07-25T20:26:36"/>
        <d v="2026-01-05T22:06:46"/>
        <d v="2025-08-21T00:24:40"/>
        <d v="2025-09-26T15:23:22"/>
        <d v="2025-08-11T20:25:57"/>
        <d v="2025-08-19T20:24:56"/>
        <d v="2025-12-01T13:00:08"/>
        <d v="2026-02-13T15:05:39"/>
        <d v="2025-12-14T18:04:29"/>
        <d v="2025-12-04T19:08:39"/>
        <d v="2026-01-14T22:04:39"/>
        <d v="2026-01-23T19:05:10"/>
        <d v="2026-01-09T15:09:04"/>
        <d v="2026-02-06T19:05:51"/>
        <d v="2025-11-04T19:04:00"/>
        <d v="2026-02-18T22:05:52"/>
        <d v="2025-12-16T19:07:39"/>
        <d v="2026-01-23T19:06:12"/>
        <d v="2025-07-24T20:27:42"/>
        <d v="2026-02-12T19:06:58"/>
        <d v="2025-11-24T17:37:57"/>
        <d v="2026-01-23T22:04:29"/>
        <d v="2025-09-12T20:24:17"/>
        <d v="2025-08-12T20:24:28"/>
        <d v="2025-10-02T20:26:08"/>
        <d v="2025-12-08T15:10:25"/>
        <d v="2025-12-10T19:08:28"/>
        <d v="2025-09-23T19:43:39"/>
        <d v="2025-07-04T15:26:26"/>
        <d v="2025-12-18T20:15:19"/>
        <d v="2026-01-08T13:18:19"/>
        <d v="2025-08-20T20:24:53"/>
        <d v="2026-01-20T15:06:10"/>
        <d v="2026-01-14T15:03:26"/>
        <d v="2026-02-05T22:05:24"/>
        <d v="2025-09-16T15:24:12"/>
        <d v="2025-09-23T15:25:10"/>
        <d v="2025-12-19T13:17:33"/>
        <d v="2026-01-26T22:05:25"/>
        <d v="2026-02-12T15:04:01"/>
        <d v="2025-12-19T15:09:15"/>
        <d v="2025-10-27T16:57:28"/>
        <d v="2026-02-16T12:58:30"/>
        <d v="2025-09-19T15:25:45"/>
        <d v="2025-10-13T19:28:38"/>
        <d v="2025-10-10T19:35:09"/>
        <d v="2026-01-29T16:31:16"/>
        <d v="2026-01-09T19:03:37"/>
        <d v="2026-02-10T20:29:01"/>
        <d v="2025-08-14T15:25:05"/>
        <d v="2026-02-12T19:07:49"/>
        <d v="2026-02-20T15:04:24"/>
        <d v="2026-01-15T19:05:39"/>
        <d v="2026-02-18T19:05:20"/>
        <d v="2025-10-16T19:06:04"/>
        <d v="2025-11-05T22:02:43"/>
        <d v="2025-07-21T19:30:31"/>
        <d v="2026-02-13T19:06:50"/>
        <d v="2025-07-30T20:26:33"/>
        <d v="2026-01-16T19:07:49"/>
        <d v="2026-01-19T19:04:19"/>
        <d v="2026-02-02T19:06:21"/>
        <d v="2025-12-19T12:21:05"/>
        <d v="2025-09-17T20:23:47"/>
        <d v="2025-10-31T22:05:20"/>
        <d v="2026-01-16T19:02:52"/>
        <d v="2025-09-29T20:25:01"/>
        <d v="2025-12-12T17:26:42"/>
        <d v="2026-01-26T22:04:29"/>
        <d v="2025-09-19T12:24:38"/>
        <d v="2025-07-14T17:58:41"/>
        <d v="2025-09-10T13:44:11"/>
        <d v="2025-12-29T17:13:53"/>
        <d v="2025-12-20T13:11:44"/>
        <d v="2025-07-07T20:27:04"/>
        <d v="2025-10-31T19:05:22"/>
        <d v="2025-07-23T20:27:12"/>
        <d v="2025-12-20T13:00:41"/>
        <d v="2025-08-19T20:25:36"/>
        <d v="2025-07-29T20:24:23"/>
        <d v="2025-10-20T19:02:58"/>
        <d v="2025-10-01T20:25:54"/>
        <d v="2025-08-14T00:24:52"/>
        <d v="2025-11-05T22:02:57"/>
      </sharedItems>
      <fieldGroup par="39"/>
    </cacheField>
    <cacheField name="Primeira vez que entrou na fase 04 - Ag. Recebimento Pós-Ligação" numFmtId="164">
      <sharedItems containsNonDate="0" containsDate="1" containsString="0" containsBlank="1" minDate="2025-10-28T12:42:05" maxDate="2026-02-12T20:27:31"/>
    </cacheField>
    <cacheField name="Última vez que saiu da fase 04 - Ag. Recebimento Pós-Ligação" numFmtId="164">
      <sharedItems containsNonDate="0" containsDate="1" containsString="0" containsBlank="1" minDate="2025-10-28T12:42:21" maxDate="2026-02-12T20:27:46"/>
    </cacheField>
    <cacheField name="Primeira vez que entrou na fase Regua de cobrança 1" numFmtId="164">
      <sharedItems containsNonDate="0" containsDate="1" containsString="0" containsBlank="1" minDate="2025-07-03T18:49:35" maxDate="2026-02-26T19:08:38"/>
    </cacheField>
    <cacheField name="Última vez que saiu da fase Regua de cobrança 1" numFmtId="164">
      <sharedItems containsNonDate="0" containsDate="1" containsString="0" containsBlank="1" minDate="2025-07-03T18:49:57" maxDate="2026-02-26T19:59:09"/>
    </cacheField>
    <cacheField name="Tempo total na fase Regua de cobrança 1 (dias)" numFmtId="0">
      <sharedItems containsString="0" containsBlank="1" containsNumber="1" minValue="0" maxValue="19.905080999999999"/>
    </cacheField>
    <cacheField name="Primeira vez que entrou na fase 03 - Ligação ativa" numFmtId="164">
      <sharedItems containsNonDate="0" containsDate="1" containsString="0" containsBlank="1" minDate="2025-07-04T11:58:50" maxDate="2026-02-12T20:50:29"/>
    </cacheField>
    <cacheField name="Última vez que saiu da fase 03 - Ligação ativa" numFmtId="164">
      <sharedItems containsNonDate="0" containsDate="1" containsString="0" containsBlank="1" minDate="2025-07-15T18:31:59" maxDate="2026-02-20T16:58:31"/>
    </cacheField>
    <cacheField name="Tempo total na fase 03 - Ligação ativa (dias)" numFmtId="0">
      <sharedItems containsString="0" containsBlank="1" containsNumber="1" minValue="3.4999999999999997E-5" maxValue="205.97429399999999"/>
    </cacheField>
    <cacheField name="Primeira vez que entrou na fase Em Rota de Entrega" numFmtId="164">
      <sharedItems containsNonDate="0" containsDate="1" containsString="0" containsBlank="1" minDate="2025-07-03T18:50:24" maxDate="2026-02-26T19:59:09"/>
    </cacheField>
    <cacheField name="Última vez que saiu da fase Em Rota de Entrega" numFmtId="164">
      <sharedItems containsNonDate="0" containsDate="1" containsString="0" containsBlank="1" minDate="2025-07-03T18:50:44" maxDate="2026-02-25T20:53:01"/>
    </cacheField>
    <cacheField name="Tempo total na fase Em Rota de Entrega (dias)" numFmtId="0">
      <sharedItems containsString="0" containsBlank="1" containsNumber="1" minValue="0" maxValue="82.997928000000002"/>
    </cacheField>
    <cacheField name="Primeira vez que entrou na fase Regua de Cobrança 2" numFmtId="164">
      <sharedItems containsNonDate="0" containsDate="1" containsString="0" containsBlank="1" minDate="2025-07-03T18:49:57" maxDate="2026-02-26T19:07:37"/>
    </cacheField>
    <cacheField name="Última vez que saiu da fase Regua de Cobrança 2" numFmtId="164">
      <sharedItems containsNonDate="0" containsDate="1" containsString="0" containsBlank="1" minDate="2025-07-03T18:50:24" maxDate="2026-02-26T19:07:39"/>
    </cacheField>
    <cacheField name="Tempo total na fase Regua de Cobrança 2 (dias)" numFmtId="0">
      <sharedItems containsString="0" containsBlank="1" containsNumber="1" minValue="0" maxValue="4.8682290000000004"/>
    </cacheField>
    <cacheField name="Primeira vez que entrou na fase Notificação de bloqueio parcial" numFmtId="164">
      <sharedItems containsNonDate="0" containsDate="1" containsString="0" containsBlank="1" minDate="2025-07-18T00:25:12" maxDate="2026-02-26T19:07:39"/>
    </cacheField>
    <cacheField name="Última vez que saiu da fase Notificação de bloqueio parcial" numFmtId="164">
      <sharedItems containsNonDate="0" containsDate="1" containsString="0" containsBlank="1" minDate="2025-07-20T00:25:33" maxDate="2026-02-26T14:49:49"/>
    </cacheField>
    <cacheField name="Tempo total na fase Notificação de bloqueio parcial (dias)" numFmtId="0">
      <sharedItems containsString="0" containsBlank="1" containsNumber="1" minValue="8.6459999999999992E-3" maxValue="15.224606"/>
    </cacheField>
    <cacheField name="Primeira vez que entrou na fase Bloqueio parcial" numFmtId="164">
      <sharedItems containsNonDate="0" containsDate="1" containsString="0" containsBlank="1" minDate="2026-02-19T17:56:28" maxDate="2026-02-19T17:56:28"/>
    </cacheField>
    <cacheField name="Última vez que saiu da fase Bloqueio parcial" numFmtId="164">
      <sharedItems containsNonDate="0" containsDate="1" containsString="0" containsBlank="1" minDate="2026-02-19T17:57:02" maxDate="2026-02-19T17:57:02"/>
    </cacheField>
    <cacheField name="Tempo total na fase Bloqueio parcial (dias)" numFmtId="0">
      <sharedItems containsString="0" containsBlank="1" containsNumber="1" minValue="3.9399999999999998E-4" maxValue="3.9399999999999998E-4"/>
    </cacheField>
    <cacheField name="Primeira vez que entrou na fase Bloqueio total" numFmtId="164">
      <sharedItems containsNonDate="0" containsString="0" containsBlank="1"/>
    </cacheField>
    <cacheField name="Tempo total na fase Bloqueio total (dias)" numFmtId="0">
      <sharedItems containsNonDate="0" containsString="0" containsBlank="1"/>
    </cacheField>
    <cacheField name="Total de Dias" numFmtId="1">
      <sharedItems containsSemiMixedTypes="0" containsString="0" containsNumber="1" minValue="0.20336541667347774" maxValue="240.98369342592196"/>
    </cacheField>
    <cacheField name="Zona" numFmtId="0">
      <sharedItems count="6">
        <s v="&gt;60 dias"/>
        <s v="15-19 dias"/>
        <s v="31-60 dias"/>
        <s v="20-24 dias"/>
        <s v="0-14 dias"/>
        <s v="25-30 dias"/>
      </sharedItems>
    </cacheField>
    <cacheField name="Mês" numFmtId="0">
      <sharedItems containsSemiMixedTypes="0" containsString="0" containsNumber="1" containsInteger="1" minValue="1" maxValue="12" count="8">
        <n v="11"/>
        <n v="2"/>
        <n v="8"/>
        <n v="1"/>
        <n v="9"/>
        <n v="7"/>
        <n v="10"/>
        <n v="12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Total_Mes" numFmtId="0">
      <sharedItems containsSemiMixedTypes="0" containsString="0" containsNumber="1" containsInteger="1" minValue="131" maxValue="223"/>
    </cacheField>
    <cacheField name="Recebido_ Mes" numFmtId="0">
      <sharedItems containsSemiMixedTypes="0" containsString="0" containsNumber="1" containsInteger="1" minValue="33" maxValue="149"/>
    </cacheField>
    <cacheField name="Coluna1" numFmtId="10">
      <sharedItems containsSemiMixedTypes="0" containsString="0" containsNumber="1" minValue="0.17460317460317459" maxValue="0.76712328767123283"/>
    </cacheField>
    <cacheField name="% Devolvida" numFmtId="10">
      <sharedItems containsSemiMixedTypes="0" containsString="0" containsNumber="1" minValue="0.17460317460317459" maxValue="0.76712328767123283"/>
    </cacheField>
    <cacheField name="Meta" numFmtId="9">
      <sharedItems containsSemiMixedTypes="0" containsString="0" containsNumber="1" containsInteger="1" minValue="1" maxValue="1"/>
    </cacheField>
    <cacheField name="Meses (Criado em)" numFmtId="0" databaseField="0">
      <fieldGroup base="5">
        <rangePr groupBy="months" startDate="2025-07-01T00:23:29" endDate="2026-02-26T19:07:09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2/2026"/>
        </groupItems>
      </fieldGroup>
    </cacheField>
    <cacheField name="Trimestres (Criado em)" numFmtId="0" databaseField="0">
      <fieldGroup base="5">
        <rangePr groupBy="quarters" startDate="2025-07-01T00:23:29" endDate="2026-02-26T19:07:09"/>
        <groupItems count="6">
          <s v="&lt;01/07/2025"/>
          <s v="Trim1"/>
          <s v="Trim2"/>
          <s v="Trim3"/>
          <s v="Trim4"/>
          <s v="&gt;26/02/2026"/>
        </groupItems>
      </fieldGroup>
    </cacheField>
    <cacheField name="Anos (Criado em)" numFmtId="0" databaseField="0">
      <fieldGroup base="5">
        <rangePr groupBy="years" startDate="2025-07-01T00:23:29" endDate="2026-02-26T19:07:09"/>
        <groupItems count="4">
          <s v="&lt;01/07/2025"/>
          <s v="2025"/>
          <s v="2026"/>
          <s v="&gt;26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5">
  <r>
    <n v="1250547908"/>
    <s v="31.286.044/0001-53"/>
    <s v=" ANA CAROLINA FRANZOLIN ARAUJO REZENDE"/>
    <x v="0"/>
    <s v="Pipebot"/>
    <x v="0"/>
    <m/>
    <m/>
    <d v="2025-11-19T22:03:21"/>
    <d v="2025-11-20T22:03:28"/>
    <n v="1.000081"/>
    <d v="2025-11-24T22:04:28"/>
    <d v="2025-12-11T16:24:01"/>
    <n v="16.763565"/>
    <m/>
    <m/>
    <m/>
    <d v="2025-11-20T22:03:28"/>
    <d v="2025-11-22T22:04:04"/>
    <n v="2.0004050000000002"/>
    <d v="2025-11-22T22:04:04"/>
    <d v="2025-11-24T22:04:28"/>
    <n v="2.0002779999999998"/>
    <m/>
    <m/>
    <m/>
    <m/>
    <m/>
    <n v="113.08163807870005"/>
    <x v="0"/>
    <x v="0"/>
    <x v="0"/>
    <n v="131"/>
    <n v="87"/>
    <n v="0.66412213740458015"/>
    <n v="0.66412213740458015"/>
    <n v="1"/>
  </r>
  <r>
    <n v="1295984942"/>
    <s v="49.636.555/0001-13"/>
    <s v=" André Luiz Luciano Dias OK Minimercado"/>
    <x v="1"/>
    <s v="Pipebot"/>
    <x v="1"/>
    <m/>
    <m/>
    <d v="2026-02-24T19:08:01"/>
    <d v="2026-02-25T19:08:53"/>
    <n v="1.000602"/>
    <m/>
    <m/>
    <m/>
    <m/>
    <m/>
    <m/>
    <d v="2026-02-25T19:08:54"/>
    <m/>
    <n v="1.092257"/>
    <m/>
    <m/>
    <m/>
    <m/>
    <m/>
    <m/>
    <m/>
    <m/>
    <n v="16.20346719907684"/>
    <x v="1"/>
    <x v="1"/>
    <x v="1"/>
    <n v="189"/>
    <n v="33"/>
    <n v="0.17460317460317459"/>
    <n v="0.17460317460317459"/>
    <n v="1"/>
  </r>
  <r>
    <n v="1201528006"/>
    <s v="60.497.563/0001-69"/>
    <s v=" Bruno Felipe Sá de Souza "/>
    <x v="0"/>
    <s v="Pipebot"/>
    <x v="2"/>
    <m/>
    <m/>
    <m/>
    <m/>
    <m/>
    <m/>
    <m/>
    <m/>
    <m/>
    <m/>
    <m/>
    <m/>
    <m/>
    <m/>
    <m/>
    <m/>
    <m/>
    <m/>
    <m/>
    <m/>
    <m/>
    <m/>
    <n v="185.35702232638869"/>
    <x v="0"/>
    <x v="2"/>
    <x v="0"/>
    <n v="146"/>
    <n v="112"/>
    <n v="0.76712328767123283"/>
    <n v="0.76712328767123283"/>
    <n v="1"/>
  </r>
  <r>
    <n v="1286506710"/>
    <s v="61.048.071/0001-59"/>
    <s v=" Camila Soares da Silva"/>
    <x v="2"/>
    <s v="Pipebot"/>
    <x v="3"/>
    <m/>
    <m/>
    <d v="2026-02-06T15:03:57"/>
    <d v="2026-02-20T16:52:30"/>
    <n v="2.1740159999999999"/>
    <d v="2026-02-10T13:05:47"/>
    <d v="2026-02-19T12:42:16"/>
    <n v="8.9836569999999991"/>
    <d v="2026-02-20T21:15:20"/>
    <m/>
    <n v="6.0044440000000003"/>
    <d v="2026-02-07T15:04:18"/>
    <d v="2026-02-20T21:15:20"/>
    <n v="2.182766"/>
    <d v="2026-02-09T15:04:39"/>
    <d v="2026-02-10T13:05:47"/>
    <n v="0.91745399999999999"/>
    <m/>
    <m/>
    <m/>
    <m/>
    <m/>
    <n v="34.372949699070887"/>
    <x v="2"/>
    <x v="3"/>
    <x v="1"/>
    <n v="223"/>
    <n v="147"/>
    <n v="0.65919282511210764"/>
    <n v="0.65919282511210764"/>
    <n v="1"/>
  </r>
  <r>
    <n v="1212890261"/>
    <s v="58.346.815/0001-07"/>
    <s v=" Diego Santos Antunes Maciel"/>
    <x v="0"/>
    <s v="Pipebot"/>
    <x v="4"/>
    <m/>
    <m/>
    <m/>
    <m/>
    <m/>
    <m/>
    <m/>
    <m/>
    <m/>
    <m/>
    <m/>
    <m/>
    <m/>
    <m/>
    <m/>
    <m/>
    <m/>
    <m/>
    <m/>
    <m/>
    <m/>
    <m/>
    <n v="167.98294412036921"/>
    <x v="0"/>
    <x v="4"/>
    <x v="0"/>
    <n v="197"/>
    <n v="149"/>
    <n v="0.75634517766497467"/>
    <n v="0.75634517766497467"/>
    <n v="1"/>
  </r>
  <r>
    <n v="1297056165"/>
    <s v="54.720.406/0001-78"/>
    <s v=" Eric Pereira Susini"/>
    <x v="0"/>
    <s v="Pipebot"/>
    <x v="5"/>
    <m/>
    <m/>
    <m/>
    <m/>
    <m/>
    <m/>
    <m/>
    <m/>
    <m/>
    <m/>
    <m/>
    <m/>
    <m/>
    <m/>
    <m/>
    <m/>
    <m/>
    <m/>
    <m/>
    <m/>
    <m/>
    <m/>
    <n v="14.203226956007711"/>
    <x v="1"/>
    <x v="1"/>
    <x v="1"/>
    <n v="189"/>
    <n v="33"/>
    <n v="0.17460317460317459"/>
    <n v="0.17460317460317459"/>
    <n v="1"/>
  </r>
  <r>
    <n v="1261054870"/>
    <s v="55.374.478/0001-73"/>
    <s v=" Fabrícia Fonseca Rezende"/>
    <x v="0"/>
    <s v="Pipebot"/>
    <x v="6"/>
    <m/>
    <m/>
    <m/>
    <m/>
    <m/>
    <m/>
    <m/>
    <m/>
    <m/>
    <m/>
    <m/>
    <m/>
    <m/>
    <m/>
    <m/>
    <m/>
    <m/>
    <m/>
    <m/>
    <m/>
    <m/>
    <m/>
    <n v="90.204369976847374"/>
    <x v="0"/>
    <x v="0"/>
    <x v="0"/>
    <n v="131"/>
    <n v="87"/>
    <n v="0.66412213740458015"/>
    <n v="0.66412213740458015"/>
    <n v="1"/>
  </r>
  <r>
    <n v="1176235725"/>
    <s v="43.001.652/0001-53"/>
    <s v=" Iarussi comércio de alimentos e bebidas Ltda."/>
    <x v="0"/>
    <s v="Pipebot"/>
    <x v="7"/>
    <m/>
    <m/>
    <d v="2025-07-28T20:25:49"/>
    <d v="2025-07-29T13:50:30"/>
    <n v="0.72546299999999997"/>
    <m/>
    <m/>
    <m/>
    <m/>
    <m/>
    <m/>
    <m/>
    <m/>
    <m/>
    <m/>
    <m/>
    <m/>
    <m/>
    <m/>
    <m/>
    <m/>
    <m/>
    <n v="227.14902383102162"/>
    <x v="0"/>
    <x v="5"/>
    <x v="0"/>
    <n v="177"/>
    <n v="130"/>
    <n v="0.7344632768361582"/>
    <n v="0.7344632768361582"/>
    <n v="1"/>
  </r>
  <r>
    <n v="1188380752"/>
    <s v="47.711.554/0001-60"/>
    <s v=" J C M DA S Teixeira "/>
    <x v="0"/>
    <s v="Pipebot"/>
    <x v="8"/>
    <m/>
    <m/>
    <m/>
    <m/>
    <m/>
    <m/>
    <m/>
    <m/>
    <m/>
    <m/>
    <m/>
    <m/>
    <m/>
    <m/>
    <m/>
    <m/>
    <m/>
    <m/>
    <m/>
    <m/>
    <m/>
    <m/>
    <n v="206.1486101851915"/>
    <x v="0"/>
    <x v="2"/>
    <x v="0"/>
    <n v="146"/>
    <n v="112"/>
    <n v="0.76712328767123283"/>
    <n v="0.76712328767123283"/>
    <n v="1"/>
  </r>
  <r>
    <n v="1256272231"/>
    <s v="62.492.307/0001-04"/>
    <s v=" J. DE BRITO COMERCIO DE ALIMENTOS LTDA"/>
    <x v="3"/>
    <s v="Pipebot"/>
    <x v="9"/>
    <m/>
    <m/>
    <d v="2025-12-02T15:06:34"/>
    <d v="2025-12-03T15:06:56"/>
    <n v="1.000243"/>
    <d v="2025-12-07T15:07:56"/>
    <d v="2026-02-12T14:11:00"/>
    <n v="66.960451000000006"/>
    <m/>
    <m/>
    <m/>
    <d v="2025-12-03T15:06:56"/>
    <d v="2025-12-05T15:07:29"/>
    <n v="2.0003820000000001"/>
    <d v="2025-12-05T15:07:29"/>
    <d v="2025-12-07T15:07:56"/>
    <n v="2.0003009999999999"/>
    <m/>
    <m/>
    <m/>
    <m/>
    <m/>
    <n v="100.37120750000031"/>
    <x v="0"/>
    <x v="0"/>
    <x v="0"/>
    <n v="131"/>
    <n v="87"/>
    <n v="0.66412213740458015"/>
    <n v="0.66412213740458015"/>
    <n v="1"/>
  </r>
  <r>
    <n v="1184634702"/>
    <s v="59.623.461/0001-63"/>
    <s v=" Jacqueline Godoi de Toledo "/>
    <x v="0"/>
    <s v="Pipebot"/>
    <x v="10"/>
    <m/>
    <m/>
    <m/>
    <m/>
    <m/>
    <m/>
    <m/>
    <m/>
    <m/>
    <m/>
    <m/>
    <m/>
    <m/>
    <m/>
    <m/>
    <m/>
    <m/>
    <m/>
    <m/>
    <m/>
    <m/>
    <m/>
    <n v="213.2246121064818"/>
    <x v="0"/>
    <x v="5"/>
    <x v="0"/>
    <n v="177"/>
    <n v="130"/>
    <n v="0.7344632768361582"/>
    <n v="0.7344632768361582"/>
    <n v="1"/>
  </r>
  <r>
    <n v="1183425048"/>
    <s v="47.711.554/0001-60"/>
    <s v=" Jessica c m s Teixeira "/>
    <x v="0"/>
    <s v="Pipebot"/>
    <x v="11"/>
    <m/>
    <m/>
    <m/>
    <m/>
    <m/>
    <m/>
    <m/>
    <m/>
    <m/>
    <m/>
    <m/>
    <m/>
    <m/>
    <m/>
    <m/>
    <m/>
    <m/>
    <m/>
    <m/>
    <m/>
    <m/>
    <m/>
    <n v="216.14721092592663"/>
    <x v="0"/>
    <x v="5"/>
    <x v="0"/>
    <n v="177"/>
    <n v="130"/>
    <n v="0.7344632768361582"/>
    <n v="0.7344632768361582"/>
    <n v="1"/>
  </r>
  <r>
    <n v="1239781197"/>
    <s v="57.801.762/0001-04"/>
    <s v=" José Luís Paulino "/>
    <x v="0"/>
    <s v="Pipebot"/>
    <x v="12"/>
    <m/>
    <m/>
    <m/>
    <m/>
    <m/>
    <m/>
    <m/>
    <m/>
    <m/>
    <m/>
    <m/>
    <m/>
    <m/>
    <m/>
    <m/>
    <m/>
    <m/>
    <m/>
    <m/>
    <m/>
    <m/>
    <m/>
    <n v="129.37272574073722"/>
    <x v="0"/>
    <x v="6"/>
    <x v="0"/>
    <n v="195"/>
    <n v="132"/>
    <n v="0.67692307692307696"/>
    <n v="0.67692307692307696"/>
    <n v="1"/>
  </r>
  <r>
    <n v="1293131874"/>
    <s v="54.776.421/0001-38"/>
    <s v=" Karine Cristina Dinamarke Santos"/>
    <x v="4"/>
    <s v="Pipebot"/>
    <x v="13"/>
    <m/>
    <m/>
    <d v="2026-02-18T15:07:03"/>
    <d v="2026-02-19T12:36:03"/>
    <n v="0.89513900000000002"/>
    <m/>
    <m/>
    <m/>
    <m/>
    <m/>
    <m/>
    <d v="2026-02-19T12:36:03"/>
    <d v="2026-02-20T16:50:19"/>
    <n v="1.176563"/>
    <d v="2026-02-20T16:50:19"/>
    <d v="2026-02-25T18:22:49"/>
    <n v="5.0642360000000002"/>
    <m/>
    <m/>
    <m/>
    <m/>
    <m/>
    <n v="22.370814270827395"/>
    <x v="3"/>
    <x v="1"/>
    <x v="1"/>
    <n v="189"/>
    <n v="33"/>
    <n v="0.17460317460317459"/>
    <n v="0.17460317460317459"/>
    <n v="1"/>
  </r>
  <r>
    <n v="1229898901"/>
    <s v="54.776.421/0001-38"/>
    <s v=" Karine Cristina Dinamarke Santos"/>
    <x v="0"/>
    <s v="Pipebot"/>
    <x v="14"/>
    <m/>
    <m/>
    <m/>
    <m/>
    <m/>
    <m/>
    <m/>
    <m/>
    <m/>
    <m/>
    <m/>
    <m/>
    <m/>
    <m/>
    <m/>
    <m/>
    <m/>
    <m/>
    <m/>
    <m/>
    <m/>
    <m/>
    <n v="142.14837303241075"/>
    <x v="0"/>
    <x v="6"/>
    <x v="0"/>
    <n v="195"/>
    <n v="132"/>
    <n v="0.67692307692307696"/>
    <n v="0.67692307692307696"/>
    <n v="1"/>
  </r>
  <r>
    <n v="1213467531"/>
    <s v="55.721.098/0001-68"/>
    <s v=" ld comércio varejista de produtos"/>
    <x v="5"/>
    <s v="Pipebot"/>
    <x v="15"/>
    <m/>
    <m/>
    <d v="2025-09-26T20:29:01"/>
    <d v="2026-02-13T16:00:35"/>
    <n v="2.1484610000000002"/>
    <d v="2025-10-01T20:31:10"/>
    <d v="2026-02-12T12:27:35"/>
    <n v="133.66417799999999"/>
    <m/>
    <m/>
    <m/>
    <d v="2025-09-27T20:29:48"/>
    <d v="2026-02-16T12:48:59"/>
    <n v="4.8674999999999997"/>
    <d v="2025-09-29T20:30:36"/>
    <d v="2025-10-01T20:31:10"/>
    <n v="12.35647"/>
    <m/>
    <m/>
    <m/>
    <m/>
    <m/>
    <n v="167.14712682871323"/>
    <x v="0"/>
    <x v="4"/>
    <x v="0"/>
    <n v="197"/>
    <n v="149"/>
    <n v="0.75634517766497467"/>
    <n v="0.75634517766497467"/>
    <n v="1"/>
  </r>
  <r>
    <n v="1261090983"/>
    <s v="38.088.406/0001-40"/>
    <s v=" Lopes &amp; Lucena "/>
    <x v="0"/>
    <s v="Pipebot"/>
    <x v="16"/>
    <m/>
    <m/>
    <d v="2025-12-12T20:04:18"/>
    <d v="2025-12-13T20:04:38"/>
    <n v="1.0002310000000001"/>
    <d v="2025-12-17T20:05:44"/>
    <d v="2025-12-20T15:56:25"/>
    <n v="2.8268520000000001"/>
    <d v="2025-12-20T15:56:25"/>
    <d v="2025-12-20T15:56:43"/>
    <n v="1.9699999999999999E-4"/>
    <d v="2025-12-13T20:04:38"/>
    <d v="2025-12-15T20:04:48"/>
    <n v="2.0001039999999999"/>
    <d v="2025-12-15T20:04:48"/>
    <d v="2025-12-17T20:05:44"/>
    <n v="2.000648"/>
    <m/>
    <m/>
    <m/>
    <m/>
    <m/>
    <n v="90.16447707174666"/>
    <x v="0"/>
    <x v="0"/>
    <x v="0"/>
    <n v="131"/>
    <n v="87"/>
    <n v="0.66412213740458015"/>
    <n v="0.66412213740458015"/>
    <n v="1"/>
  </r>
  <r>
    <n v="1254591669"/>
    <s v="57.460.509/0001-34"/>
    <s v=" Lovymkt Vending"/>
    <x v="5"/>
    <s v="Pipebot"/>
    <x v="17"/>
    <m/>
    <m/>
    <d v="2025-11-27T19:05:24"/>
    <d v="2026-02-16T12:51:59"/>
    <n v="3.8673150000000001"/>
    <d v="2025-12-02T19:06:40"/>
    <d v="2026-02-13T16:03:52"/>
    <n v="72.873056000000005"/>
    <m/>
    <m/>
    <m/>
    <d v="2025-11-28T19:06:13"/>
    <d v="2026-02-18T13:22:31"/>
    <n v="4.0213660000000004"/>
    <d v="2025-11-30T19:06:27"/>
    <d v="2025-12-02T19:06:40"/>
    <n v="10.332940000000001"/>
    <m/>
    <m/>
    <m/>
    <m/>
    <m/>
    <n v="105.20523353009776"/>
    <x v="0"/>
    <x v="0"/>
    <x v="0"/>
    <n v="131"/>
    <n v="87"/>
    <n v="0.66412213740458015"/>
    <n v="0.66412213740458015"/>
    <n v="1"/>
  </r>
  <r>
    <n v="1251209264"/>
    <s v="57.460.509/0001-34"/>
    <s v=" Lovymkt Vending"/>
    <x v="0"/>
    <s v="Pipebot"/>
    <x v="18"/>
    <m/>
    <m/>
    <d v="2025-11-20T19:04:27"/>
    <d v="2025-11-21T19:04:51"/>
    <n v="1.0002660000000001"/>
    <d v="2025-11-25T19:06:06"/>
    <d v="2026-01-12T16:28:44"/>
    <n v="47.890706000000002"/>
    <m/>
    <m/>
    <m/>
    <d v="2025-11-21T19:04:51"/>
    <d v="2025-11-23T19:05:05"/>
    <n v="2.000162"/>
    <d v="2025-11-23T19:05:05"/>
    <d v="2025-11-25T19:06:06"/>
    <n v="2.0006940000000002"/>
    <m/>
    <m/>
    <m/>
    <m/>
    <m/>
    <n v="112.2053895138888"/>
    <x v="0"/>
    <x v="0"/>
    <x v="0"/>
    <n v="131"/>
    <n v="87"/>
    <n v="0.66412213740458015"/>
    <n v="0.66412213740458015"/>
    <n v="1"/>
  </r>
  <r>
    <n v="1254840527"/>
    <s v="52.411.739/0001-90"/>
    <s v=" MA2 Consultoria e gestão empresarial Ltda"/>
    <x v="5"/>
    <s v="Pipebot"/>
    <x v="19"/>
    <m/>
    <m/>
    <d v="2025-11-28T12:47:53"/>
    <d v="2026-02-16T12:52:01"/>
    <n v="3.8669440000000002"/>
    <d v="2025-12-03T12:49:07"/>
    <d v="2026-02-13T16:03:54"/>
    <n v="72.135255000000001"/>
    <m/>
    <m/>
    <m/>
    <d v="2025-11-29T12:48:11"/>
    <d v="2026-02-18T13:22:34"/>
    <n v="4.0217939999999999"/>
    <d v="2025-12-01T12:49:01"/>
    <d v="2025-12-03T12:49:07"/>
    <n v="10.332836"/>
    <m/>
    <m/>
    <m/>
    <m/>
    <m/>
    <n v="104.46721346065169"/>
    <x v="0"/>
    <x v="0"/>
    <x v="0"/>
    <n v="131"/>
    <n v="87"/>
    <n v="0.66412213740458015"/>
    <n v="0.66412213740458015"/>
    <n v="1"/>
  </r>
  <r>
    <n v="1270931698"/>
    <s v="54.683.432/0001-73"/>
    <s v="RAFAEL IVAIR DARINI"/>
    <x v="3"/>
    <s v="Vinícius Melesque dos Santos"/>
    <x v="20"/>
    <m/>
    <m/>
    <m/>
    <m/>
    <m/>
    <d v="2025-12-20T11:46:57"/>
    <d v="2025-12-20T11:47:05"/>
    <n v="8.1000000000000004E-5"/>
    <d v="2025-12-20T11:46:51"/>
    <d v="2025-12-20T11:46:57"/>
    <n v="5.8E-5"/>
    <m/>
    <m/>
    <m/>
    <m/>
    <m/>
    <m/>
    <m/>
    <m/>
    <m/>
    <m/>
    <m/>
    <n v="68.511031377318432"/>
    <x v="0"/>
    <x v="7"/>
    <x v="0"/>
    <n v="207"/>
    <n v="140"/>
    <n v="0.67632850241545894"/>
    <n v="0.67632850241545894"/>
    <n v="1"/>
  </r>
  <r>
    <n v="1295984844"/>
    <s v="39.361.851/0001-03"/>
    <s v=" Marcos luiz ramalho da silva "/>
    <x v="1"/>
    <s v="Pipebot"/>
    <x v="21"/>
    <m/>
    <m/>
    <d v="2026-02-24T19:08:01"/>
    <d v="2026-02-25T19:08:53"/>
    <n v="1.000602"/>
    <m/>
    <m/>
    <m/>
    <m/>
    <m/>
    <m/>
    <d v="2026-02-25T19:08:53"/>
    <m/>
    <n v="1.092257"/>
    <m/>
    <m/>
    <m/>
    <m/>
    <m/>
    <m/>
    <m/>
    <m/>
    <n v="16.203530601851526"/>
    <x v="1"/>
    <x v="1"/>
    <x v="1"/>
    <n v="189"/>
    <n v="33"/>
    <n v="0.17460317460317459"/>
    <n v="0.17460317460317459"/>
    <n v="1"/>
  </r>
  <r>
    <n v="1297056317"/>
    <s v="39.361.851/0001-03"/>
    <s v=" Marcos luiz ramalho da silva "/>
    <x v="6"/>
    <s v="Pipebot"/>
    <x v="22"/>
    <m/>
    <m/>
    <d v="2026-02-26T19:08:37"/>
    <m/>
    <n v="9.2441999999999996E-2"/>
    <m/>
    <m/>
    <m/>
    <m/>
    <m/>
    <m/>
    <m/>
    <m/>
    <m/>
    <m/>
    <m/>
    <m/>
    <m/>
    <m/>
    <m/>
    <m/>
    <m/>
    <n v="14.203093703712511"/>
    <x v="1"/>
    <x v="1"/>
    <x v="1"/>
    <n v="189"/>
    <n v="33"/>
    <n v="0.17460317460317459"/>
    <n v="0.17460317460317459"/>
    <n v="1"/>
  </r>
  <r>
    <n v="1267210108"/>
    <s v="54.854.165/0001-50"/>
    <s v=" Marcelo Henrique Oliveira Silva "/>
    <x v="0"/>
    <s v="Pipebot"/>
    <x v="23"/>
    <m/>
    <m/>
    <d v="2025-12-25T19:09:24"/>
    <d v="2025-12-26T19:10:04"/>
    <n v="1.0004630000000001"/>
    <d v="2025-12-30T19:11:00"/>
    <d v="2026-01-12T13:55:21"/>
    <n v="12.780787"/>
    <m/>
    <m/>
    <m/>
    <d v="2025-12-26T19:10:04"/>
    <d v="2025-12-28T19:10:29"/>
    <n v="2.0002779999999998"/>
    <d v="2025-12-28T19:10:29"/>
    <d v="2025-12-30T19:11:00"/>
    <n v="2.000359"/>
    <m/>
    <m/>
    <m/>
    <m/>
    <m/>
    <n v="77.202520763887151"/>
    <x v="0"/>
    <x v="7"/>
    <x v="0"/>
    <n v="207"/>
    <n v="140"/>
    <n v="0.67632850241545894"/>
    <n v="0.67632850241545894"/>
    <n v="1"/>
  </r>
  <r>
    <n v="1259929764"/>
    <s v="41.082.966/0001-00"/>
    <s v=" Mércia França da Silva "/>
    <x v="0"/>
    <s v="Pipebot"/>
    <x v="24"/>
    <m/>
    <m/>
    <d v="2025-12-10T17:22:32"/>
    <d v="2025-12-10T17:22:42"/>
    <n v="1.16E-4"/>
    <m/>
    <m/>
    <m/>
    <d v="2025-12-10T17:22:45"/>
    <d v="2025-12-20T13:23:30"/>
    <n v="9.8338540000000005"/>
    <m/>
    <m/>
    <m/>
    <m/>
    <m/>
    <m/>
    <m/>
    <m/>
    <m/>
    <m/>
    <m/>
    <n v="92.204905543992936"/>
    <x v="0"/>
    <x v="0"/>
    <x v="0"/>
    <n v="131"/>
    <n v="87"/>
    <n v="0.66412213740458015"/>
    <n v="0.66412213740458015"/>
    <n v="1"/>
  </r>
  <r>
    <n v="1304128539"/>
    <s v="47.097.158/0001-95"/>
    <s v=" mtt comercio e distribuição"/>
    <x v="7"/>
    <s v="Pipebot"/>
    <x v="25"/>
    <m/>
    <m/>
    <m/>
    <m/>
    <m/>
    <m/>
    <m/>
    <m/>
    <m/>
    <m/>
    <m/>
    <m/>
    <m/>
    <m/>
    <m/>
    <m/>
    <m/>
    <m/>
    <m/>
    <m/>
    <m/>
    <m/>
    <n v="1.203939872677438"/>
    <x v="4"/>
    <x v="1"/>
    <x v="1"/>
    <n v="189"/>
    <n v="33"/>
    <n v="0.17460317460317459"/>
    <n v="0.17460317460317459"/>
    <n v="1"/>
  </r>
  <r>
    <n v="1169997882"/>
    <s v="38.132.380/0001-90"/>
    <s v=" Murilo Cesar de Jesus"/>
    <x v="0"/>
    <s v="Pipebot"/>
    <x v="26"/>
    <m/>
    <m/>
    <m/>
    <m/>
    <m/>
    <m/>
    <m/>
    <m/>
    <m/>
    <m/>
    <m/>
    <m/>
    <m/>
    <m/>
    <m/>
    <m/>
    <m/>
    <m/>
    <m/>
    <m/>
    <m/>
    <m/>
    <n v="239.98247012731736"/>
    <x v="0"/>
    <x v="5"/>
    <x v="0"/>
    <n v="177"/>
    <n v="130"/>
    <n v="0.7344632768361582"/>
    <n v="0.7344632768361582"/>
    <n v="1"/>
  </r>
  <r>
    <n v="1213466609"/>
    <s v="43.789.527/0001-50"/>
    <s v=" MVL comercio de alimentos ltda"/>
    <x v="0"/>
    <s v="Pipebot"/>
    <x v="27"/>
    <m/>
    <m/>
    <m/>
    <m/>
    <m/>
    <m/>
    <m/>
    <m/>
    <m/>
    <m/>
    <m/>
    <m/>
    <m/>
    <m/>
    <m/>
    <m/>
    <m/>
    <m/>
    <m/>
    <m/>
    <m/>
    <m/>
    <n v="167.14827467592841"/>
    <x v="0"/>
    <x v="4"/>
    <x v="0"/>
    <n v="197"/>
    <n v="149"/>
    <n v="0.75634517766497467"/>
    <n v="0.75634517766497467"/>
    <n v="1"/>
  </r>
  <r>
    <n v="1278989166"/>
    <s v="32.444.284/0001-00"/>
    <s v=" Natalia Galhardi "/>
    <x v="0"/>
    <s v="Pipebot"/>
    <x v="28"/>
    <m/>
    <m/>
    <m/>
    <m/>
    <m/>
    <m/>
    <m/>
    <m/>
    <m/>
    <m/>
    <m/>
    <m/>
    <m/>
    <m/>
    <m/>
    <m/>
    <m/>
    <m/>
    <m/>
    <m/>
    <m/>
    <m/>
    <n v="49.205643159722968"/>
    <x v="2"/>
    <x v="3"/>
    <x v="1"/>
    <n v="223"/>
    <n v="147"/>
    <n v="0.65919282511210764"/>
    <n v="0.65919282511210764"/>
    <n v="1"/>
  </r>
  <r>
    <n v="1263919515"/>
    <s v="59.593.207/0001-60"/>
    <s v=" Maria da Gloria Dias dos Santos "/>
    <x v="0"/>
    <s v="Pipebot"/>
    <x v="29"/>
    <m/>
    <m/>
    <m/>
    <m/>
    <m/>
    <m/>
    <m/>
    <m/>
    <m/>
    <m/>
    <m/>
    <m/>
    <m/>
    <m/>
    <m/>
    <m/>
    <m/>
    <m/>
    <m/>
    <m/>
    <m/>
    <m/>
    <n v="84.494802650457132"/>
    <x v="0"/>
    <x v="7"/>
    <x v="0"/>
    <n v="207"/>
    <n v="140"/>
    <n v="0.67632850241545894"/>
    <n v="0.67632850241545894"/>
    <n v="1"/>
  </r>
  <r>
    <n v="1209016578"/>
    <s v="52.949.400/0001-41"/>
    <s v=" REGINA LUCIA DE SOUZA OLIVEIRA"/>
    <x v="0"/>
    <s v="Pipebot"/>
    <x v="30"/>
    <m/>
    <m/>
    <m/>
    <m/>
    <m/>
    <m/>
    <m/>
    <m/>
    <m/>
    <m/>
    <m/>
    <m/>
    <m/>
    <m/>
    <m/>
    <m/>
    <m/>
    <m/>
    <m/>
    <m/>
    <m/>
    <m/>
    <n v="174.35675067129341"/>
    <x v="0"/>
    <x v="4"/>
    <x v="0"/>
    <n v="197"/>
    <n v="149"/>
    <n v="0.75634517766497467"/>
    <n v="0.75634517766497467"/>
    <n v="1"/>
  </r>
  <r>
    <n v="1179015098"/>
    <s v="47.733.123/0001-03"/>
    <s v=" Rios e Arigoni Ltda "/>
    <x v="0"/>
    <s v="Pipebot"/>
    <x v="31"/>
    <m/>
    <m/>
    <m/>
    <m/>
    <m/>
    <m/>
    <m/>
    <m/>
    <m/>
    <m/>
    <m/>
    <m/>
    <m/>
    <m/>
    <m/>
    <m/>
    <m/>
    <m/>
    <m/>
    <m/>
    <m/>
    <m/>
    <n v="223.14923454861128"/>
    <x v="0"/>
    <x v="5"/>
    <x v="0"/>
    <n v="177"/>
    <n v="130"/>
    <n v="0.7344632768361582"/>
    <n v="0.7344632768361582"/>
    <n v="1"/>
  </r>
  <r>
    <n v="1228855304"/>
    <s v="60.679.617/0001-07"/>
    <s v=" Silvia Maria Magalhães Silva"/>
    <x v="0"/>
    <s v="Pipebot"/>
    <x v="32"/>
    <m/>
    <m/>
    <m/>
    <m/>
    <m/>
    <m/>
    <m/>
    <m/>
    <m/>
    <m/>
    <m/>
    <m/>
    <m/>
    <m/>
    <m/>
    <m/>
    <m/>
    <m/>
    <m/>
    <m/>
    <m/>
    <m/>
    <n v="143.35822605324211"/>
    <x v="0"/>
    <x v="6"/>
    <x v="0"/>
    <n v="195"/>
    <n v="132"/>
    <n v="0.67692307692307696"/>
    <n v="0.67692307692307696"/>
    <n v="1"/>
  </r>
  <r>
    <n v="1267303073"/>
    <s v="63.574.121/0001-67"/>
    <s v=" Rapmax Minimercado Ltda "/>
    <x v="5"/>
    <s v="Pipebot"/>
    <x v="33"/>
    <m/>
    <m/>
    <d v="2025-12-25T22:09:24"/>
    <d v="2026-02-18T13:25:28"/>
    <n v="3.0225460000000002"/>
    <d v="2025-12-30T22:10:59"/>
    <d v="2026-02-16T12:53:34"/>
    <n v="47.612904999999998"/>
    <m/>
    <m/>
    <m/>
    <d v="2025-12-26T22:09:59"/>
    <d v="2026-02-19T12:28:09"/>
    <n v="2.9605320000000002"/>
    <d v="2025-12-28T22:10:28"/>
    <d v="2025-12-30T22:10:59"/>
    <n v="9.3709030000000002"/>
    <m/>
    <m/>
    <m/>
    <m/>
    <m/>
    <n v="77.07745504630293"/>
    <x v="0"/>
    <x v="7"/>
    <x v="0"/>
    <n v="207"/>
    <n v="140"/>
    <n v="0.67632850241545894"/>
    <n v="0.67632850241545894"/>
    <n v="1"/>
  </r>
  <r>
    <n v="1286508807"/>
    <s v="56.213.383/0001-30"/>
    <s v=" Solange Oliveira Canuto dos Reis"/>
    <x v="0"/>
    <s v="Pipebot"/>
    <x v="34"/>
    <m/>
    <m/>
    <d v="2026-02-06T15:04:57"/>
    <d v="2026-02-07T15:05:17"/>
    <n v="1.0002200000000001"/>
    <d v="2026-02-10T13:05:48"/>
    <d v="2026-02-16T16:55:54"/>
    <n v="6.1597920000000004"/>
    <d v="2026-02-16T16:55:54"/>
    <d v="2026-02-16T16:56:02"/>
    <n v="8.1000000000000004E-5"/>
    <d v="2026-02-07T15:05:17"/>
    <d v="2026-02-09T15:05:34"/>
    <n v="2.0001850000000001"/>
    <d v="2026-02-09T15:05:34"/>
    <d v="2026-02-10T13:05:48"/>
    <n v="0.91682900000000001"/>
    <m/>
    <m/>
    <m/>
    <m/>
    <m/>
    <n v="34.37198216435354"/>
    <x v="2"/>
    <x v="3"/>
    <x v="1"/>
    <n v="223"/>
    <n v="147"/>
    <n v="0.65919282511210764"/>
    <n v="0.65919282511210764"/>
    <n v="1"/>
  </r>
  <r>
    <n v="1294318173"/>
    <s v="56.213.383/0001-30"/>
    <s v=" Solange Oliveira Canuto dos Reis"/>
    <x v="0"/>
    <s v="Pipebot"/>
    <x v="35"/>
    <m/>
    <m/>
    <m/>
    <m/>
    <m/>
    <m/>
    <m/>
    <m/>
    <m/>
    <m/>
    <m/>
    <m/>
    <m/>
    <m/>
    <m/>
    <m/>
    <m/>
    <m/>
    <m/>
    <m/>
    <m/>
    <m/>
    <n v="20.394603402783105"/>
    <x v="3"/>
    <x v="1"/>
    <x v="1"/>
    <n v="189"/>
    <n v="33"/>
    <n v="0.17460317460317459"/>
    <n v="0.17460317460317459"/>
    <n v="1"/>
  </r>
  <r>
    <n v="1294278921"/>
    <s v="57.033.794/0001-07"/>
    <s v=" ST MARKET LTDA"/>
    <x v="5"/>
    <s v="Pipebot"/>
    <x v="36"/>
    <m/>
    <m/>
    <d v="2026-02-20T13:37:27"/>
    <d v="2026-02-20T16:52:53"/>
    <n v="0.13571800000000001"/>
    <m/>
    <m/>
    <m/>
    <m/>
    <m/>
    <m/>
    <d v="2026-02-20T16:52:54"/>
    <d v="2026-02-22T16:53:17"/>
    <n v="2.0002659999999999"/>
    <d v="2026-02-22T16:53:17"/>
    <m/>
    <n v="4.1864350000000004"/>
    <m/>
    <m/>
    <m/>
    <m/>
    <m/>
    <n v="20.433133530103078"/>
    <x v="3"/>
    <x v="1"/>
    <x v="1"/>
    <n v="189"/>
    <n v="33"/>
    <n v="0.17460317460317459"/>
    <n v="0.17460317460317459"/>
    <n v="1"/>
  </r>
  <r>
    <n v="1209249011"/>
    <s v="38.193.791/0001-96"/>
    <s v=" SUPER BOX MINIMERCADO LTDA"/>
    <x v="0"/>
    <s v="Pipebot"/>
    <x v="37"/>
    <m/>
    <m/>
    <m/>
    <m/>
    <m/>
    <d v="2025-09-18T20:57:34"/>
    <d v="2025-09-18T20:57:44"/>
    <n v="1.16E-4"/>
    <m/>
    <m/>
    <m/>
    <m/>
    <m/>
    <m/>
    <m/>
    <m/>
    <m/>
    <m/>
    <m/>
    <m/>
    <m/>
    <m/>
    <n v="174.14874276620685"/>
    <x v="0"/>
    <x v="4"/>
    <x v="0"/>
    <n v="197"/>
    <n v="149"/>
    <n v="0.75634517766497467"/>
    <n v="0.75634517766497467"/>
    <n v="1"/>
  </r>
  <r>
    <n v="1176661569"/>
    <s v="60.199.755/0001-99"/>
    <s v=" Tânia de Santana Ribeiro"/>
    <x v="0"/>
    <s v="Pipebot"/>
    <x v="38"/>
    <m/>
    <m/>
    <m/>
    <m/>
    <m/>
    <m/>
    <m/>
    <m/>
    <m/>
    <m/>
    <m/>
    <m/>
    <m/>
    <m/>
    <m/>
    <m/>
    <m/>
    <m/>
    <m/>
    <m/>
    <m/>
    <m/>
    <n v="226.35732401620771"/>
    <x v="0"/>
    <x v="5"/>
    <x v="0"/>
    <n v="177"/>
    <n v="130"/>
    <n v="0.7344632768361582"/>
    <n v="0.7344632768361582"/>
    <n v="1"/>
  </r>
  <r>
    <n v="1185365172"/>
    <s v="50.782.809/0001-90"/>
    <s v=" Vinicius Rossi de Oliveira"/>
    <x v="0"/>
    <s v="Pipebot"/>
    <x v="39"/>
    <m/>
    <m/>
    <m/>
    <m/>
    <m/>
    <m/>
    <m/>
    <m/>
    <m/>
    <m/>
    <m/>
    <m/>
    <m/>
    <m/>
    <m/>
    <m/>
    <m/>
    <m/>
    <m/>
    <m/>
    <m/>
    <m/>
    <n v="212.14818468750309"/>
    <x v="0"/>
    <x v="5"/>
    <x v="0"/>
    <n v="177"/>
    <n v="130"/>
    <n v="0.7344632768361582"/>
    <n v="0.7344632768361582"/>
    <n v="1"/>
  </r>
  <r>
    <n v="1250990861"/>
    <s v="45.106.775/0001-84"/>
    <s v=" Vitor Araújo de Souza "/>
    <x v="0"/>
    <s v="Pipebot"/>
    <x v="40"/>
    <m/>
    <m/>
    <d v="2025-11-20T15:03:27"/>
    <d v="2025-11-21T15:04:08"/>
    <n v="1.000475"/>
    <d v="2025-11-25T15:05:52"/>
    <d v="2025-12-01T13:12:13"/>
    <n v="5.9210760000000002"/>
    <d v="2025-12-01T13:12:13"/>
    <d v="2025-12-01T13:18:15"/>
    <n v="4.1900000000000001E-3"/>
    <d v="2025-11-21T15:04:08"/>
    <d v="2025-11-23T15:05:04"/>
    <n v="2.0006370000000002"/>
    <d v="2025-11-23T15:05:04"/>
    <d v="2025-11-25T15:05:52"/>
    <n v="2.0005440000000001"/>
    <m/>
    <m/>
    <m/>
    <m/>
    <m/>
    <n v="112.3726986111069"/>
    <x v="0"/>
    <x v="0"/>
    <x v="0"/>
    <n v="131"/>
    <n v="87"/>
    <n v="0.66412213740458015"/>
    <n v="0.66412213740458015"/>
    <n v="1"/>
  </r>
  <r>
    <n v="1191610856"/>
    <s v="46.865.793/0001-02"/>
    <s v=" Walmir Fagundes"/>
    <x v="0"/>
    <s v="Pipebot"/>
    <x v="41"/>
    <m/>
    <m/>
    <m/>
    <m/>
    <m/>
    <m/>
    <m/>
    <m/>
    <m/>
    <m/>
    <m/>
    <m/>
    <m/>
    <m/>
    <m/>
    <m/>
    <m/>
    <m/>
    <m/>
    <m/>
    <m/>
    <m/>
    <n v="202.14871246527764"/>
    <x v="0"/>
    <x v="2"/>
    <x v="0"/>
    <n v="146"/>
    <n v="112"/>
    <n v="0.76712328767123283"/>
    <n v="0.76712328767123283"/>
    <n v="1"/>
  </r>
  <r>
    <n v="1191610495"/>
    <s v="52.362.840/0001-06"/>
    <s v="3MFT CONERCIO VAREJISTA DE MERCADORIAS"/>
    <x v="0"/>
    <s v="Pipebot"/>
    <x v="42"/>
    <m/>
    <m/>
    <d v="2025-08-22T20:26:36"/>
    <d v="2025-08-23T20:26:49"/>
    <n v="1.0001389999999999"/>
    <d v="2025-08-27T20:27:54"/>
    <d v="2025-08-28T17:07:33"/>
    <n v="0.86085599999999995"/>
    <d v="2025-08-28T17:07:33"/>
    <d v="2025-08-28T17:07:43"/>
    <n v="1.16E-4"/>
    <d v="2025-08-23T20:26:49"/>
    <d v="2025-08-25T20:27:02"/>
    <n v="2.0001500000000001"/>
    <d v="2025-08-25T20:27:02"/>
    <d v="2025-08-27T20:27:54"/>
    <n v="2.0006020000000002"/>
    <m/>
    <m/>
    <m/>
    <m/>
    <m/>
    <n v="202.14891003471712"/>
    <x v="0"/>
    <x v="2"/>
    <x v="0"/>
    <n v="146"/>
    <n v="112"/>
    <n v="0.76712328767123283"/>
    <n v="0.76712328767123283"/>
    <n v="1"/>
  </r>
  <r>
    <n v="1206100754"/>
    <s v="41.390.095/0001-84"/>
    <s v="41.390.095 Laís Zanetti"/>
    <x v="0"/>
    <s v="Pipebot"/>
    <x v="43"/>
    <m/>
    <m/>
    <d v="2025-09-15T20:26:33"/>
    <d v="2025-09-16T20:26:50"/>
    <n v="1.000197"/>
    <m/>
    <m/>
    <m/>
    <m/>
    <m/>
    <m/>
    <d v="2025-09-16T20:26:50"/>
    <d v="2025-09-17T20:33:25"/>
    <n v="1.0045599999999999"/>
    <m/>
    <m/>
    <m/>
    <m/>
    <m/>
    <m/>
    <m/>
    <m/>
    <n v="178.14877554398117"/>
    <x v="0"/>
    <x v="4"/>
    <x v="0"/>
    <n v="197"/>
    <n v="149"/>
    <n v="0.75634517766497467"/>
    <n v="0.75634517766497467"/>
    <n v="1"/>
  </r>
  <r>
    <n v="1270228308"/>
    <s v="44.274.121/0001-05"/>
    <s v=" SMART SHOP COMERCIAL "/>
    <x v="0"/>
    <s v="Pipebot"/>
    <x v="44"/>
    <m/>
    <m/>
    <d v="2026-01-01T20:16:39"/>
    <d v="2026-01-02T20:16:58"/>
    <n v="1.000208"/>
    <d v="2026-01-06T20:18:58"/>
    <d v="2026-01-16T12:02:07"/>
    <n v="9.654954"/>
    <m/>
    <m/>
    <m/>
    <d v="2026-01-02T20:16:58"/>
    <d v="2026-01-04T20:18:15"/>
    <n v="2.0008910000000002"/>
    <d v="2026-01-04T20:18:15"/>
    <d v="2026-01-06T20:18:58"/>
    <n v="2.0004979999999999"/>
    <m/>
    <m/>
    <m/>
    <m/>
    <m/>
    <n v="70.155610775473178"/>
    <x v="0"/>
    <x v="7"/>
    <x v="0"/>
    <n v="207"/>
    <n v="140"/>
    <n v="0.67632850241545894"/>
    <n v="0.67632850241545894"/>
    <n v="1"/>
  </r>
  <r>
    <n v="1264088990"/>
    <s v="45.704.395/0001-41"/>
    <s v="45.704.395/0001-41"/>
    <x v="0"/>
    <s v="Pipebot"/>
    <x v="45"/>
    <m/>
    <m/>
    <d v="2025-12-18T15:07:52"/>
    <d v="2025-12-19T15:08:22"/>
    <n v="1.0003470000000001"/>
    <d v="2025-12-23T15:10:14"/>
    <d v="2026-01-14T18:00:35"/>
    <n v="22.118299"/>
    <m/>
    <m/>
    <m/>
    <d v="2025-12-19T15:08:22"/>
    <d v="2025-12-21T15:09:18"/>
    <n v="2.000648"/>
    <d v="2025-12-21T15:09:18"/>
    <d v="2025-12-23T15:10:14"/>
    <n v="2.000648"/>
    <m/>
    <m/>
    <m/>
    <m/>
    <m/>
    <n v="84.369823067128891"/>
    <x v="0"/>
    <x v="7"/>
    <x v="0"/>
    <n v="207"/>
    <n v="140"/>
    <n v="0.67632850241545894"/>
    <n v="0.67632850241545894"/>
    <n v="1"/>
  </r>
  <r>
    <n v="1213260428"/>
    <s v="60.497.563/0001-69"/>
    <s v="60497563 Bruno Felipe Sá de Souza"/>
    <x v="0"/>
    <s v="Pipebot"/>
    <x v="46"/>
    <m/>
    <m/>
    <d v="2025-09-26T15:29:08"/>
    <d v="2025-09-27T15:29:50"/>
    <n v="1.000486"/>
    <d v="2025-10-01T15:31:30"/>
    <d v="2025-10-07T20:11:08"/>
    <n v="6.1941899999999999"/>
    <m/>
    <m/>
    <m/>
    <d v="2025-09-27T15:29:50"/>
    <d v="2025-09-29T15:30:43"/>
    <n v="2.0006020000000002"/>
    <d v="2025-09-29T15:30:43"/>
    <d v="2025-10-01T15:31:30"/>
    <n v="2.0005440000000001"/>
    <m/>
    <m/>
    <m/>
    <m/>
    <m/>
    <n v="167.35523846063734"/>
    <x v="0"/>
    <x v="4"/>
    <x v="0"/>
    <n v="197"/>
    <n v="149"/>
    <n v="0.75634517766497467"/>
    <n v="0.75634517766497467"/>
    <n v="1"/>
  </r>
  <r>
    <n v="1255064412"/>
    <s v="62.769.640/0001-18"/>
    <s v="62.769.640 NAGELA RODRIGUES OLIVEIRA"/>
    <x v="5"/>
    <s v="Pipebot"/>
    <x v="47"/>
    <m/>
    <m/>
    <d v="2025-11-28T19:04:14"/>
    <d v="2026-02-16T12:52:02"/>
    <n v="3.8673730000000002"/>
    <d v="2025-12-03T19:06:10"/>
    <d v="2026-02-13T16:03:56"/>
    <n v="71.873437999999993"/>
    <m/>
    <m/>
    <m/>
    <d v="2025-11-29T19:05:10"/>
    <d v="2026-02-18T13:22:38"/>
    <n v="4.0215860000000001"/>
    <d v="2025-12-01T19:05:39"/>
    <d v="2025-12-03T19:06:10"/>
    <n v="10.333079"/>
    <m/>
    <m/>
    <m/>
    <m/>
    <m/>
    <n v="104.20587290509138"/>
    <x v="0"/>
    <x v="0"/>
    <x v="0"/>
    <n v="131"/>
    <n v="87"/>
    <n v="0.66412213740458015"/>
    <n v="0.66412213740458015"/>
    <n v="1"/>
  </r>
  <r>
    <n v="1290573007"/>
    <s v="62.896.681/0001-75"/>
    <s v="62.896.681 CIRLENE FONSECA SILVA"/>
    <x v="0"/>
    <s v="Pipebot"/>
    <x v="48"/>
    <m/>
    <m/>
    <d v="2026-02-12T19:07:18"/>
    <d v="2026-02-13T16:01:17"/>
    <n v="0.87082199999999998"/>
    <m/>
    <m/>
    <m/>
    <m/>
    <m/>
    <m/>
    <d v="2026-02-13T16:01:17"/>
    <d v="2026-02-15T16:01:53"/>
    <n v="2.0004050000000002"/>
    <d v="2026-02-15T16:01:53"/>
    <d v="2026-02-16T17:32:09"/>
    <n v="1.0626850000000001"/>
    <m/>
    <m/>
    <m/>
    <m/>
    <m/>
    <n v="28.203829270831193"/>
    <x v="5"/>
    <x v="3"/>
    <x v="1"/>
    <n v="223"/>
    <n v="147"/>
    <n v="0.65919282511210764"/>
    <n v="0.65919282511210764"/>
    <n v="1"/>
  </r>
  <r>
    <n v="1236648063"/>
    <s v="61.359.480/0001-76"/>
    <s v="A M Bogalhão Conveniência Ltda"/>
    <x v="0"/>
    <s v="Pipebot"/>
    <x v="49"/>
    <m/>
    <m/>
    <d v="2025-10-29T19:10:56"/>
    <d v="2025-10-30T19:11:35"/>
    <n v="1.00044"/>
    <d v="2025-11-03T19:12:14"/>
    <d v="2025-11-04T19:10:15"/>
    <n v="0.99861100000000003"/>
    <m/>
    <m/>
    <m/>
    <d v="2025-10-30T19:11:35"/>
    <d v="2025-11-01T19:11:59"/>
    <n v="2.0002779999999998"/>
    <d v="2025-11-01T19:11:59"/>
    <d v="2025-11-03T19:12:14"/>
    <n v="2.0001739999999999"/>
    <m/>
    <m/>
    <m/>
    <m/>
    <m/>
    <n v="134.20095888889045"/>
    <x v="0"/>
    <x v="6"/>
    <x v="0"/>
    <n v="195"/>
    <n v="132"/>
    <n v="0.67692307692307696"/>
    <n v="0.67692307692307696"/>
    <n v="1"/>
  </r>
  <r>
    <n v="1251287900"/>
    <m/>
    <s v="A&amp;J MARKET STORE COMERCIO DE PRODUTOS ALIMENTICIO"/>
    <x v="0"/>
    <s v="Samuel Alexandre Bittencourt Vieira "/>
    <x v="50"/>
    <m/>
    <m/>
    <m/>
    <m/>
    <m/>
    <m/>
    <m/>
    <m/>
    <m/>
    <m/>
    <m/>
    <m/>
    <m/>
    <m/>
    <m/>
    <m/>
    <m/>
    <m/>
    <m/>
    <m/>
    <m/>
    <m/>
    <n v="112.15167450231093"/>
    <x v="0"/>
    <x v="0"/>
    <x v="0"/>
    <n v="131"/>
    <n v="87"/>
    <n v="0.66412213740458015"/>
    <n v="0.66412213740458015"/>
    <n v="1"/>
  </r>
  <r>
    <n v="1272141232"/>
    <s v="58.751.570/0001-01"/>
    <s v="58.751.570 AILTON DA ROCHA LYRA JUNIOR"/>
    <x v="5"/>
    <s v="Pipebot"/>
    <x v="51"/>
    <m/>
    <m/>
    <d v="2026-01-06T19:09:00"/>
    <d v="2026-02-19T12:35:50"/>
    <n v="1.9642010000000001"/>
    <d v="2026-01-11T19:09:58"/>
    <d v="2026-02-18T13:27:32"/>
    <n v="37.762199000000003"/>
    <m/>
    <m/>
    <m/>
    <d v="2026-01-07T19:09:10"/>
    <d v="2026-02-20T13:02:58"/>
    <n v="3.0193059999999998"/>
    <d v="2026-01-09T19:09:50"/>
    <d v="2026-01-11T19:09:58"/>
    <n v="8.3464700000000001"/>
    <m/>
    <m/>
    <m/>
    <m/>
    <m/>
    <n v="65.202355555557006"/>
    <x v="0"/>
    <x v="7"/>
    <x v="0"/>
    <n v="207"/>
    <n v="140"/>
    <n v="0.67632850241545894"/>
    <n v="0.67632850241545894"/>
    <n v="1"/>
  </r>
  <r>
    <n v="1299196137"/>
    <s v="61.215.907/0001-62"/>
    <s v="AB Honest Ltda"/>
    <x v="7"/>
    <s v="Pipebot"/>
    <x v="52"/>
    <m/>
    <m/>
    <m/>
    <m/>
    <m/>
    <m/>
    <m/>
    <m/>
    <m/>
    <m/>
    <m/>
    <m/>
    <m/>
    <m/>
    <m/>
    <m/>
    <m/>
    <m/>
    <m/>
    <m/>
    <m/>
    <m/>
    <n v="8.0798375694430433"/>
    <x v="4"/>
    <x v="1"/>
    <x v="1"/>
    <n v="189"/>
    <n v="33"/>
    <n v="0.17460317460317459"/>
    <n v="0.17460317460317459"/>
    <n v="1"/>
  </r>
  <r>
    <n v="1178243236"/>
    <s v="51.153.982/0001-92"/>
    <s v="ABNER LUIZ DE ANDRADE BARBOSA"/>
    <x v="0"/>
    <s v="Pipebot"/>
    <x v="53"/>
    <m/>
    <m/>
    <d v="2025-07-31T20:24:35"/>
    <d v="2025-08-01T20:25:32"/>
    <n v="1.0006600000000001"/>
    <m/>
    <m/>
    <m/>
    <m/>
    <m/>
    <m/>
    <d v="2025-08-01T20:25:32"/>
    <d v="2025-08-03T20:26:19"/>
    <n v="2.0005320000000002"/>
    <d v="2025-08-03T20:26:19"/>
    <d v="2025-08-05T20:11:45"/>
    <n v="1.989873"/>
    <m/>
    <m/>
    <m/>
    <m/>
    <m/>
    <n v="224.15029568287719"/>
    <x v="0"/>
    <x v="5"/>
    <x v="0"/>
    <n v="177"/>
    <n v="130"/>
    <n v="0.7344632768361582"/>
    <n v="0.7344632768361582"/>
    <n v="1"/>
  </r>
  <r>
    <n v="1258573507"/>
    <s v="55.928.000/0001-48"/>
    <s v="Acam Comercio Ltda"/>
    <x v="0"/>
    <s v="Pipebot"/>
    <x v="54"/>
    <m/>
    <m/>
    <d v="2025-12-08T13:05:45"/>
    <d v="2025-12-09T13:06:33"/>
    <n v="1.0005440000000001"/>
    <d v="2025-12-13T13:07:38"/>
    <d v="2025-12-20T10:59:53"/>
    <n v="6.9112850000000003"/>
    <m/>
    <m/>
    <m/>
    <d v="2025-12-09T13:06:33"/>
    <d v="2025-12-11T13:07:30"/>
    <n v="2.0006599999999999"/>
    <d v="2025-12-11T13:07:30"/>
    <d v="2025-12-13T13:07:38"/>
    <n v="2.0000810000000002"/>
    <m/>
    <m/>
    <m/>
    <m/>
    <m/>
    <n v="94.454559479170712"/>
    <x v="0"/>
    <x v="0"/>
    <x v="0"/>
    <n v="131"/>
    <n v="87"/>
    <n v="0.66412213740458015"/>
    <n v="0.66412213740458015"/>
    <n v="1"/>
  </r>
  <r>
    <n v="1228790595"/>
    <s v="46.315.803/0001-36"/>
    <s v="Adelcio Guimarães reis "/>
    <x v="0"/>
    <s v="Pipebot"/>
    <x v="55"/>
    <m/>
    <m/>
    <d v="2025-10-20T14:17:46"/>
    <d v="2025-10-21T14:18:00"/>
    <n v="1.0001500000000001"/>
    <d v="2025-10-25T14:19:53"/>
    <d v="2025-10-27T17:50:09"/>
    <n v="2.1460189999999999"/>
    <m/>
    <m/>
    <m/>
    <d v="2025-10-21T14:18:00"/>
    <d v="2025-10-23T14:19:10"/>
    <n v="2.0007990000000002"/>
    <d v="2025-10-23T14:19:10"/>
    <d v="2025-10-25T14:19:53"/>
    <n v="2.000486"/>
    <m/>
    <m/>
    <m/>
    <m/>
    <m/>
    <n v="143.40515681712714"/>
    <x v="0"/>
    <x v="6"/>
    <x v="0"/>
    <n v="195"/>
    <n v="132"/>
    <n v="0.67692307692307696"/>
    <n v="0.67692307692307696"/>
    <n v="1"/>
  </r>
  <r>
    <n v="1295812539"/>
    <s v="52.157.349/0001-35"/>
    <s v="ADEMIR MARTINS DA SILVA"/>
    <x v="0"/>
    <s v="Pipebot"/>
    <x v="56"/>
    <m/>
    <m/>
    <m/>
    <m/>
    <m/>
    <m/>
    <m/>
    <m/>
    <m/>
    <m/>
    <m/>
    <m/>
    <m/>
    <m/>
    <m/>
    <m/>
    <m/>
    <m/>
    <m/>
    <m/>
    <m/>
    <m/>
    <n v="16.370783692116675"/>
    <x v="1"/>
    <x v="1"/>
    <x v="1"/>
    <n v="189"/>
    <n v="33"/>
    <n v="0.17460317460317459"/>
    <n v="0.17460317460317459"/>
    <n v="1"/>
  </r>
  <r>
    <n v="1278221355"/>
    <s v="52.157.349/0001-35"/>
    <s v="Ademir Martins da Silva "/>
    <x v="0"/>
    <s v="Pipebot"/>
    <x v="57"/>
    <m/>
    <m/>
    <m/>
    <m/>
    <m/>
    <m/>
    <m/>
    <m/>
    <m/>
    <m/>
    <m/>
    <m/>
    <m/>
    <m/>
    <m/>
    <m/>
    <m/>
    <m/>
    <m/>
    <m/>
    <m/>
    <m/>
    <n v="50.370543518518389"/>
    <x v="2"/>
    <x v="3"/>
    <x v="1"/>
    <n v="223"/>
    <n v="147"/>
    <n v="0.65919282511210764"/>
    <n v="0.65919282511210764"/>
    <n v="1"/>
  </r>
  <r>
    <n v="1216185876"/>
    <s v="59.563.651/0001-32"/>
    <s v="Adilson Costa Figueiredo "/>
    <x v="0"/>
    <s v="Pipebot"/>
    <x v="58"/>
    <m/>
    <m/>
    <m/>
    <m/>
    <m/>
    <m/>
    <m/>
    <m/>
    <m/>
    <m/>
    <m/>
    <m/>
    <m/>
    <m/>
    <m/>
    <m/>
    <m/>
    <m/>
    <m/>
    <m/>
    <m/>
    <m/>
    <n v="162.14855109954078"/>
    <x v="0"/>
    <x v="4"/>
    <x v="0"/>
    <n v="197"/>
    <n v="149"/>
    <n v="0.75634517766497467"/>
    <n v="0.75634517766497467"/>
    <n v="1"/>
  </r>
  <r>
    <n v="1297055967"/>
    <s v="40.104.172/0001-20"/>
    <s v="Adorai chales "/>
    <x v="6"/>
    <s v="Pipebot"/>
    <x v="59"/>
    <m/>
    <m/>
    <d v="2026-02-26T19:07:37"/>
    <m/>
    <n v="9.3147999999999995E-2"/>
    <m/>
    <m/>
    <m/>
    <m/>
    <m/>
    <m/>
    <m/>
    <m/>
    <m/>
    <m/>
    <m/>
    <m/>
    <m/>
    <m/>
    <m/>
    <m/>
    <m/>
    <n v="14.203386469896941"/>
    <x v="1"/>
    <x v="1"/>
    <x v="1"/>
    <n v="189"/>
    <n v="33"/>
    <n v="0.17460317460317459"/>
    <n v="0.17460317460317459"/>
    <n v="1"/>
  </r>
  <r>
    <n v="1176236096"/>
    <s v="47.339.335/0001-00"/>
    <s v="Adriana Covizzi Queiroz"/>
    <x v="0"/>
    <s v="Pipebot"/>
    <x v="60"/>
    <m/>
    <m/>
    <m/>
    <m/>
    <m/>
    <m/>
    <m/>
    <m/>
    <m/>
    <m/>
    <m/>
    <m/>
    <m/>
    <m/>
    <m/>
    <m/>
    <m/>
    <m/>
    <m/>
    <m/>
    <m/>
    <m/>
    <n v="227.14837516203988"/>
    <x v="0"/>
    <x v="5"/>
    <x v="0"/>
    <n v="177"/>
    <n v="130"/>
    <n v="0.7344632768361582"/>
    <n v="0.7344632768361582"/>
    <n v="1"/>
  </r>
  <r>
    <n v="1295384122"/>
    <s v="47.339.335/0001-00"/>
    <s v="Adriana Covizzi Queiroz "/>
    <x v="5"/>
    <s v="Pipebot"/>
    <x v="61"/>
    <m/>
    <m/>
    <d v="2026-02-23T19:06:47"/>
    <d v="2026-02-24T19:07:08"/>
    <n v="1.0002310000000001"/>
    <m/>
    <m/>
    <m/>
    <m/>
    <m/>
    <m/>
    <d v="2026-02-24T19:07:08"/>
    <d v="2026-02-26T19:07:39"/>
    <n v="2.000359"/>
    <d v="2026-02-26T19:07:39"/>
    <m/>
    <n v="9.3124999999999999E-2"/>
    <m/>
    <m/>
    <m/>
    <m/>
    <m/>
    <n v="17.204139259258227"/>
    <x v="1"/>
    <x v="1"/>
    <x v="1"/>
    <n v="189"/>
    <n v="33"/>
    <n v="0.17460317460317459"/>
    <n v="0.17460317460317459"/>
    <n v="1"/>
  </r>
  <r>
    <n v="1208156295"/>
    <s v="49.673.531/0001-34"/>
    <s v="Adriana dos Santos Garcia "/>
    <x v="0"/>
    <s v="Pipebot"/>
    <x v="62"/>
    <m/>
    <m/>
    <d v="2025-09-11T20:35:07"/>
    <d v="2025-09-11T20:35:08"/>
    <n v="0"/>
    <m/>
    <m/>
    <m/>
    <m/>
    <m/>
    <m/>
    <m/>
    <m/>
    <m/>
    <m/>
    <m/>
    <m/>
    <m/>
    <m/>
    <m/>
    <m/>
    <m/>
    <n v="175.35658961805893"/>
    <x v="0"/>
    <x v="4"/>
    <x v="0"/>
    <n v="197"/>
    <n v="149"/>
    <n v="0.75634517766497467"/>
    <n v="0.75634517766497467"/>
    <n v="1"/>
  </r>
  <r>
    <n v="1264835476"/>
    <s v="61.215.907/0001-62"/>
    <s v="AB Honest Ltda"/>
    <x v="0"/>
    <s v="Pipebot"/>
    <x v="63"/>
    <m/>
    <m/>
    <d v="2025-12-19T22:08:27"/>
    <d v="2025-12-20T11:51:50"/>
    <n v="0.57179400000000002"/>
    <m/>
    <m/>
    <m/>
    <m/>
    <m/>
    <m/>
    <m/>
    <m/>
    <m/>
    <m/>
    <m/>
    <m/>
    <m/>
    <m/>
    <m/>
    <m/>
    <m/>
    <n v="83.077881388890091"/>
    <x v="0"/>
    <x v="7"/>
    <x v="0"/>
    <n v="207"/>
    <n v="140"/>
    <n v="0.67632850241545894"/>
    <n v="0.67632850241545894"/>
    <n v="1"/>
  </r>
  <r>
    <n v="1214523699"/>
    <s v="57.980.966/0001-50"/>
    <s v="Adriano de Carvalho"/>
    <x v="0"/>
    <s v="Pipebot"/>
    <x v="64"/>
    <m/>
    <m/>
    <m/>
    <m/>
    <m/>
    <m/>
    <m/>
    <m/>
    <m/>
    <m/>
    <m/>
    <m/>
    <m/>
    <m/>
    <m/>
    <m/>
    <m/>
    <m/>
    <m/>
    <m/>
    <m/>
    <m/>
    <n v="164.35652531249798"/>
    <x v="0"/>
    <x v="4"/>
    <x v="0"/>
    <n v="197"/>
    <n v="149"/>
    <n v="0.75634517766497467"/>
    <n v="0.75634517766497467"/>
    <n v="1"/>
  </r>
  <r>
    <n v="1169121174"/>
    <s v="27.512.032/0001-22"/>
    <s v="Adriano Kanto"/>
    <x v="8"/>
    <s v="Pipebot"/>
    <x v="65"/>
    <m/>
    <m/>
    <d v="2025-07-15T00:23:59"/>
    <d v="2025-07-16T00:24:58"/>
    <n v="1.000683"/>
    <d v="2025-07-20T00:25:33"/>
    <d v="2025-10-29T19:37:15"/>
    <n v="101.79978"/>
    <m/>
    <m/>
    <m/>
    <d v="2025-07-16T00:24:59"/>
    <d v="2025-07-18T00:25:11"/>
    <n v="2.0001389999999999"/>
    <d v="2025-07-18T00:25:12"/>
    <d v="2025-07-20T00:25:33"/>
    <n v="2.0002430000000002"/>
    <m/>
    <m/>
    <m/>
    <m/>
    <m/>
    <n v="240.98369342592196"/>
    <x v="0"/>
    <x v="5"/>
    <x v="0"/>
    <n v="177"/>
    <n v="130"/>
    <n v="0.7344632768361582"/>
    <n v="0.7344632768361582"/>
    <n v="1"/>
  </r>
  <r>
    <n v="1246033454"/>
    <s v="32.336.084/0001-25"/>
    <s v="Adriano moraes da silva"/>
    <x v="5"/>
    <s v="Pipebot"/>
    <x v="66"/>
    <m/>
    <m/>
    <d v="2025-11-11T13:04:53"/>
    <d v="2026-02-16T12:51:16"/>
    <n v="3.867604"/>
    <d v="2025-11-16T13:06:19"/>
    <d v="2026-02-13T16:02:12"/>
    <n v="89.122140999999999"/>
    <m/>
    <m/>
    <m/>
    <d v="2025-11-12T13:05:11"/>
    <d v="2026-02-18T13:21:10"/>
    <n v="4.0214119999999998"/>
    <d v="2025-11-14T13:06:08"/>
    <d v="2025-11-16T13:06:19"/>
    <n v="10.333854000000001"/>
    <m/>
    <m/>
    <m/>
    <m/>
    <m/>
    <n v="121.45564813657256"/>
    <x v="0"/>
    <x v="6"/>
    <x v="0"/>
    <n v="195"/>
    <n v="132"/>
    <n v="0.67692307692307696"/>
    <n v="0.67692307692307696"/>
    <n v="1"/>
  </r>
  <r>
    <n v="1208428624"/>
    <s v="52.805.283/0001-42"/>
    <s v="Adriano Rosa de Campos"/>
    <x v="8"/>
    <s v="Pipebot"/>
    <x v="67"/>
    <m/>
    <m/>
    <d v="2025-09-18T20:27:42"/>
    <d v="2025-09-19T20:27:47"/>
    <n v="1.0000579999999999"/>
    <d v="2025-09-23T20:28:14"/>
    <d v="2025-11-03T18:43:38"/>
    <n v="40.927349999999997"/>
    <m/>
    <m/>
    <m/>
    <d v="2025-09-19T20:27:47"/>
    <d v="2025-09-21T20:27:54"/>
    <n v="2.0000689999999999"/>
    <d v="2025-09-21T20:27:54"/>
    <d v="2025-09-23T20:28:14"/>
    <n v="2.0002309999999999"/>
    <m/>
    <m/>
    <m/>
    <m/>
    <m/>
    <n v="175.14763762732036"/>
    <x v="0"/>
    <x v="4"/>
    <x v="0"/>
    <n v="197"/>
    <n v="149"/>
    <n v="0.75634517766497467"/>
    <n v="0.75634517766497467"/>
    <n v="1"/>
  </r>
  <r>
    <n v="1280731490"/>
    <s v="52.469.232/0001-97"/>
    <s v="Adson Gabriel de Oliveira Tabosa (adaptador e leitor) - Acionado sofia 03/02; Thomaz ajudando a encontrar o código."/>
    <x v="0"/>
    <s v="Pipebot"/>
    <x v="68"/>
    <m/>
    <m/>
    <d v="2026-01-26T22:06:23"/>
    <d v="2026-01-27T22:06:45"/>
    <n v="1.0002549999999999"/>
    <d v="2026-01-31T22:07:57"/>
    <d v="2026-02-06T19:51:01"/>
    <n v="5.9049069999999997"/>
    <m/>
    <m/>
    <m/>
    <d v="2026-01-27T22:06:45"/>
    <d v="2026-01-29T22:07:10"/>
    <n v="2.000289"/>
    <d v="2026-01-29T22:07:10"/>
    <d v="2026-01-31T22:07:57"/>
    <n v="2.0005320000000002"/>
    <m/>
    <m/>
    <m/>
    <m/>
    <m/>
    <n v="45.079325462967972"/>
    <x v="2"/>
    <x v="3"/>
    <x v="1"/>
    <n v="223"/>
    <n v="147"/>
    <n v="0.65919282511210764"/>
    <n v="0.65919282511210764"/>
    <n v="1"/>
  </r>
  <r>
    <n v="1296527686"/>
    <s v="51.675.456/0001-92"/>
    <s v="Aecio Lima Ribeiro"/>
    <x v="0"/>
    <s v="Pipebot"/>
    <x v="69"/>
    <m/>
    <m/>
    <m/>
    <m/>
    <m/>
    <m/>
    <m/>
    <m/>
    <m/>
    <m/>
    <m/>
    <m/>
    <m/>
    <m/>
    <m/>
    <m/>
    <m/>
    <m/>
    <m/>
    <m/>
    <m/>
    <m/>
    <n v="15.204535601849784"/>
    <x v="1"/>
    <x v="1"/>
    <x v="1"/>
    <n v="189"/>
    <n v="33"/>
    <n v="0.17460317460317459"/>
    <n v="0.17460317460317459"/>
    <n v="1"/>
  </r>
  <r>
    <n v="1275292011"/>
    <s v="47.441.581/0001-60"/>
    <s v="Adriana Tomoe Kojima Matsuyama"/>
    <x v="0"/>
    <s v="Pipebot"/>
    <x v="70"/>
    <m/>
    <m/>
    <m/>
    <m/>
    <m/>
    <d v="2026-01-07T14:15:59"/>
    <d v="2026-01-21T12:33:00"/>
    <n v="13.928483999999999"/>
    <m/>
    <m/>
    <m/>
    <m/>
    <m/>
    <m/>
    <m/>
    <m/>
    <m/>
    <m/>
    <m/>
    <m/>
    <m/>
    <m/>
    <n v="57.204812534720986"/>
    <x v="2"/>
    <x v="7"/>
    <x v="0"/>
    <n v="207"/>
    <n v="140"/>
    <n v="0.67632850241545894"/>
    <n v="0.67632850241545894"/>
    <n v="1"/>
  </r>
  <r>
    <n v="1180440765"/>
    <s v="59.432.480/0001-02"/>
    <s v="AFFONSO IMPORIO COMERCIO DE ALIMENTOS LTDA"/>
    <x v="0"/>
    <s v="Pipebot"/>
    <x v="71"/>
    <m/>
    <m/>
    <m/>
    <m/>
    <m/>
    <m/>
    <m/>
    <m/>
    <m/>
    <m/>
    <m/>
    <m/>
    <m/>
    <m/>
    <m/>
    <m/>
    <m/>
    <m/>
    <m/>
    <m/>
    <m/>
    <m/>
    <n v="220.15001800926257"/>
    <x v="0"/>
    <x v="5"/>
    <x v="0"/>
    <n v="177"/>
    <n v="130"/>
    <n v="0.7344632768361582"/>
    <n v="0.7344632768361582"/>
    <n v="1"/>
  </r>
  <r>
    <n v="1200310992"/>
    <s v="45.966.030/0001-95"/>
    <s v="AGILE SHOP "/>
    <x v="8"/>
    <s v="Pipebot"/>
    <x v="72"/>
    <m/>
    <m/>
    <d v="2025-09-05T20:26:41"/>
    <d v="2025-09-06T20:27:24"/>
    <n v="1.0004980000000001"/>
    <d v="2025-09-10T20:27:57"/>
    <d v="2025-10-29T19:37:19"/>
    <n v="48.964826000000002"/>
    <m/>
    <m/>
    <m/>
    <d v="2025-09-06T20:27:24"/>
    <d v="2025-09-08T20:27:30"/>
    <n v="2.0000580000000001"/>
    <d v="2025-09-08T20:27:30"/>
    <d v="2025-09-10T20:27:57"/>
    <n v="2.0003129999999998"/>
    <m/>
    <m/>
    <m/>
    <m/>
    <m/>
    <n v="188.14831575231801"/>
    <x v="0"/>
    <x v="2"/>
    <x v="0"/>
    <n v="146"/>
    <n v="112"/>
    <n v="0.76712328767123283"/>
    <n v="0.76712328767123283"/>
    <n v="1"/>
  </r>
  <r>
    <n v="1276528057"/>
    <s v="38.708.016/0001-26"/>
    <s v="Airton das Dores Júnior "/>
    <x v="0"/>
    <s v="Pipebot"/>
    <x v="73"/>
    <m/>
    <m/>
    <m/>
    <m/>
    <m/>
    <m/>
    <m/>
    <m/>
    <m/>
    <m/>
    <m/>
    <m/>
    <m/>
    <m/>
    <m/>
    <m/>
    <m/>
    <m/>
    <m/>
    <m/>
    <m/>
    <m/>
    <n v="52.203392488430836"/>
    <x v="2"/>
    <x v="3"/>
    <x v="1"/>
    <n v="223"/>
    <n v="147"/>
    <n v="0.65919282511210764"/>
    <n v="0.65919282511210764"/>
    <n v="1"/>
  </r>
  <r>
    <n v="1281067045"/>
    <s v="48.416.250/0001-33"/>
    <s v="Akiminimarket e convivência Ltda - adaptador - acionado 03/02"/>
    <x v="5"/>
    <s v="Pipebot"/>
    <x v="74"/>
    <m/>
    <m/>
    <d v="2026-01-27T15:04:59"/>
    <d v="2026-02-20T16:51:30"/>
    <n v="2.1765629999999998"/>
    <d v="2026-02-01T15:06:42"/>
    <d v="2026-02-19T12:37:51"/>
    <n v="17.896632"/>
    <m/>
    <m/>
    <m/>
    <d v="2026-01-28T15:05:36"/>
    <d v="2026-02-23T13:32:47"/>
    <n v="4.8622690000000004"/>
    <d v="2026-01-30T15:05:59"/>
    <d v="2026-02-01T15:06:42"/>
    <n v="5.3261570000000003"/>
    <m/>
    <m/>
    <m/>
    <m/>
    <m/>
    <n v="44.371987418977369"/>
    <x v="2"/>
    <x v="3"/>
    <x v="1"/>
    <n v="223"/>
    <n v="147"/>
    <n v="0.65919282511210764"/>
    <n v="0.65919282511210764"/>
    <n v="1"/>
  </r>
  <r>
    <n v="1276525783"/>
    <s v="41.929.212/0001-35"/>
    <s v="Alaide Soares Da Silva Vicente"/>
    <x v="0"/>
    <s v="Pipebot"/>
    <x v="75"/>
    <m/>
    <m/>
    <m/>
    <m/>
    <m/>
    <m/>
    <m/>
    <m/>
    <m/>
    <m/>
    <m/>
    <m/>
    <m/>
    <m/>
    <m/>
    <m/>
    <m/>
    <m/>
    <m/>
    <m/>
    <m/>
    <m/>
    <n v="52.204851249996864"/>
    <x v="2"/>
    <x v="3"/>
    <x v="1"/>
    <n v="223"/>
    <n v="147"/>
    <n v="0.65919282511210764"/>
    <n v="0.65919282511210764"/>
    <n v="1"/>
  </r>
  <r>
    <n v="1289082589"/>
    <s v="43.989.894/0001-05"/>
    <s v="Alan Delon barra de Almeida "/>
    <x v="0"/>
    <s v="Pipebot"/>
    <x v="76"/>
    <m/>
    <m/>
    <m/>
    <m/>
    <m/>
    <m/>
    <m/>
    <m/>
    <m/>
    <m/>
    <m/>
    <m/>
    <m/>
    <m/>
    <m/>
    <m/>
    <m/>
    <m/>
    <m/>
    <m/>
    <m/>
    <m/>
    <n v="30.080037789346534"/>
    <x v="2"/>
    <x v="3"/>
    <x v="1"/>
    <n v="223"/>
    <n v="147"/>
    <n v="0.65919282511210764"/>
    <n v="0.65919282511210764"/>
    <n v="1"/>
  </r>
  <r>
    <n v="1193297298"/>
    <s v="60.818.320/0001-85"/>
    <s v="Alba Léia Silva Rocha"/>
    <x v="0"/>
    <s v="Pipebot"/>
    <x v="77"/>
    <m/>
    <m/>
    <d v="2025-08-25T20:25:10"/>
    <d v="2025-08-26T20:25:59"/>
    <n v="1.000567"/>
    <m/>
    <m/>
    <m/>
    <m/>
    <m/>
    <m/>
    <d v="2025-08-26T20:25:59"/>
    <d v="2025-08-28T17:24:04"/>
    <n v="1.8736569999999999"/>
    <m/>
    <m/>
    <m/>
    <m/>
    <m/>
    <m/>
    <m/>
    <m/>
    <n v="199.14984065971657"/>
    <x v="0"/>
    <x v="2"/>
    <x v="0"/>
    <n v="146"/>
    <n v="112"/>
    <n v="0.76712328767123283"/>
    <n v="0.76712328767123283"/>
    <n v="1"/>
  </r>
  <r>
    <n v="1173791016"/>
    <s v="20.503.855/0001-42"/>
    <s v="Alder Lázaro Silva Coelho"/>
    <x v="0"/>
    <s v="Pipebot"/>
    <x v="78"/>
    <m/>
    <m/>
    <d v="2025-07-23T20:27:27"/>
    <d v="2025-07-24T16:29:17"/>
    <n v="0.83459499999999998"/>
    <m/>
    <m/>
    <m/>
    <m/>
    <m/>
    <m/>
    <m/>
    <m/>
    <m/>
    <m/>
    <m/>
    <m/>
    <m/>
    <m/>
    <m/>
    <m/>
    <m/>
    <n v="232.14838581019285"/>
    <x v="0"/>
    <x v="5"/>
    <x v="0"/>
    <n v="177"/>
    <n v="130"/>
    <n v="0.7344632768361582"/>
    <n v="0.7344632768361582"/>
    <n v="1"/>
  </r>
  <r>
    <n v="1260053054"/>
    <s v="20.503.855/0001-42"/>
    <s v="ALDER LAZARO SILVA COELHO"/>
    <x v="0"/>
    <s v="Pipebot"/>
    <x v="79"/>
    <m/>
    <m/>
    <m/>
    <m/>
    <m/>
    <m/>
    <m/>
    <m/>
    <m/>
    <m/>
    <m/>
    <m/>
    <m/>
    <m/>
    <m/>
    <m/>
    <m/>
    <m/>
    <m/>
    <m/>
    <m/>
    <m/>
    <n v="92.079889479173289"/>
    <x v="0"/>
    <x v="0"/>
    <x v="0"/>
    <n v="131"/>
    <n v="87"/>
    <n v="0.66412213740458015"/>
    <n v="0.66412213740458015"/>
    <n v="1"/>
  </r>
  <r>
    <n v="1276683496"/>
    <s v="59.442.415/0001-68"/>
    <s v="ALESSANDER ANTUNES PEIXOTO"/>
    <x v="0"/>
    <s v="Pipebot"/>
    <x v="80"/>
    <m/>
    <m/>
    <d v="2026-01-19T22:07:02"/>
    <d v="2026-01-20T22:07:47"/>
    <n v="1.000521"/>
    <d v="2026-01-24T22:09:15"/>
    <d v="2026-01-30T16:01:10"/>
    <n v="5.7443869999999997"/>
    <m/>
    <m/>
    <m/>
    <d v="2026-01-20T22:07:47"/>
    <d v="2026-01-22T22:08:36"/>
    <n v="2.000556"/>
    <d v="2026-01-22T22:08:36"/>
    <d v="2026-01-24T22:09:15"/>
    <n v="2.0004400000000002"/>
    <m/>
    <m/>
    <m/>
    <m/>
    <m/>
    <n v="52.078521759256546"/>
    <x v="2"/>
    <x v="3"/>
    <x v="1"/>
    <n v="223"/>
    <n v="147"/>
    <n v="0.65919282511210764"/>
    <n v="0.65919282511210764"/>
    <n v="1"/>
  </r>
  <r>
    <n v="1282564574"/>
    <s v="59.442.415/0001-68"/>
    <s v="ALESSANDER ANTUNES PEIXOTO"/>
    <x v="0"/>
    <s v="Pipebot"/>
    <x v="81"/>
    <m/>
    <m/>
    <m/>
    <m/>
    <m/>
    <m/>
    <m/>
    <m/>
    <m/>
    <m/>
    <m/>
    <m/>
    <m/>
    <m/>
    <m/>
    <m/>
    <m/>
    <m/>
    <m/>
    <m/>
    <m/>
    <m/>
    <n v="42.078375682882324"/>
    <x v="2"/>
    <x v="3"/>
    <x v="1"/>
    <n v="223"/>
    <n v="147"/>
    <n v="0.65919282511210764"/>
    <n v="0.65919282511210764"/>
    <n v="1"/>
  </r>
  <r>
    <n v="1283062067"/>
    <s v="59.442.415/0001-68"/>
    <s v="ALESSANDER ANTUNES PEIXOTO"/>
    <x v="0"/>
    <s v="Pipebot"/>
    <x v="82"/>
    <m/>
    <m/>
    <m/>
    <m/>
    <m/>
    <m/>
    <m/>
    <m/>
    <m/>
    <m/>
    <m/>
    <m/>
    <m/>
    <m/>
    <m/>
    <m/>
    <m/>
    <m/>
    <m/>
    <m/>
    <m/>
    <m/>
    <n v="41.080039131949889"/>
    <x v="2"/>
    <x v="3"/>
    <x v="1"/>
    <n v="223"/>
    <n v="147"/>
    <n v="0.65919282511210764"/>
    <n v="0.65919282511210764"/>
    <n v="1"/>
  </r>
  <r>
    <n v="1270932003"/>
    <s v="54.683.432/0001-73"/>
    <s v="afael Ivair Darini - migração rápida"/>
    <x v="0"/>
    <s v="Pipebot"/>
    <x v="83"/>
    <m/>
    <m/>
    <m/>
    <m/>
    <m/>
    <m/>
    <m/>
    <m/>
    <m/>
    <m/>
    <m/>
    <m/>
    <m/>
    <m/>
    <m/>
    <m/>
    <m/>
    <m/>
    <m/>
    <m/>
    <m/>
    <m/>
    <n v="68.508041365741519"/>
    <x v="0"/>
    <x v="7"/>
    <x v="0"/>
    <n v="207"/>
    <n v="140"/>
    <n v="0.67632850241545894"/>
    <n v="0.67632850241545894"/>
    <n v="1"/>
  </r>
  <r>
    <n v="1269008938"/>
    <s v="48.202.687/0001-74"/>
    <s v="Alessandra dos Santos"/>
    <x v="0"/>
    <s v="Pipebot"/>
    <x v="84"/>
    <m/>
    <m/>
    <m/>
    <m/>
    <m/>
    <m/>
    <m/>
    <m/>
    <m/>
    <m/>
    <m/>
    <m/>
    <m/>
    <m/>
    <m/>
    <m/>
    <m/>
    <m/>
    <m/>
    <m/>
    <m/>
    <m/>
    <n v="72.361526874999981"/>
    <x v="0"/>
    <x v="7"/>
    <x v="0"/>
    <n v="207"/>
    <n v="140"/>
    <n v="0.67632850241545894"/>
    <n v="0.67632850241545894"/>
    <n v="1"/>
  </r>
  <r>
    <n v="1269009130"/>
    <s v="48.202.687/0001-74"/>
    <s v="Alessandra dos Santos "/>
    <x v="0"/>
    <s v="Pipebot"/>
    <x v="85"/>
    <m/>
    <m/>
    <m/>
    <m/>
    <m/>
    <m/>
    <m/>
    <m/>
    <m/>
    <m/>
    <m/>
    <m/>
    <m/>
    <m/>
    <m/>
    <m/>
    <m/>
    <m/>
    <m/>
    <m/>
    <m/>
    <m/>
    <n v="72.361285347222292"/>
    <x v="0"/>
    <x v="7"/>
    <x v="0"/>
    <n v="207"/>
    <n v="140"/>
    <n v="0.67632850241545894"/>
    <n v="0.67632850241545894"/>
    <n v="1"/>
  </r>
  <r>
    <n v="1285963418"/>
    <s v="57.409.640/0001-77"/>
    <s v="Alessandra Duarte da Silva Deana"/>
    <x v="0"/>
    <s v="Pipebot"/>
    <x v="86"/>
    <m/>
    <m/>
    <d v="2026-02-05T19:06:21"/>
    <d v="2026-02-06T19:07:26"/>
    <n v="1.0007520000000001"/>
    <d v="2026-02-10T13:05:43"/>
    <d v="2026-02-10T20:21:29"/>
    <n v="0.30260399999999998"/>
    <m/>
    <m/>
    <m/>
    <d v="2026-02-06T19:07:26"/>
    <d v="2026-02-08T19:08:03"/>
    <n v="2.0004279999999999"/>
    <d v="2026-02-08T19:08:03"/>
    <d v="2026-02-10T13:05:43"/>
    <n v="1.7483679999999999"/>
    <m/>
    <m/>
    <m/>
    <m/>
    <m/>
    <n v="35.204541979168425"/>
    <x v="2"/>
    <x v="3"/>
    <x v="1"/>
    <n v="223"/>
    <n v="147"/>
    <n v="0.65919282511210764"/>
    <n v="0.65919282511210764"/>
    <n v="1"/>
  </r>
  <r>
    <n v="1280327402"/>
    <s v="57.409.640/0001-77"/>
    <s v="Alessandra Duarte da Silva Deana"/>
    <x v="0"/>
    <s v="Pipebot"/>
    <x v="87"/>
    <m/>
    <m/>
    <m/>
    <m/>
    <m/>
    <m/>
    <m/>
    <m/>
    <m/>
    <m/>
    <m/>
    <m/>
    <m/>
    <m/>
    <m/>
    <m/>
    <m/>
    <m/>
    <m/>
    <m/>
    <m/>
    <m/>
    <n v="45.453197465278208"/>
    <x v="2"/>
    <x v="3"/>
    <x v="1"/>
    <n v="223"/>
    <n v="147"/>
    <n v="0.65919282511210764"/>
    <n v="0.65919282511210764"/>
    <n v="1"/>
  </r>
  <r>
    <n v="1280487640"/>
    <s v="51.246.209/0001-70"/>
    <s v="Alessandra Francisca da Rocha Silva"/>
    <x v="0"/>
    <s v="Pipebot"/>
    <x v="88"/>
    <m/>
    <m/>
    <m/>
    <m/>
    <m/>
    <m/>
    <m/>
    <m/>
    <m/>
    <m/>
    <m/>
    <m/>
    <m/>
    <m/>
    <m/>
    <m/>
    <m/>
    <m/>
    <m/>
    <m/>
    <m/>
    <m/>
    <n v="45.30819783564948"/>
    <x v="2"/>
    <x v="3"/>
    <x v="1"/>
    <n v="223"/>
    <n v="147"/>
    <n v="0.65919282511210764"/>
    <n v="0.65919282511210764"/>
    <n v="1"/>
  </r>
  <r>
    <n v="1210303820"/>
    <s v="58.968.515/0001-60"/>
    <s v="Alessandro Custodio do Prado ME"/>
    <x v="0"/>
    <s v="Pipebot"/>
    <x v="89"/>
    <m/>
    <m/>
    <m/>
    <m/>
    <m/>
    <m/>
    <m/>
    <m/>
    <m/>
    <m/>
    <m/>
    <m/>
    <m/>
    <m/>
    <m/>
    <m/>
    <m/>
    <m/>
    <m/>
    <m/>
    <m/>
    <m/>
    <n v="171.35676567129849"/>
    <x v="0"/>
    <x v="4"/>
    <x v="0"/>
    <n v="197"/>
    <n v="149"/>
    <n v="0.75634517766497467"/>
    <n v="0.75634517766497467"/>
    <n v="1"/>
  </r>
  <r>
    <n v="1212890924"/>
    <s v="46.237.696/0001-75"/>
    <s v="Alessio Arroio Capati Júnior"/>
    <x v="0"/>
    <s v="Pipebot"/>
    <x v="90"/>
    <m/>
    <m/>
    <m/>
    <m/>
    <m/>
    <d v="2025-09-18T20:45:47"/>
    <d v="2025-10-06T20:31:16"/>
    <n v="17.989906999999999"/>
    <m/>
    <m/>
    <m/>
    <m/>
    <m/>
    <m/>
    <m/>
    <m/>
    <m/>
    <m/>
    <m/>
    <m/>
    <m/>
    <m/>
    <n v="167.98085890046059"/>
    <x v="0"/>
    <x v="4"/>
    <x v="0"/>
    <n v="197"/>
    <n v="149"/>
    <n v="0.75634517766497467"/>
    <n v="0.75634517766497467"/>
    <n v="1"/>
  </r>
  <r>
    <n v="1219402089"/>
    <s v="46.237.696/0001-75"/>
    <s v="Alessio Arroio Capati Júnior"/>
    <x v="0"/>
    <s v="Pipebot"/>
    <x v="91"/>
    <m/>
    <m/>
    <d v="2025-10-06T20:26:38"/>
    <d v="2025-10-06T20:31:02"/>
    <n v="3.0439999999999998E-3"/>
    <m/>
    <m/>
    <m/>
    <m/>
    <m/>
    <m/>
    <m/>
    <m/>
    <m/>
    <m/>
    <m/>
    <m/>
    <m/>
    <m/>
    <m/>
    <m/>
    <m/>
    <n v="157.148646712958"/>
    <x v="0"/>
    <x v="4"/>
    <x v="0"/>
    <n v="197"/>
    <n v="149"/>
    <n v="0.75634517766497467"/>
    <n v="0.75634517766497467"/>
    <n v="1"/>
  </r>
  <r>
    <n v="1210539830"/>
    <s v="46.237.696/0001-75"/>
    <s v="Alessio Arroio Capati Júnior"/>
    <x v="0"/>
    <s v="Pipebot"/>
    <x v="92"/>
    <m/>
    <m/>
    <m/>
    <m/>
    <m/>
    <m/>
    <m/>
    <m/>
    <m/>
    <m/>
    <m/>
    <m/>
    <m/>
    <m/>
    <m/>
    <m/>
    <m/>
    <m/>
    <m/>
    <m/>
    <m/>
    <m/>
    <n v="171.14843107639172"/>
    <x v="0"/>
    <x v="4"/>
    <x v="0"/>
    <n v="197"/>
    <n v="149"/>
    <n v="0.75634517766497467"/>
    <n v="0.75634517766497467"/>
    <n v="1"/>
  </r>
  <r>
    <n v="1186589400"/>
    <s v="50.948.458/0001-45"/>
    <s v="Alex"/>
    <x v="8"/>
    <s v="Pipebot"/>
    <x v="93"/>
    <m/>
    <m/>
    <d v="2025-08-14T20:26:51"/>
    <d v="2025-08-15T20:27:34"/>
    <n v="1.0004980000000001"/>
    <d v="2025-08-19T20:29:05"/>
    <d v="2025-10-29T19:37:22"/>
    <n v="70.964085999999995"/>
    <m/>
    <m/>
    <m/>
    <d v="2025-08-15T20:27:34"/>
    <d v="2025-08-17T20:27:54"/>
    <n v="2.0002309999999999"/>
    <d v="2025-08-17T20:27:55"/>
    <d v="2025-08-19T20:29:05"/>
    <n v="2.00081"/>
    <m/>
    <m/>
    <m/>
    <m/>
    <m/>
    <n v="210.14821731481061"/>
    <x v="0"/>
    <x v="5"/>
    <x v="0"/>
    <n v="177"/>
    <n v="130"/>
    <n v="0.7344632768361582"/>
    <n v="0.7344632768361582"/>
    <n v="1"/>
  </r>
  <r>
    <n v="1285248472"/>
    <s v="47.877.574/0001-06"/>
    <s v="Alex Alexandre Oliveira Bezerra. Acionado Sofia (máquina. 18/02). comentários"/>
    <x v="5"/>
    <s v="Pipebot"/>
    <x v="94"/>
    <m/>
    <m/>
    <d v="2026-02-04T19:06:36"/>
    <d v="2026-02-20T16:52:15"/>
    <n v="2.1741670000000002"/>
    <d v="2026-02-09T19:08:16"/>
    <d v="2026-02-19T12:42:06"/>
    <n v="9.7318289999999994"/>
    <m/>
    <m/>
    <m/>
    <d v="2026-02-05T19:07:16"/>
    <d v="2026-02-23T13:32:47"/>
    <n v="4.8615159999999999"/>
    <d v="2026-02-07T19:07:19"/>
    <d v="2026-02-09T19:08:16"/>
    <n v="5.3263189999999998"/>
    <m/>
    <m/>
    <m/>
    <m/>
    <m/>
    <n v="36.20407791667094"/>
    <x v="2"/>
    <x v="3"/>
    <x v="1"/>
    <n v="223"/>
    <n v="147"/>
    <n v="0.65919282511210764"/>
    <n v="0.65919282511210764"/>
    <n v="1"/>
  </r>
  <r>
    <n v="1229667185"/>
    <s v="52.113.043/0001-87"/>
    <s v="Alex Antunes da Silva Regio"/>
    <x v="0"/>
    <s v="Pipebot"/>
    <x v="95"/>
    <m/>
    <m/>
    <d v="2025-10-21T15:26:58"/>
    <d v="2025-10-22T15:27:50"/>
    <n v="1.000602"/>
    <d v="2025-10-26T15:29:16"/>
    <d v="2025-11-17T18:47:54"/>
    <n v="22.137927999999999"/>
    <m/>
    <m/>
    <m/>
    <d v="2025-10-22T15:27:51"/>
    <d v="2025-10-24T15:28:39"/>
    <n v="2.000556"/>
    <d v="2025-10-24T15:28:39"/>
    <d v="2025-10-26T15:29:16"/>
    <n v="2.0004279999999999"/>
    <m/>
    <m/>
    <m/>
    <m/>
    <m/>
    <n v="142.35665803241136"/>
    <x v="0"/>
    <x v="6"/>
    <x v="0"/>
    <n v="195"/>
    <n v="132"/>
    <n v="0.67692307692307696"/>
    <n v="0.67692307692307696"/>
    <n v="1"/>
  </r>
  <r>
    <n v="1180442384"/>
    <s v="23.089.787/0001-05"/>
    <s v="Alex Nery de Andrade"/>
    <x v="5"/>
    <s v="Pipebot"/>
    <x v="96"/>
    <m/>
    <m/>
    <d v="2025-08-04T20:26:40"/>
    <d v="2026-02-12T12:25:30"/>
    <n v="1.6456710000000001"/>
    <d v="2025-08-09T20:27:39"/>
    <d v="2026-02-11T20:56:03"/>
    <n v="186.019711"/>
    <m/>
    <m/>
    <m/>
    <d v="2025-08-05T20:26:59"/>
    <d v="2026-02-13T15:59:23"/>
    <n v="3.1486459999999998"/>
    <d v="2025-08-07T20:27:09"/>
    <d v="2025-08-09T20:27:39"/>
    <n v="15.224201000000001"/>
    <m/>
    <m/>
    <m/>
    <m/>
    <m/>
    <n v="220.14877149306267"/>
    <x v="0"/>
    <x v="5"/>
    <x v="0"/>
    <n v="177"/>
    <n v="130"/>
    <n v="0.7344632768361582"/>
    <n v="0.7344632768361582"/>
    <n v="1"/>
  </r>
  <r>
    <n v="1227482992"/>
    <s v="62.508.449/0001-12"/>
    <s v="Alex Rodrigues Ramires"/>
    <x v="0"/>
    <s v="Pipebot"/>
    <x v="97"/>
    <m/>
    <m/>
    <m/>
    <m/>
    <m/>
    <m/>
    <m/>
    <m/>
    <m/>
    <m/>
    <m/>
    <m/>
    <m/>
    <m/>
    <m/>
    <m/>
    <m/>
    <m/>
    <m/>
    <m/>
    <m/>
    <m/>
    <n v="145.35698799769307"/>
    <x v="0"/>
    <x v="6"/>
    <x v="0"/>
    <n v="195"/>
    <n v="132"/>
    <n v="0.67692307692307696"/>
    <n v="0.67692307692307696"/>
    <n v="1"/>
  </r>
  <r>
    <n v="1294340376"/>
    <s v="48.349.045/0003-64"/>
    <s v="Alex Sandro Baptista de Campos"/>
    <x v="5"/>
    <s v="Pipebot"/>
    <x v="98"/>
    <m/>
    <m/>
    <d v="2026-02-20T15:04:53"/>
    <d v="2026-02-21T15:05:32"/>
    <n v="1.00044"/>
    <m/>
    <m/>
    <m/>
    <m/>
    <m/>
    <m/>
    <d v="2026-02-21T15:05:32"/>
    <d v="2026-02-23T13:32:47"/>
    <n v="1.9355899999999999"/>
    <d v="2026-02-23T13:32:48"/>
    <m/>
    <n v="3.3256480000000002"/>
    <m/>
    <m/>
    <m/>
    <m/>
    <m/>
    <n v="20.371918101853225"/>
    <x v="3"/>
    <x v="1"/>
    <x v="1"/>
    <n v="189"/>
    <n v="33"/>
    <n v="0.17460317460317459"/>
    <n v="0.17460317460317459"/>
    <n v="1"/>
  </r>
  <r>
    <n v="1270772637"/>
    <s v="48.202.687/0001-74"/>
    <s v="Alessandra dos Santos - ler comentário"/>
    <x v="0"/>
    <s v="Pipebot"/>
    <x v="99"/>
    <m/>
    <m/>
    <d v="2026-01-02T19:30:52"/>
    <d v="2026-02-19T12:35:22"/>
    <n v="1.9648030000000001"/>
    <d v="2026-01-07T19:32:08"/>
    <d v="2026-02-18T13:26:25"/>
    <n v="41.746018999999997"/>
    <d v="2026-02-23T19:26:25"/>
    <d v="2026-02-24T20:12:20"/>
    <n v="1.031887"/>
    <d v="2026-01-03T19:31:14"/>
    <d v="2026-02-20T13:02:55"/>
    <n v="3.0194329999999998"/>
    <d v="2026-01-05T19:31:40"/>
    <d v="2026-02-23T19:26:25"/>
    <n v="5.2666320000000004"/>
    <m/>
    <m/>
    <m/>
    <m/>
    <m/>
    <n v="69.187385092591285"/>
    <x v="0"/>
    <x v="7"/>
    <x v="0"/>
    <n v="207"/>
    <n v="140"/>
    <n v="0.67632850241545894"/>
    <n v="0.67632850241545894"/>
    <n v="1"/>
  </r>
  <r>
    <n v="1224667509"/>
    <s v="42.826.121/0001-37"/>
    <s v="Alex Sandro Benati"/>
    <x v="0"/>
    <s v="Pipebot"/>
    <x v="100"/>
    <m/>
    <m/>
    <d v="2025-10-14T19:58:20"/>
    <d v="2025-10-15T19:58:39"/>
    <n v="1.000208"/>
    <m/>
    <m/>
    <m/>
    <m/>
    <m/>
    <m/>
    <d v="2025-10-15T19:58:39"/>
    <d v="2025-10-17T19:57:00"/>
    <n v="1.9988429999999999"/>
    <m/>
    <m/>
    <m/>
    <m/>
    <m/>
    <m/>
    <m/>
    <m/>
    <n v="149.16816452545754"/>
    <x v="0"/>
    <x v="4"/>
    <x v="0"/>
    <n v="197"/>
    <n v="149"/>
    <n v="0.75634517766497467"/>
    <n v="0.75634517766497467"/>
    <n v="1"/>
  </r>
  <r>
    <n v="1268644768"/>
    <s v="47.817.252/0001-71"/>
    <s v="Alex Sandro Baptista de Campos"/>
    <x v="0"/>
    <s v="Pipebot"/>
    <x v="101"/>
    <m/>
    <m/>
    <d v="2025-12-29T19:09:22"/>
    <d v="2025-12-30T19:09:59"/>
    <n v="1.0004169999999999"/>
    <d v="2026-01-03T19:11:13"/>
    <d v="2026-01-09T13:13:16"/>
    <n v="5.7514240000000001"/>
    <m/>
    <m/>
    <m/>
    <d v="2025-12-30T19:09:59"/>
    <d v="2026-01-01T19:10:36"/>
    <n v="2.0004170000000001"/>
    <d v="2026-01-01T19:10:36"/>
    <d v="2026-01-03T19:11:13"/>
    <n v="2.0004170000000001"/>
    <m/>
    <m/>
    <m/>
    <m/>
    <m/>
    <n v="73.202399560177582"/>
    <x v="0"/>
    <x v="7"/>
    <x v="0"/>
    <n v="207"/>
    <n v="140"/>
    <n v="0.67632850241545894"/>
    <n v="0.67632850241545894"/>
    <n v="1"/>
  </r>
  <r>
    <n v="1172781629"/>
    <s v="50.902.265/0001-53"/>
    <s v="Alexandre felix"/>
    <x v="0"/>
    <s v="Pipebot"/>
    <x v="102"/>
    <m/>
    <m/>
    <d v="2025-07-21T20:27:06"/>
    <d v="2025-07-22T10:46:50"/>
    <n v="0.59702500000000003"/>
    <m/>
    <m/>
    <m/>
    <m/>
    <m/>
    <m/>
    <m/>
    <m/>
    <m/>
    <m/>
    <m/>
    <m/>
    <m/>
    <m/>
    <m/>
    <m/>
    <m/>
    <n v="234.14817547453276"/>
    <x v="0"/>
    <x v="5"/>
    <x v="0"/>
    <n v="177"/>
    <n v="130"/>
    <n v="0.7344632768361582"/>
    <n v="0.7344632768361582"/>
    <n v="1"/>
  </r>
  <r>
    <n v="1185318169"/>
    <s v="47.340.915/0001-00"/>
    <s v="Alexandre Lolo dos Santos "/>
    <x v="0"/>
    <s v="Pipebot"/>
    <x v="103"/>
    <m/>
    <m/>
    <m/>
    <m/>
    <m/>
    <m/>
    <m/>
    <m/>
    <m/>
    <m/>
    <m/>
    <m/>
    <m/>
    <m/>
    <m/>
    <m/>
    <m/>
    <m/>
    <m/>
    <m/>
    <m/>
    <m/>
    <n v="212.19273118056299"/>
    <x v="0"/>
    <x v="5"/>
    <x v="0"/>
    <n v="177"/>
    <n v="130"/>
    <n v="0.7344632768361582"/>
    <n v="0.7344632768361582"/>
    <n v="1"/>
  </r>
  <r>
    <n v="1250988523"/>
    <s v="47.340.915/0001-00"/>
    <s v="Alexandre Lolo dos Santos "/>
    <x v="5"/>
    <s v="Pipebot"/>
    <x v="104"/>
    <m/>
    <m/>
    <d v="2025-11-20T15:02:27"/>
    <d v="2026-02-16T12:51:25"/>
    <n v="3.8678699999999999"/>
    <d v="2025-11-25T15:04:13"/>
    <d v="2026-02-13T16:02:21"/>
    <n v="80.040369999999996"/>
    <m/>
    <m/>
    <m/>
    <d v="2025-11-21T15:03:08"/>
    <d v="2026-02-18T13:21:20"/>
    <n v="4.0214350000000003"/>
    <d v="2025-11-23T15:04:05"/>
    <d v="2025-11-25T15:04:13"/>
    <n v="10.333704000000001"/>
    <m/>
    <m/>
    <m/>
    <m/>
    <m/>
    <n v="112.37425548610918"/>
    <x v="0"/>
    <x v="0"/>
    <x v="0"/>
    <n v="131"/>
    <n v="87"/>
    <n v="0.66412213740458015"/>
    <n v="0.66412213740458015"/>
    <n v="1"/>
  </r>
  <r>
    <n v="1202316795"/>
    <s v="43.674.690/0001-77"/>
    <s v="Alexandre Silveira trindade"/>
    <x v="8"/>
    <s v="Pipebot"/>
    <x v="105"/>
    <m/>
    <m/>
    <d v="2025-09-09T15:23:34"/>
    <d v="2025-09-10T15:23:48"/>
    <n v="1.0001500000000001"/>
    <d v="2025-09-14T15:24:52"/>
    <d v="2025-10-29T19:37:28"/>
    <n v="45.175404999999998"/>
    <m/>
    <m/>
    <m/>
    <d v="2025-09-10T15:23:48"/>
    <d v="2025-09-12T15:24:39"/>
    <n v="2.0005790000000001"/>
    <d v="2025-09-12T15:24:39"/>
    <d v="2025-09-14T15:24:52"/>
    <n v="2.0001389999999999"/>
    <m/>
    <m/>
    <m/>
    <m/>
    <m/>
    <n v="184.3588069328689"/>
    <x v="0"/>
    <x v="2"/>
    <x v="0"/>
    <n v="146"/>
    <n v="112"/>
    <n v="0.76712328767123283"/>
    <n v="0.76712328767123283"/>
    <n v="1"/>
  </r>
  <r>
    <n v="1194684038"/>
    <s v="43.674.690/0001-77"/>
    <s v="Alexandre Silveira trindade "/>
    <x v="8"/>
    <s v="Pipebot"/>
    <x v="106"/>
    <m/>
    <m/>
    <d v="2025-08-27T20:24:53"/>
    <d v="2025-08-28T20:25:00"/>
    <n v="1.0000690000000001"/>
    <d v="2025-09-01T20:25:23"/>
    <d v="2025-10-29T19:37:30"/>
    <n v="57.966748000000003"/>
    <m/>
    <m/>
    <m/>
    <d v="2025-08-28T20:25:00"/>
    <d v="2025-08-30T20:25:17"/>
    <n v="2.0001850000000001"/>
    <d v="2025-08-30T20:25:17"/>
    <d v="2025-09-01T20:25:23"/>
    <n v="2.0000689999999999"/>
    <m/>
    <m/>
    <m/>
    <m/>
    <m/>
    <n v="197.15003718750086"/>
    <x v="0"/>
    <x v="2"/>
    <x v="0"/>
    <n v="146"/>
    <n v="112"/>
    <n v="0.76712328767123283"/>
    <n v="0.76712328767123283"/>
    <n v="1"/>
  </r>
  <r>
    <n v="1267727457"/>
    <s v="27.938.895/0001-66"/>
    <s v="ALEXANDRE BORBA TELLES"/>
    <x v="0"/>
    <s v="Pipebot"/>
    <x v="107"/>
    <m/>
    <m/>
    <d v="2025-12-26T19:08:21"/>
    <d v="2025-12-27T19:08:49"/>
    <n v="1.000324"/>
    <d v="2025-12-31T19:10:16"/>
    <d v="2026-01-12T14:27:50"/>
    <n v="11.803853999999999"/>
    <m/>
    <m/>
    <m/>
    <d v="2025-12-27T19:08:49"/>
    <d v="2025-12-29T19:09:24"/>
    <n v="2.000394"/>
    <d v="2025-12-29T19:09:24"/>
    <d v="2025-12-31T19:10:16"/>
    <n v="2.0006020000000002"/>
    <m/>
    <m/>
    <m/>
    <m/>
    <m/>
    <n v="76.203002233800362"/>
    <x v="0"/>
    <x v="7"/>
    <x v="0"/>
    <n v="207"/>
    <n v="140"/>
    <n v="0.67632850241545894"/>
    <n v="0.67632850241545894"/>
    <n v="1"/>
  </r>
  <r>
    <n v="1181214585"/>
    <s v="23.178.641/0001-36"/>
    <s v="Alexsandra Irailde Galdino da Silva "/>
    <x v="0"/>
    <s v="Pipebot"/>
    <x v="108"/>
    <m/>
    <m/>
    <m/>
    <m/>
    <m/>
    <m/>
    <m/>
    <m/>
    <m/>
    <m/>
    <m/>
    <m/>
    <m/>
    <m/>
    <m/>
    <m/>
    <m/>
    <m/>
    <m/>
    <m/>
    <m/>
    <m/>
    <n v="219.19285290509288"/>
    <x v="0"/>
    <x v="5"/>
    <x v="0"/>
    <n v="177"/>
    <n v="130"/>
    <n v="0.7344632768361582"/>
    <n v="0.7344632768361582"/>
    <n v="1"/>
  </r>
  <r>
    <n v="1252885665"/>
    <s v="46.758.574/0001-24"/>
    <s v="Aline Bueno Pereira Teixeira"/>
    <x v="5"/>
    <s v="Pipebot"/>
    <x v="109"/>
    <m/>
    <m/>
    <d v="2025-11-24T19:06:55"/>
    <d v="2026-02-16T12:51:54"/>
    <n v="3.8668870000000002"/>
    <d v="2025-11-29T19:08:11"/>
    <d v="2026-02-13T16:03:47"/>
    <n v="75.871932999999999"/>
    <m/>
    <m/>
    <m/>
    <d v="2025-11-25T19:07:06"/>
    <d v="2026-02-18T13:22:19"/>
    <n v="4.0213190000000001"/>
    <d v="2025-11-27T19:07:25"/>
    <d v="2025-11-29T19:08:11"/>
    <n v="10.333472"/>
    <m/>
    <m/>
    <m/>
    <m/>
    <m/>
    <n v="108.204170138888"/>
    <x v="0"/>
    <x v="0"/>
    <x v="0"/>
    <n v="131"/>
    <n v="87"/>
    <n v="0.66412213740458015"/>
    <n v="0.66412213740458015"/>
    <n v="1"/>
  </r>
  <r>
    <n v="1225455154"/>
    <s v="46.758.574/0001-24"/>
    <s v="Aline Bueno Pereira Teixeira"/>
    <x v="0"/>
    <s v="Pipebot"/>
    <x v="110"/>
    <m/>
    <m/>
    <d v="2025-10-15T20:25:21"/>
    <d v="2025-10-16T20:25:49"/>
    <n v="1.000313"/>
    <d v="2025-10-20T20:26:56"/>
    <d v="2025-10-23T13:24:23"/>
    <n v="2.7065630000000001"/>
    <m/>
    <m/>
    <m/>
    <d v="2025-10-16T20:25:49"/>
    <d v="2025-10-18T20:25:54"/>
    <n v="2.0000460000000002"/>
    <d v="2025-10-18T20:25:54"/>
    <d v="2025-10-20T20:26:56"/>
    <n v="2.0007060000000001"/>
    <m/>
    <m/>
    <m/>
    <m/>
    <m/>
    <n v="148.14929871526692"/>
    <x v="0"/>
    <x v="6"/>
    <x v="0"/>
    <n v="195"/>
    <n v="132"/>
    <n v="0.67692307692307696"/>
    <n v="0.67692307692307696"/>
    <n v="1"/>
  </r>
  <r>
    <n v="1216798710"/>
    <m/>
    <s v="Aline DAngelo Ferreira de Melo"/>
    <x v="0"/>
    <s v="Pipebot"/>
    <x v="111"/>
    <m/>
    <m/>
    <d v="2025-10-02T19:53:12"/>
    <d v="2026-02-13T16:00:41"/>
    <n v="2.1479279999999998"/>
    <d v="2025-10-07T19:55:33"/>
    <d v="2026-02-12T12:28:13"/>
    <n v="127.689352"/>
    <d v="2026-02-24T17:00:07"/>
    <d v="2026-02-24T17:00:20"/>
    <n v="1.4999999999999999E-4"/>
    <d v="2025-10-03T19:53:47"/>
    <d v="2026-02-16T12:49:04"/>
    <n v="4.8676159999999999"/>
    <d v="2025-10-05T19:54:46"/>
    <d v="2026-02-24T17:00:05"/>
    <n v="10.174837999999999"/>
    <m/>
    <m/>
    <m/>
    <m/>
    <m/>
    <n v="161.17149630787026"/>
    <x v="0"/>
    <x v="4"/>
    <x v="0"/>
    <n v="197"/>
    <n v="149"/>
    <n v="0.75634517766497467"/>
    <n v="0.75634517766497467"/>
    <n v="1"/>
  </r>
  <r>
    <n v="1256538057"/>
    <s v="60.090.774/0001-82"/>
    <s v="Aline Lima Andrusy"/>
    <x v="0"/>
    <s v="Pipebot"/>
    <x v="112"/>
    <m/>
    <m/>
    <d v="2025-12-02T20:17:40"/>
    <d v="2025-12-03T20:18:00"/>
    <n v="1.0002200000000001"/>
    <d v="2025-12-07T20:18:57"/>
    <d v="2025-12-10T17:36:46"/>
    <n v="2.8873730000000002"/>
    <m/>
    <m/>
    <m/>
    <d v="2025-12-03T20:18:00"/>
    <d v="2025-12-05T20:18:39"/>
    <n v="2.000451"/>
    <d v="2025-12-05T20:18:39"/>
    <d v="2025-12-07T20:18:57"/>
    <n v="2.000197"/>
    <m/>
    <m/>
    <m/>
    <m/>
    <m/>
    <n v="100.15472636574123"/>
    <x v="0"/>
    <x v="0"/>
    <x v="0"/>
    <n v="131"/>
    <n v="87"/>
    <n v="0.66412213740458015"/>
    <n v="0.66412213740458015"/>
    <n v="1"/>
  </r>
  <r>
    <n v="1276527914"/>
    <s v="43.717.793/0005-09"/>
    <s v="Aline Marques Mateus Lima"/>
    <x v="0"/>
    <s v="Pipebot"/>
    <x v="113"/>
    <m/>
    <m/>
    <m/>
    <m/>
    <m/>
    <d v="2026-01-14T17:26:01"/>
    <d v="2026-01-14T17:26:05"/>
    <n v="3.4999999999999997E-5"/>
    <m/>
    <m/>
    <m/>
    <m/>
    <m/>
    <m/>
    <m/>
    <m/>
    <m/>
    <m/>
    <m/>
    <m/>
    <m/>
    <m/>
    <n v="52.203502743046556"/>
    <x v="2"/>
    <x v="3"/>
    <x v="1"/>
    <n v="223"/>
    <n v="147"/>
    <n v="0.65919282511210764"/>
    <n v="0.65919282511210764"/>
    <n v="1"/>
  </r>
  <r>
    <n v="1210539490"/>
    <s v="23.089.787/0001-05"/>
    <s v="Aline Mercattino "/>
    <x v="8"/>
    <s v="Pipebot"/>
    <x v="114"/>
    <m/>
    <m/>
    <d v="2025-09-22T20:25:50"/>
    <d v="2025-09-23T20:26:10"/>
    <n v="1.0002310000000001"/>
    <d v="2025-09-27T20:26:49"/>
    <d v="2025-10-29T19:37:37"/>
    <n v="31.965821999999999"/>
    <m/>
    <m/>
    <m/>
    <d v="2025-09-23T20:26:10"/>
    <d v="2025-09-25T20:26:29"/>
    <n v="2.0002200000000001"/>
    <d v="2025-09-25T20:26:29"/>
    <d v="2025-09-27T20:26:49"/>
    <n v="2.0002200000000001"/>
    <m/>
    <m/>
    <m/>
    <m/>
    <m/>
    <n v="171.14883855324297"/>
    <x v="0"/>
    <x v="4"/>
    <x v="0"/>
    <n v="197"/>
    <n v="149"/>
    <n v="0.75634517766497467"/>
    <n v="0.75634517766497467"/>
    <n v="1"/>
  </r>
  <r>
    <n v="1183423970"/>
    <s v="48.002.361/0001-01"/>
    <s v="Aline Vanso Bortot "/>
    <x v="0"/>
    <s v="Pipebot"/>
    <x v="115"/>
    <m/>
    <m/>
    <d v="2025-08-08T20:26:58"/>
    <d v="2025-08-09T20:27:38"/>
    <n v="1.0004630000000001"/>
    <d v="2025-08-13T20:29:17"/>
    <d v="2025-08-26T13:58:57"/>
    <n v="12.728923999999999"/>
    <m/>
    <m/>
    <m/>
    <d v="2025-08-09T20:27:39"/>
    <d v="2025-08-11T20:28:39"/>
    <n v="2.0006940000000002"/>
    <d v="2025-08-11T20:28:39"/>
    <d v="2025-08-13T20:29:17"/>
    <n v="2.0004279999999999"/>
    <m/>
    <m/>
    <m/>
    <m/>
    <m/>
    <n v="216.14808841435297"/>
    <x v="0"/>
    <x v="5"/>
    <x v="0"/>
    <n v="177"/>
    <n v="130"/>
    <n v="0.7344632768361582"/>
    <n v="0.7344632768361582"/>
    <n v="1"/>
  </r>
  <r>
    <n v="1189844874"/>
    <s v="53.999.956/0001-05"/>
    <s v="Alkxyly Samyr"/>
    <x v="0"/>
    <s v="Pipebot"/>
    <x v="116"/>
    <m/>
    <m/>
    <d v="2025-08-20T20:25:21"/>
    <d v="2025-08-21T20:25:31"/>
    <n v="1.0001040000000001"/>
    <d v="2025-08-23T20:25:50"/>
    <d v="2025-08-27T20:26:25"/>
    <n v="4.0004049999999998"/>
    <d v="2025-08-27T20:26:25"/>
    <d v="2025-08-27T20:26:38"/>
    <n v="1.4999999999999999E-4"/>
    <d v="2025-08-21T20:25:31"/>
    <d v="2025-08-21T20:25:32"/>
    <n v="0"/>
    <d v="2025-08-21T20:25:32"/>
    <d v="2025-08-23T20:25:50"/>
    <n v="2.000197"/>
    <m/>
    <m/>
    <m/>
    <m/>
    <m/>
    <n v="204.1495331944534"/>
    <x v="0"/>
    <x v="2"/>
    <x v="0"/>
    <n v="146"/>
    <n v="112"/>
    <n v="0.76712328767123283"/>
    <n v="0.76712328767123283"/>
    <n v="1"/>
  </r>
  <r>
    <n v="1290454217"/>
    <s v="14.590.318/0001-84"/>
    <s v="All4 Vending - Ramon"/>
    <x v="5"/>
    <s v="Pipebot"/>
    <x v="117"/>
    <m/>
    <m/>
    <d v="2026-02-12T16:57:56"/>
    <d v="2026-02-13T16:01:15"/>
    <n v="0.96062499999999995"/>
    <m/>
    <m/>
    <m/>
    <m/>
    <m/>
    <m/>
    <d v="2026-02-13T16:01:15"/>
    <d v="2026-02-15T16:01:53"/>
    <n v="2.0004279999999999"/>
    <d v="2026-02-15T16:01:53"/>
    <m/>
    <n v="11.22213"/>
    <m/>
    <m/>
    <m/>
    <m/>
    <m/>
    <n v="28.294061250002414"/>
    <x v="5"/>
    <x v="3"/>
    <x v="1"/>
    <n v="223"/>
    <n v="147"/>
    <n v="0.65919282511210764"/>
    <n v="0.65919282511210764"/>
    <n v="1"/>
  </r>
  <r>
    <n v="1208428500"/>
    <s v="42.509.058/0001-05"/>
    <s v="Allan Kardec Martins"/>
    <x v="0"/>
    <s v="Pipebot"/>
    <x v="118"/>
    <m/>
    <m/>
    <m/>
    <m/>
    <m/>
    <m/>
    <m/>
    <m/>
    <m/>
    <m/>
    <m/>
    <m/>
    <m/>
    <m/>
    <m/>
    <m/>
    <m/>
    <m/>
    <m/>
    <m/>
    <m/>
    <m/>
    <n v="175.14768923610973"/>
    <x v="0"/>
    <x v="4"/>
    <x v="0"/>
    <n v="197"/>
    <n v="149"/>
    <n v="0.75634517766497467"/>
    <n v="0.75634517766497467"/>
    <n v="1"/>
  </r>
  <r>
    <n v="1197063091"/>
    <s v="06.217.330/0001-10"/>
    <s v="allisson souto"/>
    <x v="3"/>
    <s v="Pipebot"/>
    <x v="119"/>
    <m/>
    <m/>
    <d v="2025-09-01T15:26:08"/>
    <d v="2026-02-12T12:26:08"/>
    <n v="1.645162"/>
    <d v="2025-09-06T15:28:24"/>
    <d v="2026-02-12T14:12:09"/>
    <n v="158.229005"/>
    <m/>
    <m/>
    <m/>
    <d v="2025-09-02T15:27:08"/>
    <d v="2026-02-12T14:12:04"/>
    <n v="2.0742129999999999"/>
    <d v="2025-09-04T15:28:04"/>
    <d v="2025-09-06T15:28:24"/>
    <n v="2.0002200000000001"/>
    <m/>
    <m/>
    <m/>
    <m/>
    <m/>
    <n v="192.35731909721653"/>
    <x v="0"/>
    <x v="2"/>
    <x v="0"/>
    <n v="146"/>
    <n v="112"/>
    <n v="0.76712328767123283"/>
    <n v="0.76712328767123283"/>
    <n v="1"/>
  </r>
  <r>
    <n v="1171347266"/>
    <s v="49.819.179/0001-00"/>
    <s v="Almir Leandro Dornelas"/>
    <x v="0"/>
    <s v="Pipebot"/>
    <x v="120"/>
    <m/>
    <m/>
    <m/>
    <m/>
    <m/>
    <m/>
    <m/>
    <m/>
    <m/>
    <m/>
    <m/>
    <m/>
    <m/>
    <m/>
    <m/>
    <m/>
    <m/>
    <m/>
    <m/>
    <m/>
    <m/>
    <m/>
    <n v="238.13694263887737"/>
    <x v="0"/>
    <x v="5"/>
    <x v="0"/>
    <n v="177"/>
    <n v="130"/>
    <n v="0.7344632768361582"/>
    <n v="0.7344632768361582"/>
    <n v="1"/>
  </r>
  <r>
    <n v="1303445318"/>
    <s v="49.524.975/0001-08"/>
    <s v="Amábile Duarte Theodoro Gomes "/>
    <x v="7"/>
    <s v="Pipebot"/>
    <x v="121"/>
    <m/>
    <m/>
    <m/>
    <m/>
    <m/>
    <m/>
    <m/>
    <m/>
    <m/>
    <m/>
    <m/>
    <m/>
    <m/>
    <m/>
    <m/>
    <m/>
    <m/>
    <m/>
    <m/>
    <m/>
    <m/>
    <m/>
    <n v="2.0809760995325632"/>
    <x v="4"/>
    <x v="1"/>
    <x v="1"/>
    <n v="189"/>
    <n v="33"/>
    <n v="0.17460317460317459"/>
    <n v="0.17460317460317459"/>
    <n v="1"/>
  </r>
  <r>
    <n v="1270839017"/>
    <s v="53.910.756/0001-34"/>
    <s v="Alexon Moreira Lourenço - adaptador e leitor"/>
    <x v="3"/>
    <s v="Pipebot"/>
    <x v="122"/>
    <m/>
    <m/>
    <d v="2026-01-02T22:06:54"/>
    <d v="2026-02-18T18:24:54"/>
    <n v="1.20713"/>
    <d v="2026-01-07T22:08:15"/>
    <d v="2026-02-18T13:27:30"/>
    <n v="41.638356000000002"/>
    <m/>
    <m/>
    <m/>
    <d v="2026-01-03T22:07:46"/>
    <d v="2026-01-05T22:08:03"/>
    <n v="2.0001850000000001"/>
    <d v="2026-01-05T22:08:03"/>
    <d v="2026-01-07T22:08:15"/>
    <n v="2.0001389999999999"/>
    <m/>
    <m/>
    <m/>
    <m/>
    <m/>
    <n v="69.078682638886676"/>
    <x v="0"/>
    <x v="7"/>
    <x v="0"/>
    <n v="207"/>
    <n v="140"/>
    <n v="0.67632850241545894"/>
    <n v="0.67632850241545894"/>
    <n v="1"/>
  </r>
  <r>
    <n v="1174283080"/>
    <s v="29.756.300/0001-87"/>
    <s v="Amaral"/>
    <x v="0"/>
    <s v="Pipebot"/>
    <x v="123"/>
    <m/>
    <m/>
    <m/>
    <m/>
    <m/>
    <m/>
    <m/>
    <m/>
    <m/>
    <m/>
    <m/>
    <m/>
    <m/>
    <m/>
    <m/>
    <m/>
    <m/>
    <m/>
    <m/>
    <m/>
    <m/>
    <m/>
    <n v="231.14872175925848"/>
    <x v="0"/>
    <x v="5"/>
    <x v="0"/>
    <n v="177"/>
    <n v="130"/>
    <n v="0.7344632768361582"/>
    <n v="0.7344632768361582"/>
    <n v="1"/>
  </r>
  <r>
    <n v="1279406517"/>
    <s v="57.561.639/0001-63"/>
    <s v="Amauri Antonio dos Santos"/>
    <x v="0"/>
    <s v="Pipebot"/>
    <x v="124"/>
    <m/>
    <m/>
    <m/>
    <m/>
    <m/>
    <m/>
    <m/>
    <m/>
    <m/>
    <m/>
    <m/>
    <m/>
    <m/>
    <m/>
    <m/>
    <m/>
    <m/>
    <m/>
    <m/>
    <m/>
    <m/>
    <m/>
    <n v="48.41813861112314"/>
    <x v="2"/>
    <x v="3"/>
    <x v="1"/>
    <n v="223"/>
    <n v="147"/>
    <n v="0.65919282511210764"/>
    <n v="0.65919282511210764"/>
    <n v="1"/>
  </r>
  <r>
    <n v="1240865106"/>
    <s v="45.257.643/0001-53"/>
    <s v="Amiraildes Lima Castro"/>
    <x v="0"/>
    <s v="Pipebot"/>
    <x v="125"/>
    <m/>
    <m/>
    <m/>
    <m/>
    <m/>
    <m/>
    <m/>
    <m/>
    <m/>
    <m/>
    <m/>
    <m/>
    <m/>
    <m/>
    <m/>
    <m/>
    <m/>
    <m/>
    <m/>
    <m/>
    <m/>
    <m/>
    <n v="128.07921256944246"/>
    <x v="0"/>
    <x v="6"/>
    <x v="0"/>
    <n v="195"/>
    <n v="132"/>
    <n v="0.67692307692307696"/>
    <n v="0.67692307692307696"/>
    <n v="1"/>
  </r>
  <r>
    <n v="1173353690"/>
    <s v="47.674.923/0001-92"/>
    <s v="Ana"/>
    <x v="0"/>
    <s v="Pipebot"/>
    <x v="126"/>
    <m/>
    <m/>
    <d v="2025-07-22T20:27:09"/>
    <d v="2025-07-23T20:27:29"/>
    <n v="1.0002310000000001"/>
    <d v="2025-07-27T20:28:42"/>
    <d v="2025-07-29T21:07:39"/>
    <n v="2.0270489999999999"/>
    <d v="2025-07-29T21:07:39"/>
    <d v="2025-07-29T21:07:45"/>
    <n v="5.8E-5"/>
    <d v="2025-07-23T20:27:29"/>
    <d v="2025-07-25T20:28:06"/>
    <n v="2.0004170000000001"/>
    <d v="2025-07-25T20:28:06"/>
    <d v="2025-07-27T20:28:42"/>
    <n v="2.0004050000000002"/>
    <m/>
    <m/>
    <m/>
    <m/>
    <m/>
    <n v="233.14849115740799"/>
    <x v="0"/>
    <x v="5"/>
    <x v="0"/>
    <n v="177"/>
    <n v="130"/>
    <n v="0.7344632768361582"/>
    <n v="0.7344632768361582"/>
    <n v="1"/>
  </r>
  <r>
    <n v="1296528447"/>
    <s v="39.954.582/0001-80"/>
    <s v="Ana Beatriz Salviato Formagio"/>
    <x v="1"/>
    <s v="Pipebot"/>
    <x v="127"/>
    <m/>
    <m/>
    <d v="2026-02-25T19:06:52"/>
    <d v="2026-02-26T19:07:37"/>
    <n v="1.0005090000000001"/>
    <m/>
    <m/>
    <m/>
    <m/>
    <m/>
    <m/>
    <d v="2026-02-26T19:07:37"/>
    <m/>
    <n v="9.3136999999999998E-2"/>
    <m/>
    <m/>
    <m/>
    <m/>
    <m/>
    <m/>
    <m/>
    <m/>
    <n v="15.203760208329186"/>
    <x v="1"/>
    <x v="1"/>
    <x v="1"/>
    <n v="189"/>
    <n v="33"/>
    <n v="0.17460317460317459"/>
    <n v="0.17460317460317459"/>
    <n v="1"/>
  </r>
  <r>
    <n v="1251348812"/>
    <s v="31.286.044/0001-53"/>
    <s v="ANA CAROLINA FRANZOLIN ARAUJO REZENDE"/>
    <x v="5"/>
    <s v="Pipebot"/>
    <x v="128"/>
    <m/>
    <m/>
    <d v="2026-02-13T16:03:45"/>
    <d v="2026-02-14T16:04:28"/>
    <n v="1.0004980000000001"/>
    <d v="2025-11-14T17:51:01"/>
    <d v="2026-02-13T16:03:45"/>
    <n v="83.071493000000004"/>
    <d v="2025-12-11T16:33:30"/>
    <d v="2025-12-11T16:33:35"/>
    <n v="5.8E-5"/>
    <d v="2026-02-14T16:04:28"/>
    <d v="2026-02-16T12:50:22"/>
    <n v="1.865197"/>
    <d v="2026-02-16T12:50:22"/>
    <m/>
    <n v="10.355116000000001"/>
    <m/>
    <m/>
    <m/>
    <m/>
    <m/>
    <n v="112.08050782406644"/>
    <x v="0"/>
    <x v="0"/>
    <x v="0"/>
    <n v="131"/>
    <n v="87"/>
    <n v="0.66412213740458015"/>
    <n v="0.66412213740458015"/>
    <n v="1"/>
  </r>
  <r>
    <n v="1226165124"/>
    <s v="31.286.044/0001-53"/>
    <s v="ANA CAROLINA FRANZOLIN ARAUJO REZENDE"/>
    <x v="0"/>
    <s v="Pipebot"/>
    <x v="129"/>
    <m/>
    <m/>
    <d v="2025-10-16T18:41:55"/>
    <d v="2025-10-17T18:42:34"/>
    <n v="1.00044"/>
    <d v="2025-10-21T18:44:23"/>
    <d v="2025-11-14T17:25:31"/>
    <n v="23.945231"/>
    <m/>
    <m/>
    <m/>
    <d v="2025-10-17T18:42:34"/>
    <d v="2025-10-19T18:43:35"/>
    <n v="2.0006940000000002"/>
    <d v="2025-10-19T18:43:35"/>
    <d v="2025-10-21T18:44:23"/>
    <n v="2.000556"/>
    <m/>
    <m/>
    <m/>
    <m/>
    <m/>
    <n v="147.22132261574006"/>
    <x v="0"/>
    <x v="6"/>
    <x v="0"/>
    <n v="195"/>
    <n v="132"/>
    <n v="0.67692307692307696"/>
    <n v="0.67692307692307696"/>
    <n v="1"/>
  </r>
  <r>
    <n v="1187232159"/>
    <s v="31.286.044/0001-53"/>
    <s v="Ana Carolina Franzolin Araújo Rezende"/>
    <x v="0"/>
    <s v="Pipebot"/>
    <x v="130"/>
    <m/>
    <m/>
    <d v="2025-08-15T20:26:31"/>
    <d v="2025-08-16T20:27:04"/>
    <n v="1.0003820000000001"/>
    <m/>
    <m/>
    <m/>
    <m/>
    <m/>
    <m/>
    <d v="2025-08-16T20:27:04"/>
    <d v="2025-08-18T20:28:10"/>
    <n v="2.0007519999999999"/>
    <d v="2025-08-18T20:28:10"/>
    <d v="2025-08-19T20:27:09"/>
    <n v="0.999282"/>
    <m/>
    <m/>
    <m/>
    <m/>
    <m/>
    <n v="209.14872987269337"/>
    <x v="0"/>
    <x v="2"/>
    <x v="0"/>
    <n v="146"/>
    <n v="112"/>
    <n v="0.76712328767123283"/>
    <n v="0.76712328767123283"/>
    <n v="1"/>
  </r>
  <r>
    <n v="1301740671"/>
    <s v="31.314.195/0001-78"/>
    <s v="Ana Carolina Paranhos de Araújo Silva "/>
    <x v="7"/>
    <s v="Pipebot"/>
    <x v="131"/>
    <m/>
    <m/>
    <m/>
    <m/>
    <m/>
    <m/>
    <m/>
    <m/>
    <m/>
    <m/>
    <m/>
    <m/>
    <m/>
    <m/>
    <m/>
    <m/>
    <m/>
    <m/>
    <m/>
    <m/>
    <m/>
    <m/>
    <n v="3.2064499421321671"/>
    <x v="4"/>
    <x v="1"/>
    <x v="1"/>
    <n v="189"/>
    <n v="33"/>
    <n v="0.17460317460317459"/>
    <n v="0.17460317460317459"/>
    <n v="1"/>
  </r>
  <r>
    <n v="1267754449"/>
    <s v="54.115.815/0001-45"/>
    <s v="Amanda Fernandes Soares"/>
    <x v="0"/>
    <s v="Pipebot"/>
    <x v="132"/>
    <m/>
    <m/>
    <d v="2025-12-26T19:53:06"/>
    <d v="2025-12-27T19:53:50"/>
    <n v="1.0004980000000001"/>
    <d v="2025-12-31T19:55:17"/>
    <d v="2026-01-26T17:06:24"/>
    <n v="25.882719999999999"/>
    <m/>
    <m/>
    <m/>
    <d v="2025-12-27T19:53:50"/>
    <d v="2025-12-29T19:54:22"/>
    <n v="2.0003700000000002"/>
    <d v="2025-12-29T19:54:22"/>
    <d v="2025-12-31T19:55:17"/>
    <n v="2.0006249999999999"/>
    <m/>
    <m/>
    <m/>
    <m/>
    <m/>
    <n v="76.171829085651552"/>
    <x v="0"/>
    <x v="7"/>
    <x v="0"/>
    <n v="207"/>
    <n v="140"/>
    <n v="0.67632850241545894"/>
    <n v="0.67632850241545894"/>
    <n v="1"/>
  </r>
  <r>
    <n v="1290210831"/>
    <s v="59.858.805/0001-13"/>
    <s v="Ana Claudia de Lima e Silva "/>
    <x v="0"/>
    <s v="Pipebot"/>
    <x v="133"/>
    <m/>
    <m/>
    <m/>
    <m/>
    <m/>
    <m/>
    <m/>
    <m/>
    <m/>
    <m/>
    <m/>
    <m/>
    <m/>
    <m/>
    <m/>
    <m/>
    <m/>
    <m/>
    <m/>
    <m/>
    <m/>
    <m/>
    <n v="28.45521914352139"/>
    <x v="5"/>
    <x v="3"/>
    <x v="1"/>
    <n v="223"/>
    <n v="147"/>
    <n v="0.65919282511210764"/>
    <n v="0.65919282511210764"/>
    <n v="1"/>
  </r>
  <r>
    <n v="1282563289"/>
    <s v="59.858.805/0001-13"/>
    <s v="Ana Claudia de Lima e Silva "/>
    <x v="0"/>
    <s v="Pipebot"/>
    <x v="134"/>
    <m/>
    <m/>
    <d v="2026-01-29T22:07:09"/>
    <d v="2026-01-30T22:07:18"/>
    <n v="1.0001040000000001"/>
    <m/>
    <m/>
    <m/>
    <m/>
    <m/>
    <m/>
    <d v="2026-01-30T22:07:18"/>
    <d v="2026-02-01T22:08:00"/>
    <n v="2.000486"/>
    <d v="2026-02-01T22:08:00"/>
    <d v="2026-02-03T19:29:03"/>
    <n v="1.8896059999999999"/>
    <m/>
    <m/>
    <m/>
    <m/>
    <m/>
    <n v="42.080489131942159"/>
    <x v="2"/>
    <x v="3"/>
    <x v="1"/>
    <n v="223"/>
    <n v="147"/>
    <n v="0.65919282511210764"/>
    <n v="0.65919282511210764"/>
    <n v="1"/>
  </r>
  <r>
    <n v="1204687271"/>
    <s v="61.875.474/0001-71"/>
    <s v="ANA CLAUDIA QUEIROZ LIMA"/>
    <x v="2"/>
    <s v="Pipebot"/>
    <x v="135"/>
    <m/>
    <m/>
    <d v="2026-02-11T20:58:11"/>
    <d v="2026-02-12T12:26:11"/>
    <n v="0.64443300000000003"/>
    <d v="2025-08-29T18:51:38"/>
    <d v="2026-02-11T20:58:11"/>
    <n v="166.08788200000001"/>
    <d v="2026-02-19T16:14:28"/>
    <m/>
    <n v="7.2133909999999997"/>
    <d v="2026-02-12T12:26:11"/>
    <d v="2026-02-13T15:59:54"/>
    <n v="1.1484030000000001"/>
    <d v="2026-02-13T15:59:54"/>
    <d v="2026-02-19T16:14:27"/>
    <n v="6.0100930000000004"/>
    <m/>
    <m/>
    <m/>
    <m/>
    <m/>
    <n v="181.2152940277665"/>
    <x v="0"/>
    <x v="2"/>
    <x v="0"/>
    <n v="146"/>
    <n v="112"/>
    <n v="0.76712328767123283"/>
    <n v="0.76712328767123283"/>
    <n v="1"/>
  </r>
  <r>
    <n v="1245632676"/>
    <s v="61.875.474/0001-71"/>
    <s v="Ana Claudia Queiroz Lima - TOTEM COM ABA"/>
    <x v="0"/>
    <s v="Pipebot"/>
    <x v="136"/>
    <m/>
    <m/>
    <m/>
    <m/>
    <m/>
    <m/>
    <m/>
    <m/>
    <m/>
    <m/>
    <m/>
    <m/>
    <m/>
    <m/>
    <m/>
    <m/>
    <m/>
    <m/>
    <m/>
    <m/>
    <m/>
    <m/>
    <n v="122.2043576967626"/>
    <x v="0"/>
    <x v="6"/>
    <x v="0"/>
    <n v="195"/>
    <n v="132"/>
    <n v="0.67692307692307696"/>
    <n v="0.67692307692307696"/>
    <n v="1"/>
  </r>
  <r>
    <n v="1227028054"/>
    <s v="47.674.923/0001-92"/>
    <s v="Ana Cristina Loiacono"/>
    <x v="0"/>
    <s v="Pipebot"/>
    <x v="137"/>
    <m/>
    <m/>
    <d v="2025-10-17T20:25:16"/>
    <d v="2025-10-18T20:25:55"/>
    <n v="1.00044"/>
    <d v="2025-10-22T20:27:44"/>
    <d v="2025-10-27T18:12:54"/>
    <n v="4.9063660000000002"/>
    <m/>
    <m/>
    <m/>
    <d v="2025-10-18T20:25:55"/>
    <d v="2025-10-20T20:26:56"/>
    <n v="2.0007060000000001"/>
    <d v="2025-10-20T20:26:56"/>
    <d v="2025-10-22T20:27:44"/>
    <n v="2.000556"/>
    <m/>
    <m/>
    <m/>
    <m/>
    <m/>
    <n v="146.1492256713027"/>
    <x v="0"/>
    <x v="6"/>
    <x v="0"/>
    <n v="195"/>
    <n v="132"/>
    <n v="0.67692307692307696"/>
    <n v="0.67692307692307696"/>
    <n v="1"/>
  </r>
  <r>
    <n v="1275292242"/>
    <s v="59.858.805/0001-13"/>
    <s v="ANA CLAUDIA DE LIMA E SILVA"/>
    <x v="0"/>
    <s v="Pipebot"/>
    <x v="138"/>
    <m/>
    <m/>
    <d v="2026-01-14T19:07:03"/>
    <d v="2026-01-15T19:07:19"/>
    <n v="1.0001850000000001"/>
    <d v="2026-01-19T19:09:02"/>
    <d v="2026-01-23T18:00:09"/>
    <n v="3.952153"/>
    <m/>
    <m/>
    <m/>
    <d v="2026-01-15T19:07:19"/>
    <d v="2026-01-17T19:08:08"/>
    <n v="2.000556"/>
    <d v="2026-01-17T19:08:08"/>
    <d v="2026-01-19T19:09:02"/>
    <n v="2.000613"/>
    <m/>
    <m/>
    <m/>
    <m/>
    <m/>
    <n v="57.203760706019239"/>
    <x v="2"/>
    <x v="7"/>
    <x v="0"/>
    <n v="207"/>
    <n v="140"/>
    <n v="0.67632850241545894"/>
    <n v="0.67632850241545894"/>
    <n v="1"/>
  </r>
  <r>
    <n v="1249086428"/>
    <s v="43.501.707/0001-94"/>
    <s v="Ana Gabriela Nunes Guimarães (protocolo 200134 - ler comentário)"/>
    <x v="0"/>
    <s v="Pipebot"/>
    <x v="139"/>
    <m/>
    <m/>
    <d v="2025-11-17T19:05:40"/>
    <d v="2025-11-18T19:06:43"/>
    <n v="1.000729"/>
    <d v="2025-11-22T19:07:40"/>
    <d v="2025-11-27T17:09:12"/>
    <n v="4.9177309999999999"/>
    <d v="2025-11-27T17:09:12"/>
    <d v="2026-02-20T19:47:40"/>
    <n v="82.997928000000002"/>
    <d v="2025-11-18T19:06:43"/>
    <d v="2025-11-20T19:07:27"/>
    <n v="2.0004979999999999"/>
    <d v="2025-11-20T19:07:27"/>
    <d v="2025-11-22T19:07:40"/>
    <n v="2.0001500000000001"/>
    <m/>
    <m/>
    <m/>
    <m/>
    <m/>
    <n v="115.20491609953751"/>
    <x v="0"/>
    <x v="0"/>
    <x v="0"/>
    <n v="131"/>
    <n v="87"/>
    <n v="0.66412213740458015"/>
    <n v="0.66412213740458015"/>
    <n v="1"/>
  </r>
  <r>
    <n v="1185127728"/>
    <s v="54.464.448/0001-95"/>
    <s v="ANA JULIA CRUZ MOREIRA"/>
    <x v="8"/>
    <s v="Pipebot"/>
    <x v="140"/>
    <m/>
    <m/>
    <d v="2025-08-12T14:50:40"/>
    <d v="2025-08-13T14:51:08"/>
    <n v="1.000313"/>
    <d v="2025-08-17T14:52:04"/>
    <d v="2025-10-29T19:37:45"/>
    <n v="73.19838"/>
    <m/>
    <m/>
    <m/>
    <d v="2025-08-13T14:51:08"/>
    <d v="2025-08-15T14:51:20"/>
    <n v="2.0001389999999999"/>
    <d v="2025-08-15T14:51:20"/>
    <d v="2025-08-17T14:52:04"/>
    <n v="2.0004979999999999"/>
    <m/>
    <m/>
    <m/>
    <m/>
    <m/>
    <n v="212.38208362268051"/>
    <x v="0"/>
    <x v="5"/>
    <x v="0"/>
    <n v="177"/>
    <n v="130"/>
    <n v="0.7344632768361582"/>
    <n v="0.7344632768361582"/>
    <n v="1"/>
  </r>
  <r>
    <n v="1211286148"/>
    <s v="47.674.923/0001-92"/>
    <s v="Ana Loiacono"/>
    <x v="0"/>
    <s v="Pipebot"/>
    <x v="141"/>
    <m/>
    <m/>
    <d v="2025-09-23T20:27:11"/>
    <d v="2025-09-24T20:27:41"/>
    <n v="1.0003470000000001"/>
    <d v="2025-09-28T20:28:23"/>
    <d v="2025-10-06T20:26:00"/>
    <n v="7.9983329999999997"/>
    <m/>
    <m/>
    <m/>
    <d v="2025-09-24T20:27:41"/>
    <d v="2025-09-26T20:28:02"/>
    <n v="2.0002309999999999"/>
    <d v="2025-09-26T20:28:02"/>
    <d v="2025-09-28T20:28:23"/>
    <n v="2.0002309999999999"/>
    <m/>
    <m/>
    <m/>
    <m/>
    <m/>
    <n v="170.14832363426103"/>
    <x v="0"/>
    <x v="4"/>
    <x v="0"/>
    <n v="197"/>
    <n v="149"/>
    <n v="0.75634517766497467"/>
    <n v="0.75634517766497467"/>
    <n v="1"/>
  </r>
  <r>
    <n v="1261830954"/>
    <s v="37.653.761/0001-52"/>
    <s v="ANA CRISTINA SUSI"/>
    <x v="5"/>
    <s v="Pipebot"/>
    <x v="142"/>
    <m/>
    <m/>
    <d v="2025-12-15T15:07:48"/>
    <d v="2026-02-18T13:25:01"/>
    <n v="3.0229170000000001"/>
    <d v="2025-12-20T15:09:11"/>
    <d v="2026-02-16T12:52:57"/>
    <n v="57.905382000000003"/>
    <m/>
    <m/>
    <m/>
    <d v="2025-12-16T15:08:45"/>
    <d v="2026-02-19T12:27:36"/>
    <n v="2.9602550000000001"/>
    <d v="2025-12-18T15:08:57"/>
    <d v="2025-12-20T15:09:11"/>
    <n v="9.3711000000000002"/>
    <m/>
    <m/>
    <m/>
    <m/>
    <m/>
    <n v="87.370079710650316"/>
    <x v="0"/>
    <x v="7"/>
    <x v="0"/>
    <n v="207"/>
    <n v="140"/>
    <n v="0.67632850241545894"/>
    <n v="0.67632850241545894"/>
    <n v="1"/>
  </r>
  <r>
    <n v="1285275328"/>
    <s v="41.245.942/0001-17"/>
    <s v="Ana Lucia da Cruz Soares"/>
    <x v="0"/>
    <s v="Pipebot"/>
    <x v="143"/>
    <m/>
    <m/>
    <m/>
    <m/>
    <m/>
    <m/>
    <m/>
    <m/>
    <m/>
    <m/>
    <m/>
    <m/>
    <m/>
    <m/>
    <m/>
    <m/>
    <m/>
    <m/>
    <m/>
    <m/>
    <m/>
    <m/>
    <n v="36.178457916670595"/>
    <x v="2"/>
    <x v="3"/>
    <x v="1"/>
    <n v="223"/>
    <n v="147"/>
    <n v="0.65919282511210764"/>
    <n v="0.65919282511210764"/>
    <n v="1"/>
  </r>
  <r>
    <n v="1227028845"/>
    <s v="41.245.942/0001-17"/>
    <s v="ANA LUCIA DA CRUZ SOARES "/>
    <x v="0"/>
    <s v="Pipebot"/>
    <x v="144"/>
    <m/>
    <m/>
    <d v="2025-10-17T20:26:11"/>
    <d v="2025-10-18T20:26:53"/>
    <n v="1.000475"/>
    <d v="2025-10-22T20:27:44"/>
    <d v="2025-10-27T17:43:16"/>
    <n v="4.8857869999999997"/>
    <m/>
    <m/>
    <m/>
    <d v="2025-10-18T20:26:53"/>
    <d v="2025-10-20T20:26:59"/>
    <n v="2.0000689999999999"/>
    <d v="2025-10-20T20:26:59"/>
    <d v="2025-10-22T20:27:44"/>
    <n v="2.0005090000000001"/>
    <m/>
    <m/>
    <m/>
    <m/>
    <m/>
    <n v="146.14852980324213"/>
    <x v="0"/>
    <x v="6"/>
    <x v="0"/>
    <n v="195"/>
    <n v="132"/>
    <n v="0.67692307692307696"/>
    <n v="0.67692307692307696"/>
    <n v="1"/>
  </r>
  <r>
    <n v="1267210022"/>
    <s v="57.703.377/0001-24"/>
    <s v="Ana Lucia consenso motroni me"/>
    <x v="5"/>
    <s v="Pipebot"/>
    <x v="145"/>
    <m/>
    <m/>
    <d v="2025-12-25T19:08:26"/>
    <d v="2026-02-18T13:25:24"/>
    <n v="3.0225580000000001"/>
    <d v="2025-12-30T19:10:00"/>
    <d v="2026-02-16T12:53:32"/>
    <n v="47.738553000000003"/>
    <m/>
    <m/>
    <m/>
    <d v="2025-12-26T19:09:04"/>
    <d v="2026-02-19T12:28:05"/>
    <n v="2.960486"/>
    <d v="2025-12-28T19:09:29"/>
    <d v="2025-12-30T19:10:00"/>
    <n v="9.3709609999999994"/>
    <m/>
    <m/>
    <m/>
    <m/>
    <m/>
    <n v="77.202588020838448"/>
    <x v="0"/>
    <x v="7"/>
    <x v="0"/>
    <n v="207"/>
    <n v="140"/>
    <n v="0.67632850241545894"/>
    <n v="0.67632850241545894"/>
    <n v="1"/>
  </r>
  <r>
    <n v="1177541608"/>
    <s v="54.813.539/0001-99"/>
    <s v="Ana Roversi"/>
    <x v="0"/>
    <s v="Pipebot"/>
    <x v="146"/>
    <m/>
    <m/>
    <m/>
    <m/>
    <m/>
    <m/>
    <m/>
    <m/>
    <m/>
    <m/>
    <m/>
    <m/>
    <m/>
    <m/>
    <m/>
    <m/>
    <m/>
    <m/>
    <m/>
    <m/>
    <m/>
    <m/>
    <n v="225.15043039352167"/>
    <x v="0"/>
    <x v="5"/>
    <x v="0"/>
    <n v="177"/>
    <n v="130"/>
    <n v="0.7344632768361582"/>
    <n v="0.7344632768361582"/>
    <n v="1"/>
  </r>
  <r>
    <n v="1278476787"/>
    <s v="46.979.526/0001-66"/>
    <s v="Ananda Mercado LTDA"/>
    <x v="0"/>
    <s v="Pipebot"/>
    <x v="147"/>
    <m/>
    <m/>
    <m/>
    <m/>
    <m/>
    <m/>
    <m/>
    <m/>
    <m/>
    <m/>
    <m/>
    <m/>
    <m/>
    <m/>
    <m/>
    <m/>
    <m/>
    <m/>
    <m/>
    <m/>
    <m/>
    <m/>
    <n v="50.078773171291687"/>
    <x v="2"/>
    <x v="3"/>
    <x v="1"/>
    <n v="223"/>
    <n v="147"/>
    <n v="0.65919282511210764"/>
    <n v="0.65919282511210764"/>
    <n v="1"/>
  </r>
  <r>
    <n v="1266405566"/>
    <s v="60.045.132/0001-61"/>
    <s v="Ana Paula Brito Rabelo "/>
    <x v="0"/>
    <s v="Pipebot"/>
    <x v="148"/>
    <m/>
    <m/>
    <d v="2025-12-24T12:26:53"/>
    <d v="2025-12-25T12:27:44"/>
    <n v="1.0005900000000001"/>
    <d v="2025-12-29T12:27:57"/>
    <d v="2026-01-21T14:53:39"/>
    <n v="23.101181"/>
    <m/>
    <m/>
    <m/>
    <d v="2025-12-25T12:27:45"/>
    <d v="2025-12-27T12:27:50"/>
    <n v="2.0000580000000001"/>
    <d v="2025-12-27T12:27:50"/>
    <d v="2025-12-29T12:27:57"/>
    <n v="2.0000689999999999"/>
    <m/>
    <m/>
    <m/>
    <m/>
    <m/>
    <n v="78.481926435182686"/>
    <x v="0"/>
    <x v="7"/>
    <x v="0"/>
    <n v="207"/>
    <n v="140"/>
    <n v="0.67632850241545894"/>
    <n v="0.67632850241545894"/>
    <n v="1"/>
  </r>
  <r>
    <n v="1259474121"/>
    <s v="41.404.766/0001-19"/>
    <s v="Anderson Rodrigo Azevedo"/>
    <x v="3"/>
    <s v="Pipebot"/>
    <x v="149"/>
    <m/>
    <m/>
    <d v="2025-12-09T19:02:56"/>
    <d v="2026-02-18T13:24:55"/>
    <n v="3.0228009999999998"/>
    <d v="2025-12-14T19:05:02"/>
    <d v="2026-02-16T12:52:53"/>
    <n v="63.741551000000001"/>
    <m/>
    <m/>
    <m/>
    <d v="2025-12-10T19:03:44"/>
    <d v="2026-02-18T18:24:54"/>
    <n v="2.2087620000000001"/>
    <d v="2025-12-12T19:04:22"/>
    <d v="2025-12-14T19:05:02"/>
    <n v="2.000451"/>
    <m/>
    <m/>
    <m/>
    <m/>
    <m/>
    <n v="93.20750006945309"/>
    <x v="0"/>
    <x v="0"/>
    <x v="0"/>
    <n v="131"/>
    <n v="87"/>
    <n v="0.66412213740458015"/>
    <n v="0.66412213740458015"/>
    <n v="1"/>
  </r>
  <r>
    <n v="1178245019"/>
    <s v="39.978.542/0001-79"/>
    <s v="Anderson Rodrigues Spiller"/>
    <x v="8"/>
    <s v="Pipebot"/>
    <x v="150"/>
    <m/>
    <m/>
    <d v="2025-07-31T20:25:36"/>
    <d v="2025-08-01T20:26:32"/>
    <n v="1.000648"/>
    <d v="2025-08-05T20:28:00"/>
    <d v="2025-10-29T19:37:51"/>
    <n v="84.965162000000007"/>
    <m/>
    <m/>
    <m/>
    <d v="2025-08-01T20:26:32"/>
    <d v="2025-08-03T20:27:19"/>
    <n v="2.0005320000000002"/>
    <d v="2025-08-03T20:27:19"/>
    <d v="2025-08-05T20:28:00"/>
    <n v="2.0004749999999998"/>
    <m/>
    <m/>
    <m/>
    <m/>
    <m/>
    <n v="224.14910068287281"/>
    <x v="0"/>
    <x v="5"/>
    <x v="0"/>
    <n v="177"/>
    <n v="130"/>
    <n v="0.7344632768361582"/>
    <n v="0.7344632768361582"/>
    <n v="1"/>
  </r>
  <r>
    <n v="1194684965"/>
    <s v="47.037.995/0001-29"/>
    <s v="Andre Abreu MERCADEX"/>
    <x v="5"/>
    <s v="Pipebot"/>
    <x v="151"/>
    <m/>
    <m/>
    <d v="2025-08-27T20:25:53"/>
    <d v="2026-02-12T12:26:06"/>
    <n v="1.644549"/>
    <d v="2025-09-01T20:26:24"/>
    <d v="2026-02-11T20:58:03"/>
    <n v="163.02196799999999"/>
    <m/>
    <m/>
    <m/>
    <d v="2025-08-28T20:26:00"/>
    <d v="2026-02-13T15:59:48"/>
    <n v="3.1486000000000001"/>
    <d v="2025-08-30T20:26:16"/>
    <d v="2025-09-01T20:26:24"/>
    <n v="15.223646"/>
    <m/>
    <m/>
    <m/>
    <m/>
    <m/>
    <n v="197.1493279166607"/>
    <x v="0"/>
    <x v="2"/>
    <x v="0"/>
    <n v="146"/>
    <n v="112"/>
    <n v="0.76712328767123283"/>
    <n v="0.76712328767123283"/>
    <n v="1"/>
  </r>
  <r>
    <n v="1271629166"/>
    <s v="62.227.227/0001-21"/>
    <s v="Anderson Martins Pontes"/>
    <x v="0"/>
    <s v="Pipebot"/>
    <x v="152"/>
    <m/>
    <m/>
    <d v="2026-01-05T22:10:06"/>
    <d v="2026-01-06T22:10:53"/>
    <n v="1.0005440000000001"/>
    <d v="2026-01-10T22:12:11"/>
    <d v="2026-01-12T14:02:37"/>
    <n v="1.660023"/>
    <m/>
    <m/>
    <m/>
    <d v="2026-01-06T22:10:53"/>
    <d v="2026-01-08T22:11:19"/>
    <n v="2.0003009999999999"/>
    <d v="2026-01-08T22:11:19"/>
    <d v="2026-01-10T22:12:11"/>
    <n v="2.0005899999999999"/>
    <m/>
    <m/>
    <m/>
    <m/>
    <m/>
    <n v="66.076507916666742"/>
    <x v="0"/>
    <x v="7"/>
    <x v="0"/>
    <n v="207"/>
    <n v="140"/>
    <n v="0.67632850241545894"/>
    <n v="0.67632850241545894"/>
    <n v="1"/>
  </r>
  <r>
    <n v="1299196864"/>
    <s v="57.653.361/0001-54"/>
    <s v="ANDRE BISCARO"/>
    <x v="5"/>
    <s v="Pipebot"/>
    <x v="153"/>
    <m/>
    <m/>
    <d v="2026-02-19T17:59:34"/>
    <d v="2026-02-20T17:59:48"/>
    <n v="1.0001500000000001"/>
    <m/>
    <m/>
    <m/>
    <m/>
    <m/>
    <m/>
    <d v="2026-02-20T17:59:48"/>
    <d v="2026-02-22T18:00:18"/>
    <n v="2.0003359999999999"/>
    <d v="2026-02-22T18:00:18"/>
    <m/>
    <n v="4.1398960000000002"/>
    <m/>
    <m/>
    <m/>
    <m/>
    <m/>
    <n v="8.0791991435326054"/>
    <x v="4"/>
    <x v="1"/>
    <x v="1"/>
    <n v="189"/>
    <n v="33"/>
    <n v="0.17460317460317459"/>
    <n v="0.17460317460317459"/>
    <n v="1"/>
  </r>
  <r>
    <n v="1230592237"/>
    <s v="52.155.416/0001-82"/>
    <s v="André Luiz de Almeida "/>
    <x v="0"/>
    <s v="Pipebot"/>
    <x v="154"/>
    <m/>
    <m/>
    <m/>
    <m/>
    <m/>
    <m/>
    <m/>
    <m/>
    <m/>
    <m/>
    <m/>
    <m/>
    <m/>
    <m/>
    <m/>
    <m/>
    <m/>
    <m/>
    <m/>
    <m/>
    <m/>
    <m/>
    <n v="141.1482646759323"/>
    <x v="0"/>
    <x v="6"/>
    <x v="0"/>
    <n v="195"/>
    <n v="132"/>
    <n v="0.67692307692307696"/>
    <n v="0.67692307692307696"/>
    <n v="1"/>
  </r>
  <r>
    <n v="1241258284"/>
    <s v="60.963.719/0001-50"/>
    <s v="André Luiz Ferreira Beranger "/>
    <x v="0"/>
    <s v="Pipebot"/>
    <x v="155"/>
    <m/>
    <m/>
    <d v="2025-11-05T15:02:56"/>
    <d v="2025-11-06T15:03:09"/>
    <n v="1.0001389999999999"/>
    <m/>
    <m/>
    <m/>
    <d v="2025-11-06T20:05:12"/>
    <d v="2025-11-06T20:05:17"/>
    <n v="5.8E-5"/>
    <d v="2025-11-06T15:03:09"/>
    <d v="2025-11-06T20:05:00"/>
    <n v="0.209618"/>
    <m/>
    <m/>
    <m/>
    <m/>
    <m/>
    <m/>
    <m/>
    <m/>
    <n v="127.37322659722122"/>
    <x v="0"/>
    <x v="6"/>
    <x v="0"/>
    <n v="195"/>
    <n v="132"/>
    <n v="0.67692307692307696"/>
    <n v="0.67692307692307696"/>
    <n v="1"/>
  </r>
  <r>
    <n v="1293909352"/>
    <s v="62.070.814/0001-50"/>
    <s v="André Luiz Miloch "/>
    <x v="2"/>
    <s v="Pipebot"/>
    <x v="156"/>
    <m/>
    <m/>
    <d v="2026-02-19T19:06:51"/>
    <d v="2026-02-20T16:52:40"/>
    <n v="0.906806"/>
    <m/>
    <m/>
    <m/>
    <d v="2026-02-20T19:48:07"/>
    <m/>
    <n v="6.0650230000000001"/>
    <d v="2026-02-20T16:52:40"/>
    <d v="2026-02-20T19:48:07"/>
    <n v="0.12182900000000001"/>
    <m/>
    <m/>
    <m/>
    <m/>
    <m/>
    <m/>
    <m/>
    <m/>
    <n v="21.204126284719678"/>
    <x v="3"/>
    <x v="1"/>
    <x v="1"/>
    <n v="189"/>
    <n v="33"/>
    <n v="0.17460317460317459"/>
    <n v="0.17460317460317459"/>
    <n v="1"/>
  </r>
  <r>
    <n v="1254591809"/>
    <s v="59.905.818/0002-87"/>
    <s v="André Luiz Paschoal"/>
    <x v="0"/>
    <s v="Pipebot"/>
    <x v="157"/>
    <m/>
    <m/>
    <d v="2025-11-27T19:05:25"/>
    <d v="2025-11-28T19:06:13"/>
    <n v="1.000556"/>
    <d v="2025-12-02T19:06:40"/>
    <d v="2025-12-20T11:33:03"/>
    <n v="17.684988000000001"/>
    <m/>
    <m/>
    <m/>
    <d v="2025-11-28T19:06:13"/>
    <d v="2025-11-30T19:06:27"/>
    <n v="2.000162"/>
    <d v="2025-11-30T19:06:27"/>
    <d v="2025-12-02T19:06:40"/>
    <n v="2.0001389999999999"/>
    <m/>
    <m/>
    <m/>
    <m/>
    <m/>
    <n v="105.20506644675334"/>
    <x v="0"/>
    <x v="0"/>
    <x v="0"/>
    <n v="131"/>
    <n v="87"/>
    <n v="0.66412213740458015"/>
    <n v="0.66412213740458015"/>
    <n v="1"/>
  </r>
  <r>
    <n v="1254591759"/>
    <s v="41.679.096/0001-43"/>
    <s v="André Luiz Vasco Romin"/>
    <x v="5"/>
    <s v="Pipebot"/>
    <x v="158"/>
    <m/>
    <m/>
    <d v="2025-11-27T19:05:24"/>
    <d v="2026-02-16T12:52:00"/>
    <n v="3.8673150000000001"/>
    <d v="2025-12-02T19:06:40"/>
    <d v="2026-02-13T16:03:53"/>
    <n v="72.873067000000006"/>
    <m/>
    <m/>
    <m/>
    <d v="2025-11-28T19:06:13"/>
    <d v="2026-02-18T13:22:32"/>
    <n v="4.0213660000000004"/>
    <d v="2025-11-30T19:06:28"/>
    <d v="2025-12-02T19:06:40"/>
    <n v="10.332917"/>
    <m/>
    <m/>
    <m/>
    <m/>
    <m/>
    <n v="105.20512725693698"/>
    <x v="0"/>
    <x v="0"/>
    <x v="0"/>
    <n v="131"/>
    <n v="87"/>
    <n v="0.66412213740458015"/>
    <n v="0.66412213740458015"/>
    <n v="1"/>
  </r>
  <r>
    <n v="1285617237"/>
    <s v="60.712.784/0001-02"/>
    <s v="Andréa Mendes Martins  - acionado Sofia (máquina). 18/02"/>
    <x v="5"/>
    <s v="Pipebot"/>
    <x v="159"/>
    <m/>
    <m/>
    <d v="2026-02-05T12:10:47"/>
    <d v="2026-02-20T16:52:17"/>
    <n v="2.1743290000000002"/>
    <d v="2026-02-10T12:12:39"/>
    <d v="2026-02-19T12:42:07"/>
    <n v="9.0204509999999996"/>
    <m/>
    <m/>
    <m/>
    <d v="2026-02-06T12:11:40"/>
    <d v="2026-02-23T13:32:47"/>
    <n v="4.8616900000000003"/>
    <d v="2026-02-08T12:12:00"/>
    <d v="2026-02-10T12:12:39"/>
    <n v="5.3261000000000003"/>
    <m/>
    <m/>
    <m/>
    <m/>
    <m/>
    <n v="35.493074421297933"/>
    <x v="2"/>
    <x v="3"/>
    <x v="1"/>
    <n v="223"/>
    <n v="147"/>
    <n v="0.65919282511210764"/>
    <n v="0.65919282511210764"/>
    <n v="1"/>
  </r>
  <r>
    <n v="1279454872"/>
    <s v="56.504.060/0001-04"/>
    <s v="Andrea Menezes cantadeiro (adaptador) - acionado Sofia 06/02"/>
    <x v="2"/>
    <s v="Pipebot"/>
    <x v="160"/>
    <m/>
    <m/>
    <d v="2026-01-23T15:07:37"/>
    <d v="2026-02-20T16:51:23"/>
    <n v="2.1763080000000001"/>
    <d v="2026-01-28T15:09:33"/>
    <d v="2026-02-19T12:37:45"/>
    <n v="21.894583000000001"/>
    <d v="2026-02-23T15:13:10"/>
    <m/>
    <n v="3.2559610000000001"/>
    <d v="2026-01-24T15:07:53"/>
    <d v="2026-02-23T13:32:47"/>
    <n v="4.8625579999999999"/>
    <d v="2026-01-26T15:08:34"/>
    <d v="2026-02-23T15:13:10"/>
    <n v="2.07037"/>
    <m/>
    <m/>
    <m/>
    <m/>
    <m/>
    <n v="48.369876446762646"/>
    <x v="2"/>
    <x v="3"/>
    <x v="1"/>
    <n v="223"/>
    <n v="147"/>
    <n v="0.65919282511210764"/>
    <n v="0.65919282511210764"/>
    <n v="1"/>
  </r>
  <r>
    <n v="1176235756"/>
    <s v="53.434.220/0001-90"/>
    <s v="Andrea Sousa"/>
    <x v="0"/>
    <s v="Pipebot"/>
    <x v="161"/>
    <m/>
    <m/>
    <d v="2025-07-28T20:25:50"/>
    <d v="2026-02-12T12:25:24"/>
    <n v="1.6457870000000001"/>
    <d v="2025-08-02T20:27:07"/>
    <d v="2026-02-11T20:55:58"/>
    <n v="193.02003500000001"/>
    <m/>
    <m/>
    <m/>
    <d v="2025-07-29T20:26:21"/>
    <d v="2026-02-12T13:31:01"/>
    <n v="2.0457290000000001"/>
    <d v="2025-07-31T20:26:36"/>
    <d v="2025-08-02T20:27:07"/>
    <n v="2.000359"/>
    <m/>
    <m/>
    <m/>
    <m/>
    <m/>
    <n v="227.14897216435929"/>
    <x v="0"/>
    <x v="5"/>
    <x v="0"/>
    <n v="177"/>
    <n v="130"/>
    <n v="0.7344632768361582"/>
    <n v="0.7344632768361582"/>
    <n v="1"/>
  </r>
  <r>
    <n v="1238329028"/>
    <s v="61.328.672/0001-15"/>
    <s v="Andreia Nascimento Nunes - Totem com aba"/>
    <x v="0"/>
    <s v="Pipebot"/>
    <x v="162"/>
    <m/>
    <m/>
    <d v="2025-10-31T15:04:00"/>
    <d v="2025-10-31T20:55:03"/>
    <n v="0.24377299999999999"/>
    <m/>
    <m/>
    <m/>
    <m/>
    <m/>
    <m/>
    <m/>
    <m/>
    <m/>
    <m/>
    <m/>
    <m/>
    <m/>
    <m/>
    <m/>
    <m/>
    <m/>
    <n v="132.37287070602179"/>
    <x v="0"/>
    <x v="6"/>
    <x v="0"/>
    <n v="195"/>
    <n v="132"/>
    <n v="0.67692307692307696"/>
    <n v="0.67692307692307696"/>
    <n v="1"/>
  </r>
  <r>
    <n v="1240863983"/>
    <s v="46.386.599/0001-44"/>
    <s v="ANDRESSA BELTRAME"/>
    <x v="0"/>
    <s v="Pipebot"/>
    <x v="163"/>
    <m/>
    <m/>
    <d v="2025-11-04T22:04:51"/>
    <d v="2025-11-05T22:05:34"/>
    <n v="1.0004980000000001"/>
    <d v="2025-11-09T22:06:34"/>
    <d v="2025-12-10T17:21:19"/>
    <n v="30.801898000000001"/>
    <m/>
    <m/>
    <m/>
    <d v="2025-11-05T22:05:34"/>
    <d v="2025-11-07T22:05:42"/>
    <n v="2.0000810000000002"/>
    <d v="2025-11-07T22:05:42"/>
    <d v="2025-11-09T22:06:34"/>
    <n v="2.0006020000000002"/>
    <m/>
    <m/>
    <m/>
    <m/>
    <m/>
    <n v="128.08035375000327"/>
    <x v="0"/>
    <x v="6"/>
    <x v="0"/>
    <n v="195"/>
    <n v="132"/>
    <n v="0.67692307692307696"/>
    <n v="0.67692307692307696"/>
    <n v="1"/>
  </r>
  <r>
    <n v="1252997080"/>
    <s v="46.386.599/0001-44"/>
    <s v="ANDRESSA BELTRAME"/>
    <x v="0"/>
    <s v="Pipebot"/>
    <x v="164"/>
    <m/>
    <m/>
    <d v="2025-11-24T22:05:42"/>
    <d v="2026-02-16T12:51:55"/>
    <n v="3.8674309999999998"/>
    <d v="2025-11-29T22:07:10"/>
    <d v="2026-02-13T16:03:47"/>
    <n v="75.747649999999993"/>
    <d v="2026-02-19T16:48:03"/>
    <d v="2026-02-20T20:01:27"/>
    <n v="1.134306"/>
    <d v="2025-11-25T22:06:40"/>
    <d v="2026-02-18T13:22:20"/>
    <n v="4.0212500000000002"/>
    <d v="2025-11-27T22:06:51"/>
    <d v="2026-02-19T16:48:02"/>
    <n v="3.1430560000000001"/>
    <m/>
    <m/>
    <m/>
    <m/>
    <m/>
    <n v="108.08023314814636"/>
    <x v="0"/>
    <x v="0"/>
    <x v="0"/>
    <n v="131"/>
    <n v="87"/>
    <n v="0.66412213740458015"/>
    <n v="0.66412213740458015"/>
    <n v="1"/>
  </r>
  <r>
    <n v="1249873879"/>
    <s v="46.386.599/0001-44"/>
    <s v="ANDRESSA BELTRAME"/>
    <x v="0"/>
    <s v="Pipebot"/>
    <x v="165"/>
    <m/>
    <m/>
    <d v="2025-11-18T22:06:38"/>
    <d v="2026-02-16T12:51:23"/>
    <n v="3.8676159999999999"/>
    <d v="2025-11-23T22:08:14"/>
    <d v="2026-02-13T16:02:20"/>
    <n v="81.745902999999998"/>
    <d v="2026-02-19T16:50:39"/>
    <d v="2026-02-20T20:04:04"/>
    <n v="1.134317"/>
    <d v="2025-11-19T22:06:58"/>
    <d v="2026-02-18T13:21:19"/>
    <n v="4.0213890000000001"/>
    <d v="2025-11-21T22:07:50"/>
    <d v="2026-02-19T16:50:38"/>
    <n v="3.1456249999999999"/>
    <m/>
    <m/>
    <m/>
    <m/>
    <m/>
    <n v="114.07953428241308"/>
    <x v="0"/>
    <x v="0"/>
    <x v="0"/>
    <n v="131"/>
    <n v="87"/>
    <n v="0.66412213740458015"/>
    <n v="0.66412213740458015"/>
    <n v="1"/>
  </r>
  <r>
    <n v="1240864092"/>
    <s v="46.386.599/0001-44"/>
    <s v="ANDRESSA BELTRAME - Chegou 1 máquina v1 e 1 adaptador"/>
    <x v="8"/>
    <s v="Pipebot"/>
    <x v="166"/>
    <m/>
    <m/>
    <m/>
    <m/>
    <m/>
    <m/>
    <m/>
    <m/>
    <m/>
    <m/>
    <m/>
    <m/>
    <m/>
    <m/>
    <m/>
    <m/>
    <m/>
    <m/>
    <m/>
    <m/>
    <m/>
    <m/>
    <n v="128.08024901620229"/>
    <x v="0"/>
    <x v="6"/>
    <x v="0"/>
    <n v="195"/>
    <n v="132"/>
    <n v="0.67692307692307696"/>
    <n v="0.67692307692307696"/>
    <n v="1"/>
  </r>
  <r>
    <n v="1273200916"/>
    <s v="61.937.401/0001-67"/>
    <s v="André Benedito de Freitas"/>
    <x v="0"/>
    <s v="Pipebot"/>
    <x v="167"/>
    <m/>
    <m/>
    <d v="2026-01-09T15:07:52"/>
    <d v="2026-01-10T15:08:12"/>
    <n v="1.0002200000000001"/>
    <d v="2026-01-14T15:09:49"/>
    <d v="2026-01-14T17:32:09"/>
    <n v="9.8831000000000002E-2"/>
    <m/>
    <m/>
    <m/>
    <d v="2026-01-10T15:08:12"/>
    <d v="2026-01-12T15:08:52"/>
    <n v="2.000451"/>
    <d v="2026-01-12T15:08:52"/>
    <d v="2026-01-14T15:09:49"/>
    <n v="2.0006599999999999"/>
    <m/>
    <m/>
    <m/>
    <m/>
    <m/>
    <n v="62.369987534722895"/>
    <x v="0"/>
    <x v="7"/>
    <x v="0"/>
    <n v="207"/>
    <n v="140"/>
    <n v="0.67632850241545894"/>
    <n v="0.67632850241545894"/>
    <n v="1"/>
  </r>
  <r>
    <n v="1229140995"/>
    <s v="35.649.234/0001-49"/>
    <s v="Andrio Amorim Ferreira"/>
    <x v="0"/>
    <s v="Pipebot"/>
    <x v="168"/>
    <m/>
    <m/>
    <m/>
    <m/>
    <m/>
    <m/>
    <m/>
    <m/>
    <m/>
    <m/>
    <m/>
    <m/>
    <m/>
    <m/>
    <m/>
    <m/>
    <m/>
    <m/>
    <m/>
    <m/>
    <m/>
    <m/>
    <n v="143.14909987268038"/>
    <x v="0"/>
    <x v="6"/>
    <x v="0"/>
    <n v="195"/>
    <n v="132"/>
    <n v="0.67692307692307696"/>
    <n v="0.67692307692307696"/>
    <n v="1"/>
  </r>
  <r>
    <n v="1263965760"/>
    <s v="54.626.381/0001-48"/>
    <s v="ANDRESSA ELIANE VILALVA LOPES FERNANDES"/>
    <x v="0"/>
    <s v="Pipebot"/>
    <x v="169"/>
    <m/>
    <m/>
    <d v="2025-12-18T13:08:50"/>
    <d v="2025-12-19T13:09:48"/>
    <n v="1.0006710000000001"/>
    <m/>
    <m/>
    <m/>
    <m/>
    <m/>
    <m/>
    <d v="2025-12-19T13:09:48"/>
    <d v="2025-12-20T13:01:38"/>
    <n v="0.99432900000000002"/>
    <m/>
    <m/>
    <m/>
    <m/>
    <m/>
    <m/>
    <m/>
    <m/>
    <n v="84.452370196762786"/>
    <x v="0"/>
    <x v="7"/>
    <x v="0"/>
    <n v="207"/>
    <n v="140"/>
    <n v="0.67632850241545894"/>
    <n v="0.67632850241545894"/>
    <n v="1"/>
  </r>
  <r>
    <n v="1254980823"/>
    <s v="51.238.255/0001-28"/>
    <s v="ANFE COMERCIO LTDA"/>
    <x v="0"/>
    <s v="Pipebot"/>
    <x v="170"/>
    <m/>
    <m/>
    <m/>
    <m/>
    <m/>
    <m/>
    <m/>
    <m/>
    <m/>
    <m/>
    <m/>
    <m/>
    <m/>
    <m/>
    <m/>
    <m/>
    <m/>
    <m/>
    <m/>
    <m/>
    <m/>
    <m/>
    <n v="104.28695824073657"/>
    <x v="0"/>
    <x v="0"/>
    <x v="0"/>
    <n v="131"/>
    <n v="87"/>
    <n v="0.66412213740458015"/>
    <n v="0.66412213740458015"/>
    <n v="1"/>
  </r>
  <r>
    <n v="1252885731"/>
    <s v="50.618.409/0001-44"/>
    <s v="Anna"/>
    <x v="0"/>
    <s v="Pipebot"/>
    <x v="171"/>
    <m/>
    <m/>
    <d v="2025-11-24T19:06:46"/>
    <d v="2025-11-25T19:07:05"/>
    <n v="1.0002200000000001"/>
    <d v="2025-11-29T19:08:10"/>
    <d v="2025-12-10T17:59:31"/>
    <n v="10.952315"/>
    <m/>
    <m/>
    <m/>
    <d v="2025-11-25T19:07:05"/>
    <d v="2025-11-27T19:07:25"/>
    <n v="2.0002200000000001"/>
    <d v="2025-11-27T19:07:25"/>
    <d v="2025-11-29T19:08:10"/>
    <n v="2.000521"/>
    <m/>
    <m/>
    <m/>
    <m/>
    <m/>
    <n v="108.20410531249945"/>
    <x v="0"/>
    <x v="0"/>
    <x v="0"/>
    <n v="131"/>
    <n v="87"/>
    <n v="0.66412213740458015"/>
    <n v="0.66412213740458015"/>
    <n v="1"/>
  </r>
  <r>
    <n v="1229898978"/>
    <s v="46.105.100/0001-83"/>
    <s v="Anne cristinne campos froiman"/>
    <x v="8"/>
    <s v="Pipebot"/>
    <x v="172"/>
    <m/>
    <m/>
    <d v="2025-10-21T20:27:25"/>
    <d v="2025-10-22T20:27:46"/>
    <n v="1.000243"/>
    <d v="2025-10-24T20:28:08"/>
    <d v="2025-11-03T18:43:52"/>
    <n v="9.927581"/>
    <m/>
    <m/>
    <m/>
    <d v="2025-10-22T20:27:46"/>
    <d v="2025-10-22T20:27:46"/>
    <n v="0"/>
    <d v="2025-10-22T20:27:46"/>
    <d v="2025-10-24T20:28:08"/>
    <n v="2.0002550000000001"/>
    <m/>
    <m/>
    <m/>
    <m/>
    <m/>
    <n v="142.14830802082724"/>
    <x v="0"/>
    <x v="6"/>
    <x v="0"/>
    <n v="195"/>
    <n v="132"/>
    <n v="0.67692307692307696"/>
    <n v="0.67692307692307696"/>
    <n v="1"/>
  </r>
  <r>
    <n v="1304129281"/>
    <s v="55.552.165/0001-68"/>
    <s v="Antonio Claudio Lima dos Santos "/>
    <x v="7"/>
    <s v="Pipebot"/>
    <x v="173"/>
    <m/>
    <m/>
    <m/>
    <m/>
    <m/>
    <m/>
    <m/>
    <m/>
    <m/>
    <m/>
    <m/>
    <m/>
    <m/>
    <m/>
    <m/>
    <m/>
    <m/>
    <m/>
    <m/>
    <m/>
    <m/>
    <m/>
    <n v="1.2033833796303952"/>
    <x v="4"/>
    <x v="1"/>
    <x v="1"/>
    <n v="189"/>
    <n v="33"/>
    <n v="0.17460317460317459"/>
    <n v="0.17460317460317459"/>
    <n v="1"/>
  </r>
  <r>
    <n v="1227027972"/>
    <s v="44.190.053/0001-98"/>
    <s v="Antonio D alimentos "/>
    <x v="0"/>
    <s v="Pipebot"/>
    <x v="174"/>
    <m/>
    <m/>
    <m/>
    <m/>
    <m/>
    <m/>
    <m/>
    <m/>
    <m/>
    <m/>
    <m/>
    <m/>
    <m/>
    <m/>
    <m/>
    <m/>
    <m/>
    <m/>
    <m/>
    <m/>
    <m/>
    <m/>
    <n v="146.14928527776647"/>
    <x v="0"/>
    <x v="6"/>
    <x v="0"/>
    <n v="195"/>
    <n v="132"/>
    <n v="0.67692307692307696"/>
    <n v="0.67692307692307696"/>
    <n v="1"/>
  </r>
  <r>
    <n v="1293909735"/>
    <s v="49.246.626/0001-71"/>
    <s v="Antônio Dias Alves da Silva neto"/>
    <x v="5"/>
    <s v="Pipebot"/>
    <x v="175"/>
    <m/>
    <m/>
    <d v="2026-02-19T19:06:51"/>
    <d v="2026-02-20T16:52:41"/>
    <n v="0.906829"/>
    <m/>
    <m/>
    <m/>
    <m/>
    <m/>
    <m/>
    <d v="2026-02-20T16:52:42"/>
    <d v="2026-02-22T16:53:18"/>
    <n v="2.0004170000000001"/>
    <d v="2026-02-22T16:53:18"/>
    <m/>
    <n v="4.1864239999999997"/>
    <m/>
    <m/>
    <m/>
    <m/>
    <m/>
    <n v="21.203873310187191"/>
    <x v="3"/>
    <x v="1"/>
    <x v="1"/>
    <n v="189"/>
    <n v="33"/>
    <n v="0.17460317460317459"/>
    <n v="0.17460317460317459"/>
    <n v="1"/>
  </r>
  <r>
    <n v="1200311119"/>
    <s v="49.246.626/0001-71"/>
    <s v="antonio dias Alves da silva neto"/>
    <x v="0"/>
    <s v="Pipebot"/>
    <x v="176"/>
    <m/>
    <m/>
    <d v="2025-09-05T20:26:41"/>
    <d v="2025-09-06T20:27:24"/>
    <n v="1.000486"/>
    <m/>
    <m/>
    <m/>
    <m/>
    <m/>
    <m/>
    <d v="2025-09-06T20:27:24"/>
    <d v="2025-09-08T20:27:30"/>
    <n v="2.0000580000000001"/>
    <d v="2025-09-08T20:27:30"/>
    <d v="2025-09-09T17:30:47"/>
    <n v="0.87727999999999995"/>
    <m/>
    <m/>
    <m/>
    <m/>
    <m/>
    <n v="188.14824129628687"/>
    <x v="0"/>
    <x v="2"/>
    <x v="0"/>
    <n v="146"/>
    <n v="112"/>
    <n v="0.76712328767123283"/>
    <n v="0.76712328767123283"/>
    <n v="1"/>
  </r>
  <r>
    <n v="1221264735"/>
    <s v="53.927.386/0001-48"/>
    <s v="Antonio Rodrigues de Oliveira Filho"/>
    <x v="0"/>
    <s v="Pipebot"/>
    <x v="177"/>
    <m/>
    <m/>
    <m/>
    <m/>
    <m/>
    <m/>
    <m/>
    <m/>
    <m/>
    <m/>
    <m/>
    <m/>
    <m/>
    <m/>
    <m/>
    <m/>
    <m/>
    <m/>
    <m/>
    <m/>
    <m/>
    <m/>
    <n v="154.35520753473247"/>
    <x v="0"/>
    <x v="4"/>
    <x v="0"/>
    <n v="197"/>
    <n v="149"/>
    <n v="0.75634517766497467"/>
    <n v="0.75634517766497467"/>
    <n v="1"/>
  </r>
  <r>
    <n v="1252686223"/>
    <s v="42.819.620/0001-05"/>
    <s v="Armazém diCasa Comércio Varejista LTDA - 2 leitores elgin"/>
    <x v="0"/>
    <s v="Pipebot"/>
    <x v="178"/>
    <m/>
    <m/>
    <d v="2025-11-24T13:47:17"/>
    <d v="2026-01-07T13:16:47"/>
    <n v="19.905080999999999"/>
    <d v="2025-11-29T13:48:11"/>
    <d v="2025-12-19T15:16:57"/>
    <n v="20.061308"/>
    <m/>
    <m/>
    <m/>
    <d v="2025-11-25T13:47:40"/>
    <d v="2025-11-27T13:48:02"/>
    <n v="2.0002550000000001"/>
    <d v="2025-11-27T13:48:02"/>
    <d v="2025-11-29T13:48:11"/>
    <n v="2.0000930000000001"/>
    <m/>
    <m/>
    <m/>
    <m/>
    <m/>
    <n v="108.42569748842652"/>
    <x v="0"/>
    <x v="0"/>
    <x v="0"/>
    <n v="131"/>
    <n v="87"/>
    <n v="0.66412213740458015"/>
    <n v="0.66412213740458015"/>
    <n v="1"/>
  </r>
  <r>
    <n v="1268644686"/>
    <s v="52.633.876/0001-79"/>
    <s v="Anelize Fátima de Pádua Silva"/>
    <x v="5"/>
    <s v="Pipebot"/>
    <x v="179"/>
    <m/>
    <m/>
    <d v="2025-12-29T19:09:22"/>
    <d v="2026-02-19T12:35:04"/>
    <n v="1.964977"/>
    <d v="2026-01-03T19:11:12"/>
    <d v="2026-02-18T13:26:06"/>
    <n v="45.760336000000002"/>
    <m/>
    <m/>
    <m/>
    <d v="2025-12-30T19:09:59"/>
    <d v="2026-02-20T12:58:44"/>
    <n v="3.0168629999999999"/>
    <d v="2026-01-01T19:10:36"/>
    <d v="2026-01-03T19:11:12"/>
    <n v="8.3497219999999999"/>
    <m/>
    <m/>
    <m/>
    <m/>
    <m/>
    <n v="73.202462233792176"/>
    <x v="0"/>
    <x v="7"/>
    <x v="0"/>
    <n v="207"/>
    <n v="140"/>
    <n v="0.67632850241545894"/>
    <n v="0.67632850241545894"/>
    <n v="1"/>
  </r>
  <r>
    <n v="1270228906"/>
    <s v="57.508.158/0001-94"/>
    <s v="aron jeann melo da cunha"/>
    <x v="0"/>
    <s v="Pipebot"/>
    <x v="180"/>
    <m/>
    <m/>
    <d v="2026-01-01T20:17:37"/>
    <d v="2026-01-02T20:17:56"/>
    <n v="1.0002200000000001"/>
    <d v="2026-01-06T20:18:58"/>
    <d v="2026-01-12T16:59:24"/>
    <n v="5.8613999999999997"/>
    <m/>
    <m/>
    <m/>
    <d v="2026-01-02T20:17:56"/>
    <d v="2026-01-04T20:18:15"/>
    <n v="2.0002080000000002"/>
    <d v="2026-01-04T20:18:15"/>
    <d v="2026-01-06T20:18:58"/>
    <n v="2.0004979999999999"/>
    <m/>
    <m/>
    <m/>
    <m/>
    <m/>
    <n v="70.154862152783608"/>
    <x v="0"/>
    <x v="7"/>
    <x v="0"/>
    <n v="207"/>
    <n v="140"/>
    <n v="0.67632850241545894"/>
    <n v="0.67632850241545894"/>
    <n v="1"/>
  </r>
  <r>
    <n v="1225433894"/>
    <s v="18.552.180/0001-80"/>
    <s v="Asia market produtos alimentícios"/>
    <x v="0"/>
    <s v="Pipebot"/>
    <x v="181"/>
    <m/>
    <m/>
    <m/>
    <m/>
    <m/>
    <m/>
    <m/>
    <m/>
    <m/>
    <m/>
    <m/>
    <m/>
    <m/>
    <m/>
    <m/>
    <m/>
    <m/>
    <m/>
    <m/>
    <m/>
    <m/>
    <m/>
    <n v="148.16399140046269"/>
    <x v="0"/>
    <x v="6"/>
    <x v="0"/>
    <n v="195"/>
    <n v="132"/>
    <n v="0.67692307692307696"/>
    <n v="0.67692307692307696"/>
    <n v="1"/>
  </r>
  <r>
    <n v="1265626430"/>
    <s v="57.508.158/0001-94"/>
    <s v="aron jeann melo da cunha "/>
    <x v="0"/>
    <s v="Pipebot"/>
    <x v="182"/>
    <m/>
    <m/>
    <d v="2025-12-22T22:06:11"/>
    <d v="2025-12-23T22:06:13"/>
    <n v="1.0000230000000001"/>
    <d v="2025-12-27T22:06:49"/>
    <d v="2026-01-12T16:59:58"/>
    <n v="15.786898000000001"/>
    <m/>
    <m/>
    <m/>
    <d v="2025-12-23T22:06:14"/>
    <d v="2025-12-25T22:06:24"/>
    <n v="2.0001159999999998"/>
    <d v="2025-12-25T22:06:24"/>
    <d v="2025-12-27T22:06:49"/>
    <n v="2.000289"/>
    <m/>
    <m/>
    <m/>
    <m/>
    <m/>
    <n v="80.079214386576496"/>
    <x v="0"/>
    <x v="7"/>
    <x v="0"/>
    <n v="207"/>
    <n v="140"/>
    <n v="0.67632850241545894"/>
    <n v="0.67632850241545894"/>
    <n v="1"/>
  </r>
  <r>
    <n v="1173146288"/>
    <s v="58.320.361/0001-03"/>
    <s v="Áurea Ferreira da Silva "/>
    <x v="0"/>
    <s v="Pipebot"/>
    <x v="183"/>
    <m/>
    <m/>
    <d v="2025-07-22T15:26:35"/>
    <d v="2025-07-23T15:27:20"/>
    <n v="1.000521"/>
    <d v="2025-07-27T15:27:33"/>
    <d v="2025-07-29T14:07:32"/>
    <n v="1.944421"/>
    <d v="2025-07-29T14:07:32"/>
    <d v="2025-07-29T14:08:13"/>
    <n v="4.75E-4"/>
    <d v="2025-07-23T15:27:20"/>
    <d v="2025-07-25T15:27:32"/>
    <n v="2.000127"/>
    <d v="2025-07-25T15:27:32"/>
    <d v="2025-07-27T15:27:33"/>
    <n v="2.0000119999999999"/>
    <m/>
    <m/>
    <m/>
    <m/>
    <m/>
    <n v="233.35728238426236"/>
    <x v="0"/>
    <x v="5"/>
    <x v="0"/>
    <n v="177"/>
    <n v="130"/>
    <n v="0.7344632768361582"/>
    <n v="0.7344632768361582"/>
    <n v="1"/>
  </r>
  <r>
    <n v="1245354318"/>
    <s v="43.859.013/0001-23"/>
    <s v="B.A.H. COMERCIO DE ALIMENTOS LTDA"/>
    <x v="0"/>
    <s v="Pipebot"/>
    <x v="184"/>
    <m/>
    <m/>
    <d v="2025-11-10T15:05:30"/>
    <d v="2025-11-11T15:05:58"/>
    <n v="1.000313"/>
    <d v="2025-11-15T15:07:58"/>
    <d v="2025-12-19T12:43:18"/>
    <n v="33.899537000000002"/>
    <m/>
    <m/>
    <m/>
    <d v="2025-11-11T15:05:58"/>
    <d v="2025-11-13T15:06:58"/>
    <n v="2.0006940000000002"/>
    <d v="2025-11-13T15:06:58"/>
    <d v="2025-11-15T15:07:58"/>
    <n v="2.000683"/>
    <m/>
    <m/>
    <m/>
    <m/>
    <m/>
    <n v="122.37170863425854"/>
    <x v="0"/>
    <x v="6"/>
    <x v="0"/>
    <n v="195"/>
    <n v="132"/>
    <n v="0.67692307692307696"/>
    <n v="0.67692307692307696"/>
    <n v="1"/>
  </r>
  <r>
    <n v="1231461347"/>
    <s v="43.859.013/0001-23"/>
    <s v="B.A.H. COMERCIO DE ALIMENTOS LTDA"/>
    <x v="0"/>
    <s v="Pipebot"/>
    <x v="185"/>
    <m/>
    <m/>
    <d v="2025-10-23T20:25:54"/>
    <d v="2025-10-24T20:26:16"/>
    <n v="1.000243"/>
    <d v="2025-10-28T20:27:57"/>
    <d v="2025-11-17T18:25:47"/>
    <n v="19.915161999999999"/>
    <m/>
    <m/>
    <m/>
    <d v="2025-10-24T20:26:16"/>
    <d v="2025-10-26T20:27:16"/>
    <n v="2.0006940000000002"/>
    <d v="2025-10-26T20:27:16"/>
    <d v="2025-10-28T20:27:57"/>
    <n v="2.0004629999999999"/>
    <m/>
    <m/>
    <m/>
    <m/>
    <m/>
    <n v="140.14896859953296"/>
    <x v="0"/>
    <x v="6"/>
    <x v="0"/>
    <n v="195"/>
    <n v="132"/>
    <n v="0.67692307692307696"/>
    <n v="0.67692307692307696"/>
    <n v="1"/>
  </r>
  <r>
    <n v="1240026916"/>
    <s v="43.859.013/0001-23"/>
    <s v="B.A.H. COMERCIO DE ALIMENTOS LTDA"/>
    <x v="0"/>
    <s v="Pipebot"/>
    <x v="186"/>
    <m/>
    <m/>
    <d v="2025-11-03T19:05:14"/>
    <d v="2025-11-04T19:05:51"/>
    <n v="1.0004280000000001"/>
    <d v="2025-11-08T19:07:05"/>
    <d v="2025-11-17T18:26:41"/>
    <n v="8.9719440000000006"/>
    <m/>
    <m/>
    <m/>
    <d v="2025-11-04T19:05:51"/>
    <d v="2025-11-06T19:06:05"/>
    <n v="2.000162"/>
    <d v="2025-11-06T19:06:05"/>
    <d v="2025-11-08T19:07:05"/>
    <n v="2.000683"/>
    <m/>
    <m/>
    <m/>
    <m/>
    <m/>
    <n v="129.20500096064643"/>
    <x v="0"/>
    <x v="6"/>
    <x v="0"/>
    <n v="195"/>
    <n v="132"/>
    <n v="0.67692307692307696"/>
    <n v="0.67692307692307696"/>
    <n v="1"/>
  </r>
  <r>
    <n v="1271369640"/>
    <s v="62.542.953/0001-39"/>
    <s v="Audrey Araujo de Souza "/>
    <x v="0"/>
    <s v="Pipebot"/>
    <x v="187"/>
    <m/>
    <m/>
    <d v="2026-01-05T15:10:13"/>
    <d v="2026-01-06T15:11:04"/>
    <n v="1.0005790000000001"/>
    <d v="2026-01-10T15:12:11"/>
    <d v="2026-01-16T12:50:48"/>
    <n v="5.9018059999999997"/>
    <m/>
    <m/>
    <m/>
    <d v="2026-01-06T15:11:04"/>
    <d v="2026-01-08T15:12:02"/>
    <n v="2.0006710000000001"/>
    <d v="2026-01-08T15:12:02"/>
    <d v="2026-01-10T15:12:11"/>
    <n v="2.0001039999999999"/>
    <m/>
    <m/>
    <m/>
    <m/>
    <m/>
    <n v="66.368509918982454"/>
    <x v="0"/>
    <x v="7"/>
    <x v="0"/>
    <n v="207"/>
    <n v="140"/>
    <n v="0.67632850241545894"/>
    <n v="0.67632850241545894"/>
    <n v="1"/>
  </r>
  <r>
    <n v="1210993121"/>
    <s v="28.722.292/0001-95"/>
    <s v="BAP CAFÉ SÃO PAULO"/>
    <x v="5"/>
    <s v="Pipebot"/>
    <x v="188"/>
    <m/>
    <m/>
    <d v="2025-09-23T15:26:58"/>
    <d v="2026-02-16T12:51:12"/>
    <n v="3.8723260000000002"/>
    <d v="2025-09-28T15:27:10"/>
    <d v="2026-02-13T16:02:07"/>
    <n v="138.01942099999999"/>
    <m/>
    <m/>
    <m/>
    <d v="2025-09-24T15:27:04"/>
    <d v="2026-02-18T13:21:01"/>
    <n v="4.0207410000000001"/>
    <d v="2025-09-26T15:27:08"/>
    <d v="2025-09-28T15:27:10"/>
    <n v="10.333866"/>
    <m/>
    <m/>
    <m/>
    <m/>
    <m/>
    <n v="170.35688857638888"/>
    <x v="0"/>
    <x v="4"/>
    <x v="0"/>
    <n v="197"/>
    <n v="149"/>
    <n v="0.75634517766497467"/>
    <n v="0.75634517766497467"/>
    <n v="1"/>
  </r>
  <r>
    <n v="1251209043"/>
    <s v="28.722.292/0001-95"/>
    <s v="BAP CAFÉ SÃO PAULO"/>
    <x v="5"/>
    <s v="Pipebot"/>
    <x v="189"/>
    <m/>
    <m/>
    <d v="2025-11-20T19:04:26"/>
    <d v="2026-02-16T12:51:25"/>
    <n v="3.8667250000000002"/>
    <d v="2025-11-23T19:05:06"/>
    <d v="2026-02-13T16:03:44"/>
    <n v="81.874038999999996"/>
    <m/>
    <m/>
    <m/>
    <d v="2025-11-21T19:04:51"/>
    <d v="2026-02-18T13:21:21"/>
    <n v="4.0209489999999999"/>
    <d v="2025-11-23T19:05:06"/>
    <d v="2025-11-23T19:05:06"/>
    <n v="8.3336109999999994"/>
    <m/>
    <m/>
    <m/>
    <m/>
    <m/>
    <n v="112.20551111111126"/>
    <x v="0"/>
    <x v="0"/>
    <x v="0"/>
    <n v="131"/>
    <n v="87"/>
    <n v="0.66412213740458015"/>
    <n v="0.66412213740458015"/>
    <n v="1"/>
  </r>
  <r>
    <n v="1258871373"/>
    <s v="28.722.292/0001-95"/>
    <s v="BAP CAFÉ SÃO PAULO"/>
    <x v="5"/>
    <s v="Pipebot"/>
    <x v="190"/>
    <m/>
    <m/>
    <d v="2025-12-08T19:08:25"/>
    <d v="2026-02-18T13:24:52"/>
    <n v="3.022697"/>
    <d v="2025-12-13T19:09:40"/>
    <d v="2026-02-16T12:52:50"/>
    <n v="64.738309999999998"/>
    <m/>
    <m/>
    <m/>
    <d v="2025-12-09T19:09:06"/>
    <d v="2026-02-19T12:27:28"/>
    <n v="2.9604400000000002"/>
    <d v="2025-12-11T19:09:33"/>
    <d v="2025-12-13T19:09:40"/>
    <n v="9.3711110000000009"/>
    <m/>
    <m/>
    <m/>
    <m/>
    <m/>
    <n v="94.203331782409805"/>
    <x v="0"/>
    <x v="0"/>
    <x v="0"/>
    <n v="131"/>
    <n v="87"/>
    <n v="0.66412213740458015"/>
    <n v="0.66412213740458015"/>
    <n v="1"/>
  </r>
  <r>
    <n v="1257102769"/>
    <s v="28.722.292/0001-95"/>
    <s v="BAP CAFÉ SÃO PAULO"/>
    <x v="5"/>
    <s v="Pipebot"/>
    <x v="191"/>
    <m/>
    <m/>
    <d v="2025-12-03T19:06:12"/>
    <d v="2026-02-18T13:24:48"/>
    <n v="3.022303"/>
    <d v="2025-12-08T19:07:22"/>
    <d v="2026-02-16T12:52:48"/>
    <n v="69.739873000000003"/>
    <m/>
    <m/>
    <m/>
    <d v="2025-12-04T19:06:19"/>
    <d v="2026-02-19T12:27:23"/>
    <n v="2.9602430000000002"/>
    <d v="2025-12-06T19:06:29"/>
    <d v="2025-12-08T19:07:22"/>
    <n v="9.3716899999999992"/>
    <m/>
    <m/>
    <m/>
    <m/>
    <m/>
    <n v="99.204318182870338"/>
    <x v="0"/>
    <x v="0"/>
    <x v="0"/>
    <n v="131"/>
    <n v="87"/>
    <n v="0.66412213740458015"/>
    <n v="0.66412213740458015"/>
    <n v="1"/>
  </r>
  <r>
    <n v="1293959405"/>
    <s v="59.002.735/0001-05"/>
    <s v="Barbara"/>
    <x v="0"/>
    <s v="Pipebot"/>
    <x v="192"/>
    <m/>
    <m/>
    <m/>
    <m/>
    <m/>
    <m/>
    <m/>
    <m/>
    <m/>
    <m/>
    <m/>
    <m/>
    <m/>
    <m/>
    <m/>
    <m/>
    <m/>
    <m/>
    <m/>
    <m/>
    <m/>
    <m/>
    <n v="21.16510243054654"/>
    <x v="3"/>
    <x v="1"/>
    <x v="1"/>
    <n v="189"/>
    <n v="33"/>
    <n v="0.17460317460317459"/>
    <n v="0.17460317460317459"/>
    <n v="1"/>
  </r>
  <r>
    <n v="1261737905"/>
    <s v="43.859.013/0001-23"/>
    <s v="B.A.H. COMERCIO DE ALIMENTOS LTDA"/>
    <x v="0"/>
    <s v="Pipebot"/>
    <x v="193"/>
    <m/>
    <m/>
    <d v="2025-12-15T13:01:09"/>
    <d v="2025-12-16T13:01:47"/>
    <n v="1.00044"/>
    <m/>
    <m/>
    <m/>
    <m/>
    <m/>
    <m/>
    <d v="2025-12-16T13:01:47"/>
    <d v="2025-12-18T13:02:51"/>
    <n v="2.0007290000000002"/>
    <d v="2025-12-18T13:02:51"/>
    <d v="2025-12-19T14:44:44"/>
    <n v="1.070336"/>
    <m/>
    <m/>
    <m/>
    <m/>
    <m/>
    <n v="87.458312071757973"/>
    <x v="0"/>
    <x v="7"/>
    <x v="0"/>
    <n v="207"/>
    <n v="140"/>
    <n v="0.67632850241545894"/>
    <n v="0.67632850241545894"/>
    <n v="1"/>
  </r>
  <r>
    <n v="1237689661"/>
    <s v="05.121.076/0001-99"/>
    <s v="Be Honest DAngelo Comércio e Serviços Ltda"/>
    <x v="0"/>
    <s v="Pipebot"/>
    <x v="194"/>
    <m/>
    <m/>
    <d v="2025-10-30T19:05:34"/>
    <d v="2025-10-31T19:06:04"/>
    <n v="1.0003470000000001"/>
    <m/>
    <m/>
    <m/>
    <m/>
    <m/>
    <m/>
    <d v="2025-10-31T19:06:04"/>
    <d v="2025-11-02T19:06:38"/>
    <n v="2.0003820000000001"/>
    <d v="2025-11-02T19:06:38"/>
    <d v="2025-11-03T20:05:35"/>
    <n v="1.0409379999999999"/>
    <m/>
    <m/>
    <m/>
    <m/>
    <m/>
    <n v="133.20484920139279"/>
    <x v="0"/>
    <x v="6"/>
    <x v="0"/>
    <n v="195"/>
    <n v="132"/>
    <n v="0.67692307692307696"/>
    <n v="0.67692307692307696"/>
    <n v="1"/>
  </r>
  <r>
    <n v="1231461543"/>
    <s v="05.121.076/0001-99"/>
    <s v="Be Honest DAngelo Comércio e Serviços Ltda"/>
    <x v="0"/>
    <s v="Pipebot"/>
    <x v="195"/>
    <m/>
    <m/>
    <m/>
    <m/>
    <m/>
    <m/>
    <m/>
    <m/>
    <m/>
    <m/>
    <m/>
    <m/>
    <m/>
    <m/>
    <m/>
    <m/>
    <m/>
    <m/>
    <m/>
    <m/>
    <m/>
    <m/>
    <n v="140.14879362267675"/>
    <x v="0"/>
    <x v="6"/>
    <x v="0"/>
    <n v="195"/>
    <n v="132"/>
    <n v="0.67692307692307696"/>
    <n v="0.67692307692307696"/>
    <n v="1"/>
  </r>
  <r>
    <n v="1284079724"/>
    <s v="05.121.076/0001-99"/>
    <s v="Be Honest DAngelo Comércio e Serviços Ltda"/>
    <x v="0"/>
    <s v="Pipebot"/>
    <x v="196"/>
    <m/>
    <m/>
    <d v="2026-02-02T19:07:44"/>
    <d v="2026-02-03T19:08:46"/>
    <n v="1.000718"/>
    <m/>
    <m/>
    <m/>
    <m/>
    <m/>
    <m/>
    <d v="2026-02-03T19:08:46"/>
    <d v="2026-02-05T19:09:16"/>
    <n v="2.0003359999999999"/>
    <d v="2026-02-05T19:09:16"/>
    <d v="2026-02-06T20:21:37"/>
    <n v="1.050243"/>
    <m/>
    <m/>
    <m/>
    <m/>
    <m/>
    <n v="38.203544537027483"/>
    <x v="2"/>
    <x v="3"/>
    <x v="1"/>
    <n v="223"/>
    <n v="147"/>
    <n v="0.65919282511210764"/>
    <n v="0.65919282511210764"/>
    <n v="1"/>
  </r>
  <r>
    <n v="1286721706"/>
    <s v="05.121.076/0001-99"/>
    <s v="Be Honest DAngelo Comércio e Serviços Ltda"/>
    <x v="0"/>
    <s v="Pipebot"/>
    <x v="197"/>
    <m/>
    <m/>
    <d v="2026-02-06T19:08:27"/>
    <d v="2026-02-06T20:22:05"/>
    <n v="5.1123000000000002E-2"/>
    <m/>
    <m/>
    <m/>
    <m/>
    <m/>
    <m/>
    <m/>
    <m/>
    <m/>
    <m/>
    <m/>
    <m/>
    <m/>
    <m/>
    <m/>
    <m/>
    <m/>
    <n v="34.203276701387949"/>
    <x v="2"/>
    <x v="3"/>
    <x v="1"/>
    <n v="223"/>
    <n v="147"/>
    <n v="0.65919282511210764"/>
    <n v="0.65919282511210764"/>
    <n v="1"/>
  </r>
  <r>
    <n v="1237689842"/>
    <s v="05.121.076/0001-99"/>
    <s v="Be Honest DAngelo Comércio e Serviços Ltda 3"/>
    <x v="0"/>
    <s v="Pipebot"/>
    <x v="198"/>
    <m/>
    <m/>
    <d v="2025-10-30T19:05:32"/>
    <d v="2025-10-31T19:06:04"/>
    <n v="1.000359"/>
    <m/>
    <m/>
    <m/>
    <m/>
    <m/>
    <m/>
    <d v="2025-10-31T19:06:04"/>
    <d v="2025-11-02T19:06:38"/>
    <n v="2.0003820000000001"/>
    <d v="2025-11-02T19:06:38"/>
    <d v="2025-11-03T20:05:50"/>
    <n v="1.0411109999999999"/>
    <m/>
    <m/>
    <m/>
    <m/>
    <m/>
    <n v="133.20476096065249"/>
    <x v="0"/>
    <x v="6"/>
    <x v="0"/>
    <n v="195"/>
    <n v="132"/>
    <n v="0.67692307692307696"/>
    <n v="0.67692307692307696"/>
    <n v="1"/>
  </r>
  <r>
    <n v="1252885264"/>
    <s v="62.702.404/0001-84"/>
    <s v="BEATRIZ CAVALLARI"/>
    <x v="5"/>
    <s v="Pipebot"/>
    <x v="199"/>
    <m/>
    <m/>
    <d v="2025-11-24T19:06:49"/>
    <d v="2026-02-16T12:51:54"/>
    <n v="3.866933"/>
    <d v="2025-11-29T19:08:11"/>
    <d v="2026-02-13T16:03:46"/>
    <n v="75.871932999999999"/>
    <m/>
    <m/>
    <m/>
    <d v="2025-11-25T19:07:05"/>
    <d v="2026-02-18T13:21:26"/>
    <n v="4.0207290000000002"/>
    <d v="2025-11-27T19:07:25"/>
    <d v="2025-11-29T19:08:11"/>
    <n v="10.334073999999999"/>
    <m/>
    <m/>
    <m/>
    <m/>
    <m/>
    <n v="108.20451761574077"/>
    <x v="0"/>
    <x v="0"/>
    <x v="0"/>
    <n v="131"/>
    <n v="87"/>
    <n v="0.66412213740458015"/>
    <n v="0.66412213740458015"/>
    <n v="1"/>
  </r>
  <r>
    <n v="1260495746"/>
    <s v="43.716.267/0001-92"/>
    <s v="Beatriz Santos Porto Teixeira da Silva "/>
    <x v="0"/>
    <s v="Pipebot"/>
    <x v="200"/>
    <m/>
    <m/>
    <d v="2025-12-11T19:07:16"/>
    <d v="2025-12-12T19:07:23"/>
    <n v="1.0000690000000001"/>
    <d v="2025-12-16T19:08:48"/>
    <d v="2025-12-20T11:02:56"/>
    <n v="3.6625930000000002"/>
    <m/>
    <m/>
    <m/>
    <d v="2025-12-12T19:07:23"/>
    <d v="2025-12-14T19:08:02"/>
    <n v="2.0004400000000002"/>
    <d v="2025-12-14T19:08:02"/>
    <d v="2025-12-16T19:08:48"/>
    <n v="2.000521"/>
    <m/>
    <m/>
    <m/>
    <m/>
    <m/>
    <n v="91.203746111110377"/>
    <x v="0"/>
    <x v="0"/>
    <x v="0"/>
    <n v="131"/>
    <n v="87"/>
    <n v="0.66412213740458015"/>
    <n v="0.66412213740458015"/>
    <n v="1"/>
  </r>
  <r>
    <n v="1289419630"/>
    <s v="61.726.273/0001-02"/>
    <s v="Bem Perto Market ltda"/>
    <x v="0"/>
    <s v="Pipebot"/>
    <x v="201"/>
    <m/>
    <m/>
    <d v="2026-02-11T15:05:50"/>
    <d v="2026-02-11T20:44:57"/>
    <n v="0.235486"/>
    <d v="2026-02-11T20:44:57"/>
    <d v="2026-02-12T19:39:46"/>
    <n v="0.95473399999999997"/>
    <m/>
    <m/>
    <m/>
    <m/>
    <m/>
    <m/>
    <m/>
    <m/>
    <m/>
    <m/>
    <m/>
    <m/>
    <m/>
    <m/>
    <n v="29.371439895832737"/>
    <x v="5"/>
    <x v="3"/>
    <x v="1"/>
    <n v="223"/>
    <n v="147"/>
    <n v="0.65919282511210764"/>
    <n v="0.65919282511210764"/>
    <n v="1"/>
  </r>
  <r>
    <n v="1183424956"/>
    <s v="21.305.885/0001-07"/>
    <s v="Benedito da Silva Filho "/>
    <x v="0"/>
    <s v="Pipebot"/>
    <x v="202"/>
    <m/>
    <m/>
    <m/>
    <m/>
    <m/>
    <m/>
    <m/>
    <m/>
    <m/>
    <m/>
    <m/>
    <m/>
    <m/>
    <m/>
    <m/>
    <m/>
    <m/>
    <m/>
    <m/>
    <m/>
    <m/>
    <m/>
    <n v="216.14726284723292"/>
    <x v="0"/>
    <x v="5"/>
    <x v="0"/>
    <n v="177"/>
    <n v="130"/>
    <n v="0.7344632768361582"/>
    <n v="0.7344632768361582"/>
    <n v="1"/>
  </r>
  <r>
    <n v="1270228122"/>
    <s v="55.719.425/0001-47"/>
    <s v="BCL ALITECH COMÉRCIO DE ALIMENTOS"/>
    <x v="5"/>
    <s v="Pipebot"/>
    <x v="203"/>
    <m/>
    <m/>
    <d v="2026-01-01T20:15:38"/>
    <d v="2026-02-19T12:35:12"/>
    <n v="1.9647220000000001"/>
    <d v="2026-01-06T20:17:01"/>
    <d v="2026-02-18T13:26:16"/>
    <n v="42.714756999999999"/>
    <m/>
    <m/>
    <m/>
    <d v="2026-01-02T20:15:55"/>
    <d v="2026-02-20T12:58:55"/>
    <n v="3.0165280000000001"/>
    <d v="2026-01-04T20:16:01"/>
    <d v="2026-01-06T20:17:01"/>
    <n v="8.3498839999999994"/>
    <m/>
    <m/>
    <m/>
    <m/>
    <m/>
    <n v="70.155899456018233"/>
    <x v="0"/>
    <x v="7"/>
    <x v="0"/>
    <n v="207"/>
    <n v="140"/>
    <n v="0.67632850241545894"/>
    <n v="0.67632850241545894"/>
    <n v="1"/>
  </r>
  <r>
    <n v="1240711295"/>
    <s v="60.950.438/0001-62"/>
    <s v="BENI S 25 COMERCIO E VAREJO LTDA"/>
    <x v="0"/>
    <s v="Pipebot"/>
    <x v="204"/>
    <m/>
    <m/>
    <d v="2025-11-04T19:05:51"/>
    <d v="2025-11-05T19:06:45"/>
    <n v="1.0006250000000001"/>
    <d v="2025-11-09T19:07:34"/>
    <d v="2025-12-01T13:30:58"/>
    <n v="21.766249999999999"/>
    <d v="2025-12-01T13:30:58"/>
    <d v="2025-12-01T13:31:06"/>
    <n v="9.2999999999999997E-5"/>
    <d v="2025-11-05T19:06:46"/>
    <d v="2025-11-07T19:06:58"/>
    <n v="2.0001389999999999"/>
    <d v="2025-11-07T19:06:58"/>
    <d v="2025-11-09T19:07:34"/>
    <n v="2.0004050000000002"/>
    <m/>
    <m/>
    <m/>
    <m/>
    <m/>
    <n v="128.20442001157789"/>
    <x v="0"/>
    <x v="6"/>
    <x v="0"/>
    <n v="195"/>
    <n v="132"/>
    <n v="0.67692307692307696"/>
    <n v="0.67692307692307696"/>
    <n v="1"/>
  </r>
  <r>
    <n v="1175343341"/>
    <s v="54.112.730/0001-03"/>
    <s v="BIANCA NOEMI FERREIRA DOS SANTOS"/>
    <x v="5"/>
    <s v="Pipebot"/>
    <x v="205"/>
    <m/>
    <m/>
    <d v="2025-07-26T20:26:13"/>
    <d v="2026-02-12T12:25:23"/>
    <n v="1.645764"/>
    <d v="2025-07-31T20:27:38"/>
    <d v="2026-02-11T20:55:58"/>
    <n v="195.019676"/>
    <m/>
    <m/>
    <m/>
    <d v="2025-07-27T20:26:42"/>
    <d v="2026-02-13T15:59:18"/>
    <n v="3.1487379999999998"/>
    <d v="2025-07-29T20:26:59"/>
    <d v="2025-07-31T20:27:38"/>
    <n v="15.224363"/>
    <m/>
    <m/>
    <m/>
    <m/>
    <m/>
    <n v="229.14886199074681"/>
    <x v="0"/>
    <x v="5"/>
    <x v="0"/>
    <n v="177"/>
    <n v="130"/>
    <n v="0.7344632768361582"/>
    <n v="0.7344632768361582"/>
    <n v="1"/>
  </r>
  <r>
    <n v="1194685421"/>
    <s v="49.894.809/0001-01"/>
    <s v="Bibi pães e doces"/>
    <x v="8"/>
    <s v="Pipebot"/>
    <x v="206"/>
    <m/>
    <m/>
    <d v="2025-08-27T20:25:54"/>
    <d v="2025-08-28T20:25:59"/>
    <n v="1.0000579999999999"/>
    <d v="2025-09-01T20:26:23"/>
    <d v="2025-11-03T18:43:57"/>
    <n v="62.928854000000001"/>
    <m/>
    <m/>
    <m/>
    <d v="2025-08-28T20:25:59"/>
    <d v="2025-08-30T20:26:16"/>
    <n v="2.0001850000000001"/>
    <d v="2025-08-30T20:26:16"/>
    <d v="2025-09-01T20:26:23"/>
    <n v="2.0000810000000002"/>
    <m/>
    <m/>
    <m/>
    <m/>
    <m/>
    <n v="197.14902541667107"/>
    <x v="0"/>
    <x v="2"/>
    <x v="0"/>
    <n v="146"/>
    <n v="112"/>
    <n v="0.76712328767123283"/>
    <n v="0.76712328767123283"/>
    <n v="1"/>
  </r>
  <r>
    <n v="1220842570"/>
    <s v="29.159.652/0001-55"/>
    <s v="Bio re9 comércio de cosméticos e alimentos Ltda "/>
    <x v="0"/>
    <s v="Pipebot"/>
    <x v="207"/>
    <m/>
    <m/>
    <m/>
    <m/>
    <m/>
    <m/>
    <m/>
    <m/>
    <m/>
    <m/>
    <m/>
    <m/>
    <m/>
    <m/>
    <m/>
    <m/>
    <m/>
    <m/>
    <m/>
    <m/>
    <m/>
    <m/>
    <n v="155.14821384259267"/>
    <x v="0"/>
    <x v="4"/>
    <x v="0"/>
    <n v="197"/>
    <n v="149"/>
    <n v="0.75634517766497467"/>
    <n v="0.75634517766497467"/>
    <n v="1"/>
  </r>
  <r>
    <n v="1299196735"/>
    <s v="54.905.145/0001-60"/>
    <s v="BLESSED MARKET LTDA"/>
    <x v="7"/>
    <s v="Pipebot"/>
    <x v="208"/>
    <m/>
    <m/>
    <m/>
    <m/>
    <m/>
    <m/>
    <m/>
    <m/>
    <m/>
    <m/>
    <m/>
    <m/>
    <m/>
    <m/>
    <m/>
    <m/>
    <m/>
    <m/>
    <m/>
    <m/>
    <m/>
    <m/>
    <n v="8.0793675000022631"/>
    <x v="4"/>
    <x v="1"/>
    <x v="1"/>
    <n v="189"/>
    <n v="33"/>
    <n v="0.17460317460317459"/>
    <n v="0.17460317460317459"/>
    <n v="1"/>
  </r>
  <r>
    <n v="1216121276"/>
    <s v="53.258.843/0001-59"/>
    <s v="Box Farma"/>
    <x v="0"/>
    <s v="Pipebot"/>
    <x v="209"/>
    <m/>
    <m/>
    <d v="2025-10-01T19:07:06"/>
    <d v="2025-10-02T19:07:11"/>
    <n v="1.0000579999999999"/>
    <d v="2025-10-06T19:08:20"/>
    <d v="2025-11-17T20:13:12"/>
    <n v="42.045034999999999"/>
    <d v="2025-11-17T20:13:12"/>
    <d v="2025-11-17T20:13:36"/>
    <n v="2.7799999999999998E-4"/>
    <d v="2025-10-02T19:07:11"/>
    <d v="2025-10-04T19:07:30"/>
    <n v="2.0002200000000001"/>
    <d v="2025-10-04T19:07:31"/>
    <d v="2025-10-06T19:08:20"/>
    <n v="2.0005670000000002"/>
    <m/>
    <m/>
    <m/>
    <m/>
    <m/>
    <n v="162.20372471064911"/>
    <x v="0"/>
    <x v="4"/>
    <x v="0"/>
    <n v="197"/>
    <n v="149"/>
    <n v="0.75634517766497467"/>
    <n v="0.75634517766497467"/>
    <n v="1"/>
  </r>
  <r>
    <n v="1198887371"/>
    <s v="37.764.761/0001-20"/>
    <s v="BOX MARKET COMERCIAL LTDA"/>
    <x v="0"/>
    <s v="Pipebot"/>
    <x v="210"/>
    <m/>
    <m/>
    <m/>
    <m/>
    <m/>
    <m/>
    <m/>
    <m/>
    <m/>
    <m/>
    <m/>
    <m/>
    <m/>
    <m/>
    <m/>
    <m/>
    <m/>
    <m/>
    <m/>
    <m/>
    <m/>
    <m/>
    <n v="190.14815259259194"/>
    <x v="0"/>
    <x v="2"/>
    <x v="0"/>
    <n v="146"/>
    <n v="112"/>
    <n v="0.76712328767123283"/>
    <n v="0.76712328767123283"/>
    <n v="1"/>
  </r>
  <r>
    <n v="1184721977"/>
    <s v="37.764.761/0001-20"/>
    <s v="BOX MARKET COMERCIAL LTDA"/>
    <x v="0"/>
    <s v="Pipebot"/>
    <x v="211"/>
    <m/>
    <m/>
    <m/>
    <m/>
    <m/>
    <m/>
    <m/>
    <m/>
    <m/>
    <m/>
    <m/>
    <m/>
    <m/>
    <m/>
    <m/>
    <m/>
    <m/>
    <m/>
    <m/>
    <m/>
    <m/>
    <m/>
    <n v="213.14783614582848"/>
    <x v="0"/>
    <x v="5"/>
    <x v="0"/>
    <n v="177"/>
    <n v="130"/>
    <n v="0.7344632768361582"/>
    <n v="0.7344632768361582"/>
    <n v="1"/>
  </r>
  <r>
    <n v="1225455826"/>
    <s v="37.764.761/0001-20"/>
    <s v="BOX MARKET COMERCIAL LTDA."/>
    <x v="5"/>
    <s v="Pipebot"/>
    <x v="212"/>
    <m/>
    <m/>
    <d v="2026-02-12T12:29:48"/>
    <d v="2026-02-13T12:30:17"/>
    <n v="1.0003359999999999"/>
    <d v="2025-10-10T17:35:51"/>
    <d v="2026-02-12T12:29:48"/>
    <n v="124.787454"/>
    <m/>
    <m/>
    <m/>
    <d v="2026-02-13T12:30:17"/>
    <d v="2026-02-13T15:59:59"/>
    <n v="0.14561299999999999"/>
    <d v="2026-02-13T15:59:59"/>
    <m/>
    <n v="13.223449"/>
    <m/>
    <m/>
    <m/>
    <m/>
    <m/>
    <n v="148.14889079861314"/>
    <x v="0"/>
    <x v="6"/>
    <x v="0"/>
    <n v="195"/>
    <n v="132"/>
    <n v="0.67692307692307696"/>
    <n v="0.67692307692307696"/>
    <n v="1"/>
  </r>
  <r>
    <n v="1263523516"/>
    <s v="21.305.885/0001-07"/>
    <s v="Benedito da Silva Filho "/>
    <x v="0"/>
    <s v="Pipebot"/>
    <x v="213"/>
    <m/>
    <m/>
    <d v="2025-12-17T20:24:46"/>
    <d v="2025-12-18T20:24:56"/>
    <n v="1.000116"/>
    <d v="2025-12-22T20:25:16"/>
    <d v="2026-01-12T13:58:55"/>
    <n v="20.73169"/>
    <m/>
    <m/>
    <m/>
    <d v="2025-12-18T20:24:56"/>
    <d v="2025-12-20T20:25:08"/>
    <n v="2.000127"/>
    <d v="2025-12-20T20:25:08"/>
    <d v="2025-12-22T20:25:16"/>
    <n v="2.0000930000000001"/>
    <m/>
    <m/>
    <m/>
    <m/>
    <m/>
    <n v="85.149831828697643"/>
    <x v="0"/>
    <x v="7"/>
    <x v="0"/>
    <n v="207"/>
    <n v="140"/>
    <n v="0.67632850241545894"/>
    <n v="0.67632850241545894"/>
    <n v="1"/>
  </r>
  <r>
    <n v="1223951360"/>
    <s v="53.856.924/0001-50"/>
    <s v="Braga Minimercados (ler comentários - BOLETO GERADO E ENVIADO AO CLIENTE)"/>
    <x v="5"/>
    <s v="Pipebot"/>
    <x v="214"/>
    <m/>
    <m/>
    <d v="2025-10-13T20:39:24"/>
    <d v="2026-02-13T16:00:47"/>
    <n v="2.148056"/>
    <d v="2025-10-18T20:40:55"/>
    <d v="2026-02-12T12:28:31"/>
    <n v="116.658044"/>
    <m/>
    <m/>
    <m/>
    <d v="2025-10-14T20:40:20"/>
    <d v="2026-02-16T12:49:09"/>
    <n v="4.8672339999999998"/>
    <d v="2025-10-16T20:40:48"/>
    <d v="2025-10-18T20:40:55"/>
    <n v="12.356042"/>
    <m/>
    <m/>
    <m/>
    <m/>
    <m/>
    <n v="150.1398349421288"/>
    <x v="0"/>
    <x v="4"/>
    <x v="0"/>
    <n v="197"/>
    <n v="149"/>
    <n v="0.75634517766497467"/>
    <n v="0.75634517766497467"/>
    <n v="1"/>
  </r>
  <r>
    <n v="1215955937"/>
    <s v="43.585.490/0001-48"/>
    <s v="Bragiao e Bragiao Ltda"/>
    <x v="0"/>
    <s v="Pipebot"/>
    <x v="215"/>
    <m/>
    <m/>
    <m/>
    <m/>
    <m/>
    <m/>
    <m/>
    <m/>
    <m/>
    <m/>
    <m/>
    <m/>
    <m/>
    <m/>
    <m/>
    <m/>
    <m/>
    <m/>
    <m/>
    <m/>
    <m/>
    <m/>
    <n v="162.35732807870227"/>
    <x v="0"/>
    <x v="4"/>
    <x v="0"/>
    <n v="197"/>
    <n v="149"/>
    <n v="0.75634517766497467"/>
    <n v="0.75634517766497467"/>
    <n v="1"/>
  </r>
  <r>
    <n v="1186004846"/>
    <s v="43.585.490/0001-48"/>
    <s v="Bragiao e Bragiao Ltda"/>
    <x v="0"/>
    <s v="Pipebot"/>
    <x v="216"/>
    <m/>
    <m/>
    <m/>
    <m/>
    <m/>
    <m/>
    <m/>
    <m/>
    <m/>
    <m/>
    <m/>
    <m/>
    <m/>
    <m/>
    <m/>
    <m/>
    <m/>
    <m/>
    <m/>
    <m/>
    <m/>
    <m/>
    <n v="211.14886258102342"/>
    <x v="0"/>
    <x v="5"/>
    <x v="0"/>
    <n v="177"/>
    <n v="130"/>
    <n v="0.7344632768361582"/>
    <n v="0.7344632768361582"/>
    <n v="1"/>
  </r>
  <r>
    <n v="1181275700"/>
    <s v="43.585.490/0001-48"/>
    <s v="Bragiao e Bragiao Ltda - modulo"/>
    <x v="0"/>
    <s v="Pipebot"/>
    <x v="217"/>
    <m/>
    <m/>
    <m/>
    <m/>
    <m/>
    <m/>
    <m/>
    <m/>
    <m/>
    <m/>
    <m/>
    <m/>
    <m/>
    <m/>
    <m/>
    <m/>
    <m/>
    <m/>
    <m/>
    <m/>
    <m/>
    <m/>
    <n v="219.14880127314973"/>
    <x v="0"/>
    <x v="5"/>
    <x v="0"/>
    <n v="177"/>
    <n v="130"/>
    <n v="0.7344632768361582"/>
    <n v="0.7344632768361582"/>
    <n v="1"/>
  </r>
  <r>
    <n v="1179015888"/>
    <s v="56.146.303/0001-71"/>
    <s v="Bright Comércio de alimentos Paulínia ltda."/>
    <x v="0"/>
    <s v="Pipebot"/>
    <x v="218"/>
    <m/>
    <m/>
    <m/>
    <m/>
    <m/>
    <m/>
    <m/>
    <m/>
    <m/>
    <m/>
    <m/>
    <m/>
    <m/>
    <m/>
    <m/>
    <m/>
    <m/>
    <m/>
    <m/>
    <m/>
    <m/>
    <m/>
    <n v="223.14830789351254"/>
    <x v="0"/>
    <x v="5"/>
    <x v="0"/>
    <n v="177"/>
    <n v="130"/>
    <n v="0.7344632768361582"/>
    <n v="0.7344632768361582"/>
    <n v="1"/>
  </r>
  <r>
    <n v="1278220409"/>
    <s v="46.088.846/0001-26"/>
    <s v="Bruna Caroline kosinski "/>
    <x v="5"/>
    <s v="Pipebot"/>
    <x v="219"/>
    <m/>
    <m/>
    <d v="2026-01-21T15:05:48"/>
    <d v="2026-02-19T12:36:00"/>
    <n v="1.9644680000000001"/>
    <d v="2026-01-26T15:07:38"/>
    <d v="2026-02-18T13:27:43"/>
    <n v="22.930613000000001"/>
    <m/>
    <m/>
    <m/>
    <d v="2026-01-22T15:06:22"/>
    <d v="2026-02-20T16:50:14"/>
    <n v="3.176863"/>
    <d v="2026-01-24T15:06:50"/>
    <d v="2026-01-26T15:07:37"/>
    <n v="8.1890970000000003"/>
    <m/>
    <m/>
    <m/>
    <m/>
    <m/>
    <n v="50.37153112267697"/>
    <x v="2"/>
    <x v="3"/>
    <x v="1"/>
    <n v="223"/>
    <n v="147"/>
    <n v="0.65919282511210764"/>
    <n v="0.65919282511210764"/>
    <n v="1"/>
  </r>
  <r>
    <n v="1285246692"/>
    <s v="46.088.846/0001-26"/>
    <s v="Bruna Caroline kosinski  Quit Market. Acionada Sofia 18/02 (comentários)"/>
    <x v="5"/>
    <s v="Pipebot"/>
    <x v="220"/>
    <m/>
    <m/>
    <d v="2026-02-04T19:04:33"/>
    <d v="2026-02-20T16:52:14"/>
    <n v="2.1741899999999998"/>
    <d v="2026-02-09T19:06:12"/>
    <d v="2026-02-19T12:42:05"/>
    <n v="9.7332520000000002"/>
    <m/>
    <m/>
    <m/>
    <d v="2026-02-05T19:05:14"/>
    <d v="2026-02-23T13:32:47"/>
    <n v="4.8615279999999998"/>
    <d v="2026-02-07T19:05:18"/>
    <d v="2026-02-09T19:06:12"/>
    <n v="5.3262850000000004"/>
    <m/>
    <m/>
    <m/>
    <m/>
    <m/>
    <n v="36.205967569447239"/>
    <x v="2"/>
    <x v="3"/>
    <x v="1"/>
    <n v="223"/>
    <n v="147"/>
    <n v="0.65919282511210764"/>
    <n v="0.65919282511210764"/>
    <n v="1"/>
  </r>
  <r>
    <n v="1291854044"/>
    <s v="64.136.579/0001-05"/>
    <s v="Bruna Cruz Sanchez Eugenio"/>
    <x v="0"/>
    <s v="Pipebot"/>
    <x v="221"/>
    <m/>
    <m/>
    <m/>
    <m/>
    <m/>
    <m/>
    <m/>
    <m/>
    <m/>
    <m/>
    <m/>
    <m/>
    <m/>
    <m/>
    <m/>
    <m/>
    <m/>
    <m/>
    <m/>
    <m/>
    <m/>
    <m/>
    <n v="24.370940810193133"/>
    <x v="5"/>
    <x v="1"/>
    <x v="1"/>
    <n v="189"/>
    <n v="33"/>
    <n v="0.17460317460317459"/>
    <n v="0.17460317460317459"/>
    <n v="1"/>
  </r>
  <r>
    <n v="1276427641"/>
    <s v="64.136.579/0001-05"/>
    <s v="Bruna Cruz Sanchez Eugenio"/>
    <x v="0"/>
    <s v="Pipebot"/>
    <x v="222"/>
    <m/>
    <m/>
    <m/>
    <m/>
    <m/>
    <m/>
    <m/>
    <m/>
    <m/>
    <m/>
    <m/>
    <m/>
    <m/>
    <m/>
    <m/>
    <m/>
    <m/>
    <m/>
    <m/>
    <m/>
    <m/>
    <m/>
    <n v="52.275544687487127"/>
    <x v="2"/>
    <x v="3"/>
    <x v="1"/>
    <n v="223"/>
    <n v="147"/>
    <n v="0.65919282511210764"/>
    <n v="0.65919282511210764"/>
    <n v="1"/>
  </r>
  <r>
    <n v="1285082992"/>
    <s v="63.624.873/0001-95"/>
    <s v="Bruna de Amorim Beziazacinai "/>
    <x v="0"/>
    <s v="Pipebot"/>
    <x v="223"/>
    <m/>
    <m/>
    <d v="2026-02-04T15:05:58"/>
    <d v="2026-02-04T16:22:35"/>
    <n v="5.3193999999999998E-2"/>
    <m/>
    <m/>
    <m/>
    <m/>
    <m/>
    <m/>
    <m/>
    <m/>
    <m/>
    <m/>
    <m/>
    <m/>
    <m/>
    <m/>
    <m/>
    <m/>
    <m/>
    <n v="36.371128449070966"/>
    <x v="2"/>
    <x v="3"/>
    <x v="1"/>
    <n v="223"/>
    <n v="147"/>
    <n v="0.65919282511210764"/>
    <n v="0.65919282511210764"/>
    <n v="1"/>
  </r>
  <r>
    <n v="1248814294"/>
    <s v="48.547.444/0001-78"/>
    <s v="Bruna Difeo"/>
    <x v="5"/>
    <s v="Pipebot"/>
    <x v="224"/>
    <m/>
    <m/>
    <d v="2025-11-17T13:04:44"/>
    <d v="2026-02-16T12:51:19"/>
    <n v="3.8676970000000002"/>
    <d v="2025-11-22T13:05:39"/>
    <d v="2026-02-13T16:02:15"/>
    <n v="83.122626999999994"/>
    <m/>
    <m/>
    <m/>
    <d v="2025-11-18T13:05:10"/>
    <d v="2026-02-18T13:21:13"/>
    <n v="4.0209609999999998"/>
    <d v="2025-11-20T13:05:28"/>
    <d v="2025-11-22T13:05:39"/>
    <n v="10.333831"/>
    <m/>
    <m/>
    <m/>
    <m/>
    <m/>
    <n v="115.45562405092642"/>
    <x v="0"/>
    <x v="0"/>
    <x v="0"/>
    <n v="131"/>
    <n v="87"/>
    <n v="0.66412213740458015"/>
    <n v="0.66412213740458015"/>
    <n v="1"/>
  </r>
  <r>
    <n v="1225193772"/>
    <s v="37.947.980/0001-44"/>
    <s v="Bruna Fernanda Rogado Micheli "/>
    <x v="5"/>
    <s v="Pipebot"/>
    <x v="225"/>
    <m/>
    <m/>
    <d v="2025-10-15T15:27:23"/>
    <d v="2026-02-13T16:00:48"/>
    <n v="2.14669"/>
    <d v="2025-10-20T15:28:42"/>
    <d v="2026-02-12T12:29:47"/>
    <n v="114.875741"/>
    <m/>
    <m/>
    <m/>
    <d v="2025-10-16T15:27:37"/>
    <d v="2026-02-16T12:49:10"/>
    <n v="4.8673149999999996"/>
    <d v="2025-10-18T15:28:11"/>
    <d v="2025-10-20T15:28:42"/>
    <n v="12.356318999999999"/>
    <m/>
    <m/>
    <m/>
    <m/>
    <m/>
    <n v="148.3564719560236"/>
    <x v="0"/>
    <x v="6"/>
    <x v="0"/>
    <n v="195"/>
    <n v="132"/>
    <n v="0.67692307692307696"/>
    <n v="0.67692307692307696"/>
    <n v="1"/>
  </r>
  <r>
    <n v="1296525929"/>
    <s v="63.375.435/0001-30"/>
    <s v="Bruna Lorena"/>
    <x v="2"/>
    <s v="Pipebot"/>
    <x v="226"/>
    <m/>
    <m/>
    <d v="2026-02-25T19:03:54"/>
    <d v="2026-02-25T19:04:06"/>
    <n v="1.27E-4"/>
    <m/>
    <m/>
    <m/>
    <d v="2026-02-25T19:04:06"/>
    <m/>
    <n v="1.0955900000000001"/>
    <m/>
    <m/>
    <m/>
    <m/>
    <m/>
    <m/>
    <m/>
    <m/>
    <m/>
    <m/>
    <m/>
    <n v="15.206132800922205"/>
    <x v="1"/>
    <x v="1"/>
    <x v="1"/>
    <n v="189"/>
    <n v="33"/>
    <n v="0.17460317460317459"/>
    <n v="0.17460317460317459"/>
    <n v="1"/>
  </r>
  <r>
    <n v="1245631934"/>
    <s v="41.704.906/0001-74"/>
    <s v="Bruna Negrini Lourençon"/>
    <x v="0"/>
    <s v="Pipebot"/>
    <x v="227"/>
    <m/>
    <m/>
    <d v="2025-11-10T19:05:22"/>
    <d v="2025-11-11T19:05:58"/>
    <n v="1.000405"/>
    <d v="2025-11-15T19:06:38"/>
    <d v="2025-12-01T14:15:01"/>
    <n v="15.797488"/>
    <d v="2025-12-01T14:15:01"/>
    <d v="2025-12-01T14:15:07"/>
    <n v="5.8E-5"/>
    <d v="2025-11-11T19:05:58"/>
    <d v="2025-11-13T19:06:07"/>
    <n v="2.0001039999999999"/>
    <d v="2025-11-13T19:06:07"/>
    <d v="2025-11-15T19:06:38"/>
    <n v="2.0003470000000001"/>
    <m/>
    <m/>
    <m/>
    <m/>
    <m/>
    <n v="122.20487440972647"/>
    <x v="0"/>
    <x v="6"/>
    <x v="0"/>
    <n v="195"/>
    <n v="132"/>
    <n v="0.67692307692307696"/>
    <n v="0.67692307692307696"/>
    <n v="1"/>
  </r>
  <r>
    <n v="1259221519"/>
    <s v="41.704.906/0001-74"/>
    <s v="Bruna Negrini Lourençon"/>
    <x v="0"/>
    <s v="Pipebot"/>
    <x v="228"/>
    <m/>
    <m/>
    <d v="2025-12-09T13:06:33"/>
    <d v="2025-12-10T13:06:52"/>
    <n v="1.000208"/>
    <d v="2025-12-14T13:08:03"/>
    <d v="2026-01-15T12:59:56"/>
    <n v="31.994363"/>
    <m/>
    <m/>
    <m/>
    <d v="2025-12-10T13:06:52"/>
    <d v="2025-12-12T13:07:41"/>
    <n v="2.0005670000000002"/>
    <d v="2025-12-12T13:07:41"/>
    <d v="2025-12-14T13:08:03"/>
    <n v="2.0002550000000001"/>
    <m/>
    <m/>
    <m/>
    <m/>
    <m/>
    <n v="93.454259756952524"/>
    <x v="0"/>
    <x v="0"/>
    <x v="0"/>
    <n v="131"/>
    <n v="87"/>
    <n v="0.66412213740458015"/>
    <n v="0.66412213740458015"/>
    <n v="1"/>
  </r>
  <r>
    <n v="1217451327"/>
    <s v="05.495.681/0001-20"/>
    <s v="Bruno Campos Cintra"/>
    <x v="0"/>
    <s v="Pipebot"/>
    <x v="229"/>
    <m/>
    <m/>
    <m/>
    <m/>
    <m/>
    <m/>
    <m/>
    <m/>
    <m/>
    <m/>
    <m/>
    <m/>
    <m/>
    <m/>
    <m/>
    <m/>
    <m/>
    <m/>
    <m/>
    <m/>
    <m/>
    <m/>
    <n v="160.14848876157339"/>
    <x v="0"/>
    <x v="4"/>
    <x v="0"/>
    <n v="197"/>
    <n v="149"/>
    <n v="0.75634517766497467"/>
    <n v="0.75634517766497467"/>
    <n v="1"/>
  </r>
  <r>
    <n v="1294277501"/>
    <s v="05.495.681/0001-20"/>
    <s v="Bruno Campos Cintra"/>
    <x v="5"/>
    <s v="Pipebot"/>
    <x v="230"/>
    <m/>
    <m/>
    <d v="2026-02-20T13:36:30"/>
    <d v="2026-02-20T16:52:47"/>
    <n v="0.136296"/>
    <m/>
    <m/>
    <m/>
    <m/>
    <m/>
    <m/>
    <d v="2026-02-20T16:52:47"/>
    <d v="2026-02-22T16:53:16"/>
    <n v="2.0003359999999999"/>
    <d v="2026-02-22T16:53:16"/>
    <m/>
    <n v="4.1864350000000004"/>
    <m/>
    <m/>
    <m/>
    <m/>
    <m/>
    <n v="20.434390358801465"/>
    <x v="3"/>
    <x v="1"/>
    <x v="1"/>
    <n v="189"/>
    <n v="33"/>
    <n v="0.17460317460317459"/>
    <n v="0.17460317460317459"/>
    <n v="1"/>
  </r>
  <r>
    <n v="1290343414"/>
    <s v="50.731.563/0001-28"/>
    <s v="Bruno Luis Silva Penteado"/>
    <x v="0"/>
    <s v="Pipebot"/>
    <x v="231"/>
    <m/>
    <m/>
    <m/>
    <m/>
    <m/>
    <m/>
    <m/>
    <m/>
    <m/>
    <m/>
    <m/>
    <m/>
    <m/>
    <m/>
    <m/>
    <m/>
    <m/>
    <m/>
    <m/>
    <m/>
    <m/>
    <m/>
    <n v="28.371054745366564"/>
    <x v="5"/>
    <x v="3"/>
    <x v="1"/>
    <n v="223"/>
    <n v="147"/>
    <n v="0.65919282511210764"/>
    <n v="0.65919282511210764"/>
    <n v="1"/>
  </r>
  <r>
    <n v="1253465951"/>
    <s v="57.906.177/0001-79"/>
    <s v="Bruno Luis Silva Penteado"/>
    <x v="0"/>
    <s v="Pipebot"/>
    <x v="232"/>
    <m/>
    <m/>
    <m/>
    <m/>
    <m/>
    <m/>
    <m/>
    <m/>
    <m/>
    <m/>
    <m/>
    <m/>
    <m/>
    <m/>
    <m/>
    <m/>
    <m/>
    <m/>
    <m/>
    <m/>
    <m/>
    <m/>
    <n v="107.2040264814932"/>
    <x v="0"/>
    <x v="0"/>
    <x v="0"/>
    <n v="131"/>
    <n v="87"/>
    <n v="0.66412213740458015"/>
    <n v="0.66412213740458015"/>
    <n v="1"/>
  </r>
  <r>
    <n v="1281067865"/>
    <s v="50.731.563/0001-28"/>
    <s v="Bruno Luis Silva Penteado - URGENTE bloqueada"/>
    <x v="0"/>
    <s v="Pipebot"/>
    <x v="233"/>
    <m/>
    <m/>
    <m/>
    <m/>
    <m/>
    <m/>
    <m/>
    <m/>
    <m/>
    <m/>
    <m/>
    <m/>
    <m/>
    <m/>
    <m/>
    <m/>
    <m/>
    <m/>
    <m/>
    <m/>
    <m/>
    <m/>
    <n v="44.37104215277941"/>
    <x v="2"/>
    <x v="3"/>
    <x v="1"/>
    <n v="223"/>
    <n v="147"/>
    <n v="0.65919282511210764"/>
    <n v="0.65919282511210764"/>
    <n v="1"/>
  </r>
  <r>
    <n v="1185126146"/>
    <s v="24.880.034/0001-86"/>
    <s v="Bruno Mendonça de Mello- Me"/>
    <x v="0"/>
    <s v="Pipebot"/>
    <x v="234"/>
    <m/>
    <m/>
    <m/>
    <m/>
    <m/>
    <m/>
    <m/>
    <m/>
    <m/>
    <m/>
    <m/>
    <m/>
    <m/>
    <m/>
    <m/>
    <m/>
    <m/>
    <m/>
    <m/>
    <m/>
    <m/>
    <m/>
    <n v="212.38372137730767"/>
    <x v="0"/>
    <x v="5"/>
    <x v="0"/>
    <n v="177"/>
    <n v="130"/>
    <n v="0.7344632768361582"/>
    <n v="0.7344632768361582"/>
    <n v="1"/>
  </r>
  <r>
    <n v="1270229755"/>
    <s v="37.764.761/0001-20"/>
    <s v="BoxMarket Comercial "/>
    <x v="0"/>
    <s v="Pipebot"/>
    <x v="235"/>
    <m/>
    <m/>
    <d v="2026-01-01T20:19:37"/>
    <d v="2026-01-02T20:20:03"/>
    <n v="1.0003010000000001"/>
    <d v="2026-01-06T20:21:54"/>
    <d v="2026-01-07T14:46:11"/>
    <n v="0.76685199999999998"/>
    <m/>
    <m/>
    <m/>
    <d v="2026-01-02T20:20:03"/>
    <d v="2026-01-04T20:20:59"/>
    <n v="2.0006370000000002"/>
    <d v="2026-01-04T20:20:59"/>
    <d v="2026-01-06T20:21:54"/>
    <n v="2.0006370000000002"/>
    <m/>
    <m/>
    <m/>
    <m/>
    <m/>
    <n v="70.153708402780467"/>
    <x v="0"/>
    <x v="7"/>
    <x v="0"/>
    <n v="207"/>
    <n v="140"/>
    <n v="0.67632850241545894"/>
    <n v="0.67632850241545894"/>
    <n v="1"/>
  </r>
  <r>
    <n v="1272140637"/>
    <s v="59.991.983/0001-18"/>
    <s v="Bruno Nascimento da Silva "/>
    <x v="5"/>
    <s v="Pipebot"/>
    <x v="236"/>
    <m/>
    <m/>
    <d v="2026-01-06T19:08:05"/>
    <d v="2026-02-19T12:35:49"/>
    <n v="1.9641200000000001"/>
    <d v="2026-01-11T19:08:58"/>
    <d v="2026-02-18T13:27:31"/>
    <n v="37.762881999999998"/>
    <m/>
    <m/>
    <m/>
    <d v="2026-01-07T19:08:08"/>
    <d v="2026-02-20T13:02:57"/>
    <n v="3.019352"/>
    <d v="2026-01-09T19:08:52"/>
    <d v="2026-01-11T19:08:58"/>
    <n v="8.3464580000000002"/>
    <m/>
    <m/>
    <m/>
    <m/>
    <m/>
    <n v="65.202988530087168"/>
    <x v="0"/>
    <x v="7"/>
    <x v="0"/>
    <n v="207"/>
    <n v="140"/>
    <n v="0.67632850241545894"/>
    <n v="0.67632850241545894"/>
    <n v="1"/>
  </r>
  <r>
    <n v="1261824927"/>
    <m/>
    <s v="Bruno Pimenta Soares"/>
    <x v="0"/>
    <s v="Pipebot"/>
    <x v="237"/>
    <m/>
    <m/>
    <d v="2025-12-15T14:59:07"/>
    <d v="2025-12-16T14:59:47"/>
    <n v="1.0004630000000001"/>
    <m/>
    <m/>
    <m/>
    <m/>
    <m/>
    <m/>
    <d v="2025-12-16T14:59:47"/>
    <d v="2025-12-18T15:01:40"/>
    <n v="2.0013079999999999"/>
    <d v="2025-12-18T15:01:40"/>
    <d v="2025-12-20T11:36:08"/>
    <n v="1.8572690000000001"/>
    <m/>
    <m/>
    <m/>
    <m/>
    <m/>
    <n v="87.376183865737403"/>
    <x v="0"/>
    <x v="7"/>
    <x v="0"/>
    <n v="207"/>
    <n v="140"/>
    <n v="0.67632850241545894"/>
    <n v="0.67632850241545894"/>
    <n v="1"/>
  </r>
  <r>
    <n v="1221850635"/>
    <s v="60.805.727/0001-78"/>
    <s v="BUONO MARKET COMERCIO LTDA"/>
    <x v="0"/>
    <s v="Pipebot"/>
    <x v="238"/>
    <m/>
    <m/>
    <m/>
    <m/>
    <m/>
    <m/>
    <m/>
    <m/>
    <m/>
    <m/>
    <m/>
    <m/>
    <m/>
    <m/>
    <m/>
    <m/>
    <m/>
    <m/>
    <m/>
    <m/>
    <m/>
    <m/>
    <n v="153.47748983796191"/>
    <x v="0"/>
    <x v="4"/>
    <x v="0"/>
    <n v="197"/>
    <n v="149"/>
    <n v="0.75634517766497467"/>
    <n v="0.75634517766497467"/>
    <n v="1"/>
  </r>
  <r>
    <n v="1172780070"/>
    <s v="39.575.110/0001-17"/>
    <s v="Buy At Home - modulo"/>
    <x v="0"/>
    <s v="Pipebot"/>
    <x v="239"/>
    <m/>
    <m/>
    <d v="2025-07-21T20:25:07"/>
    <d v="2025-07-22T20:25:11"/>
    <n v="1.000035"/>
    <d v="2025-07-26T20:26:13"/>
    <d v="2025-08-18T20:10:33"/>
    <n v="22.98912"/>
    <d v="2025-08-18T20:10:33"/>
    <d v="2025-08-18T20:10:44"/>
    <n v="1.16E-4"/>
    <d v="2025-07-22T20:25:11"/>
    <d v="2025-07-24T20:25:31"/>
    <n v="2.0002200000000001"/>
    <d v="2025-07-24T20:25:31"/>
    <d v="2025-07-26T20:26:12"/>
    <n v="2.0004749999999998"/>
    <m/>
    <m/>
    <m/>
    <m/>
    <m/>
    <n v="234.14963290509331"/>
    <x v="0"/>
    <x v="5"/>
    <x v="0"/>
    <n v="177"/>
    <n v="130"/>
    <n v="0.7344632768361582"/>
    <n v="0.7344632768361582"/>
    <n v="1"/>
  </r>
  <r>
    <n v="1203711819"/>
    <s v="39.575.110/0001-17"/>
    <s v="Buy at Home Comércio Varejista de conveniência LTDA"/>
    <x v="0"/>
    <s v="Pipebot"/>
    <x v="240"/>
    <m/>
    <m/>
    <d v="2025-09-11T15:24:56"/>
    <d v="2025-09-12T15:25:41"/>
    <n v="1.000521"/>
    <m/>
    <m/>
    <m/>
    <m/>
    <m/>
    <m/>
    <d v="2025-09-12T15:25:41"/>
    <d v="2025-09-14T15:25:52"/>
    <n v="2.0001159999999998"/>
    <d v="2025-09-14T15:25:52"/>
    <d v="2025-09-15T20:06:35"/>
    <n v="1.1949419999999999"/>
    <m/>
    <m/>
    <m/>
    <m/>
    <m/>
    <n v="182.35779586804711"/>
    <x v="0"/>
    <x v="2"/>
    <x v="0"/>
    <n v="146"/>
    <n v="112"/>
    <n v="0.76712328767123283"/>
    <n v="0.76712328767123283"/>
    <n v="1"/>
  </r>
  <r>
    <n v="1180442794"/>
    <s v="39.575.110/0001-17"/>
    <s v="Buy at Home Comércio Varejista de conveniência LTDA"/>
    <x v="0"/>
    <s v="Pipebot"/>
    <x v="241"/>
    <m/>
    <m/>
    <d v="2025-08-04T20:26:42"/>
    <d v="2025-08-05T20:26:59"/>
    <n v="1.000197"/>
    <d v="2025-08-09T20:27:39"/>
    <d v="2025-08-18T20:08:28"/>
    <n v="8.9866779999999995"/>
    <d v="2025-08-18T20:08:28"/>
    <d v="2025-08-18T20:08:38"/>
    <n v="1.0399999999999999E-4"/>
    <d v="2025-08-05T20:26:59"/>
    <d v="2025-08-07T20:27:09"/>
    <n v="2.0001039999999999"/>
    <d v="2025-08-07T20:27:09"/>
    <d v="2025-08-09T20:27:39"/>
    <n v="2.0003359999999999"/>
    <m/>
    <m/>
    <m/>
    <m/>
    <m/>
    <n v="220.14846708333062"/>
    <x v="0"/>
    <x v="5"/>
    <x v="0"/>
    <n v="177"/>
    <n v="130"/>
    <n v="0.7344632768361582"/>
    <n v="0.7344632768361582"/>
    <n v="1"/>
  </r>
  <r>
    <n v="1196009720"/>
    <s v="39.575.110/0001-17"/>
    <s v="Buy at Home Comércio Varejista de conveniência LTDA"/>
    <x v="5"/>
    <s v="Pipebot"/>
    <x v="242"/>
    <m/>
    <m/>
    <d v="2025-08-29T20:25:49"/>
    <d v="2026-02-12T12:26:08"/>
    <n v="1.644803"/>
    <d v="2025-09-03T20:27:18"/>
    <d v="2026-02-11T20:58:05"/>
    <n v="161.021366"/>
    <m/>
    <m/>
    <m/>
    <d v="2025-08-30T20:26:17"/>
    <d v="2026-02-13T15:59:51"/>
    <n v="3.1484839999999998"/>
    <d v="2025-09-01T20:26:24"/>
    <d v="2025-09-03T20:27:18"/>
    <n v="15.224167"/>
    <m/>
    <m/>
    <m/>
    <m/>
    <m/>
    <n v="195.14944015046058"/>
    <x v="0"/>
    <x v="2"/>
    <x v="0"/>
    <n v="146"/>
    <n v="112"/>
    <n v="0.76712328767123283"/>
    <n v="0.76712328767123283"/>
    <n v="1"/>
  </r>
  <r>
    <n v="1188129115"/>
    <s v="39.575.110/0001-17"/>
    <s v="Buy at Home Comércio Varejista de conveniência LTDA"/>
    <x v="0"/>
    <s v="Pipebot"/>
    <x v="243"/>
    <m/>
    <m/>
    <d v="2025-08-18T15:26:54"/>
    <d v="2025-08-18T20:05:16"/>
    <n v="0.193299"/>
    <m/>
    <m/>
    <m/>
    <m/>
    <m/>
    <m/>
    <m/>
    <m/>
    <m/>
    <m/>
    <m/>
    <m/>
    <m/>
    <m/>
    <m/>
    <m/>
    <m/>
    <n v="206.35691033564945"/>
    <x v="0"/>
    <x v="2"/>
    <x v="0"/>
    <n v="146"/>
    <n v="112"/>
    <n v="0.76712328767123283"/>
    <n v="0.76712328767123283"/>
    <n v="1"/>
  </r>
  <r>
    <n v="1289419314"/>
    <s v="39.575.110/0001-17"/>
    <s v="Buy at Home Comércio Varejista de conveniência LTDA"/>
    <x v="5"/>
    <s v="Pipebot"/>
    <x v="244"/>
    <m/>
    <m/>
    <d v="2026-02-11T15:05:49"/>
    <d v="2026-02-21T11:19:32"/>
    <n v="1.0001389999999999"/>
    <d v="2026-02-11T20:44:56"/>
    <d v="2026-02-20T16:58:27"/>
    <n v="8.842708"/>
    <m/>
    <m/>
    <m/>
    <d v="2026-02-21T11:19:32"/>
    <d v="2026-02-23T11:19:56"/>
    <n v="2.0002779999999998"/>
    <d v="2026-02-23T11:19:56"/>
    <m/>
    <n v="3.4179170000000001"/>
    <m/>
    <m/>
    <m/>
    <m/>
    <m/>
    <n v="29.371673333327635"/>
    <x v="5"/>
    <x v="3"/>
    <x v="1"/>
    <n v="223"/>
    <n v="147"/>
    <n v="0.65919282511210764"/>
    <n v="0.65919282511210764"/>
    <n v="1"/>
  </r>
  <r>
    <n v="1291853953"/>
    <s v="39.575.110/0001-17"/>
    <s v="Buy at Home Comércio Varejista de conveniência LTDA"/>
    <x v="5"/>
    <s v="Pipebot"/>
    <x v="245"/>
    <m/>
    <m/>
    <d v="2026-02-16T15:06:23"/>
    <d v="2026-02-17T15:07:08"/>
    <n v="1.000521"/>
    <m/>
    <m/>
    <m/>
    <m/>
    <m/>
    <m/>
    <d v="2026-02-17T15:07:08"/>
    <d v="2026-02-18T13:22:39"/>
    <n v="0.92744199999999999"/>
    <d v="2026-02-18T13:22:39"/>
    <m/>
    <n v="8.3326969999999996"/>
    <m/>
    <m/>
    <m/>
    <m/>
    <m/>
    <n v="24.37107883101271"/>
    <x v="5"/>
    <x v="1"/>
    <x v="1"/>
    <n v="189"/>
    <n v="33"/>
    <n v="0.17460317460317459"/>
    <n v="0.17460317460317459"/>
    <n v="1"/>
  </r>
  <r>
    <n v="1172780586"/>
    <s v="39.575.110/0001-17"/>
    <s v="Buy at Home Comércio Varejista de conveniência LTDA"/>
    <x v="0"/>
    <s v="Pipebot"/>
    <x v="246"/>
    <m/>
    <m/>
    <m/>
    <m/>
    <m/>
    <m/>
    <m/>
    <m/>
    <m/>
    <m/>
    <m/>
    <m/>
    <m/>
    <m/>
    <m/>
    <m/>
    <m/>
    <m/>
    <m/>
    <m/>
    <m/>
    <m/>
    <n v="234.1491284259173"/>
    <x v="0"/>
    <x v="5"/>
    <x v="0"/>
    <n v="177"/>
    <n v="130"/>
    <n v="0.7344632768361582"/>
    <n v="0.7344632768361582"/>
    <n v="1"/>
  </r>
  <r>
    <n v="1212186245"/>
    <s v="39.575.110/0001-17"/>
    <s v="Buy at Home Comércio Varejista de conveniência LTDA "/>
    <x v="0"/>
    <s v="Pipebot"/>
    <x v="247"/>
    <m/>
    <m/>
    <m/>
    <m/>
    <m/>
    <m/>
    <m/>
    <m/>
    <m/>
    <m/>
    <m/>
    <m/>
    <m/>
    <m/>
    <m/>
    <m/>
    <m/>
    <m/>
    <m/>
    <m/>
    <m/>
    <m/>
    <n v="168.9824899537125"/>
    <x v="0"/>
    <x v="4"/>
    <x v="0"/>
    <n v="197"/>
    <n v="149"/>
    <n v="0.75634517766497467"/>
    <n v="0.75634517766497467"/>
    <n v="1"/>
  </r>
  <r>
    <n v="1282983718"/>
    <s v="39.575.110/0001-17"/>
    <s v="Buy at Home Comércio Varejista de conveniência LTDA (máquina) - acionado sofia 05/02 (vai postar em 09/02, pedir o código)"/>
    <x v="5"/>
    <s v="Pipebot"/>
    <x v="248"/>
    <m/>
    <m/>
    <d v="2026-01-30T19:08:20"/>
    <d v="2026-02-20T16:51:43"/>
    <n v="2.1765859999999999"/>
    <d v="2026-02-04T19:10:30"/>
    <d v="2026-02-19T12:38:00"/>
    <n v="14.727430999999999"/>
    <m/>
    <m/>
    <m/>
    <d v="2026-01-31T19:08:54"/>
    <d v="2026-02-23T13:32:47"/>
    <n v="4.8623960000000004"/>
    <d v="2026-02-02T19:09:42"/>
    <d v="2026-02-04T19:10:30"/>
    <n v="5.3262150000000004"/>
    <m/>
    <m/>
    <m/>
    <m/>
    <m/>
    <n v="41.203363553242525"/>
    <x v="2"/>
    <x v="3"/>
    <x v="1"/>
    <n v="223"/>
    <n v="147"/>
    <n v="0.65919282511210764"/>
    <n v="0.65919282511210764"/>
    <n v="1"/>
  </r>
  <r>
    <n v="1184722223"/>
    <s v="39.575.110/0001-17"/>
    <s v="Buy at Home Comércio Varejista de conveniência LTDA - 1 v1"/>
    <x v="0"/>
    <s v="Pipebot"/>
    <x v="249"/>
    <m/>
    <m/>
    <d v="2025-08-11T20:28:39"/>
    <d v="2025-08-12T20:29:03"/>
    <n v="1.0002660000000001"/>
    <d v="2025-08-16T20:30:05"/>
    <d v="2025-08-18T20:05:37"/>
    <n v="1.983009"/>
    <d v="2025-08-18T20:05:37"/>
    <d v="2025-08-18T20:05:48"/>
    <n v="1.16E-4"/>
    <d v="2025-08-12T20:29:03"/>
    <d v="2025-08-14T20:29:56"/>
    <n v="2.0006020000000002"/>
    <d v="2025-08-14T20:29:56"/>
    <d v="2025-08-16T20:30:05"/>
    <n v="2.0001039999999999"/>
    <m/>
    <m/>
    <m/>
    <m/>
    <m/>
    <n v="213.14752962962666"/>
    <x v="0"/>
    <x v="5"/>
    <x v="0"/>
    <n v="177"/>
    <n v="130"/>
    <n v="0.7344632768361582"/>
    <n v="0.7344632768361582"/>
    <n v="1"/>
  </r>
  <r>
    <n v="1187231352"/>
    <s v="40.876.376/0001-89"/>
    <s v="BUY COMERCIO VAREJISTA DE AUTOSSERVICO LTDA"/>
    <x v="0"/>
    <s v="Pipebot"/>
    <x v="250"/>
    <m/>
    <m/>
    <m/>
    <m/>
    <m/>
    <m/>
    <m/>
    <m/>
    <m/>
    <m/>
    <m/>
    <m/>
    <m/>
    <m/>
    <m/>
    <m/>
    <m/>
    <m/>
    <m/>
    <m/>
    <m/>
    <m/>
    <n v="209.1496662847203"/>
    <x v="0"/>
    <x v="2"/>
    <x v="0"/>
    <n v="146"/>
    <n v="112"/>
    <n v="0.76712328767123283"/>
    <n v="0.76712328767123283"/>
    <n v="1"/>
  </r>
  <r>
    <n v="1256253294"/>
    <s v="49.875.310/0001-49_x000a_"/>
    <s v="C R Leite Mini Market"/>
    <x v="0"/>
    <s v="Samuel Alexandre Bittencourt Vieira "/>
    <x v="251"/>
    <m/>
    <m/>
    <m/>
    <m/>
    <m/>
    <m/>
    <m/>
    <m/>
    <m/>
    <m/>
    <m/>
    <m/>
    <m/>
    <m/>
    <m/>
    <m/>
    <m/>
    <m/>
    <m/>
    <m/>
    <m/>
    <m/>
    <n v="100.38643038194277"/>
    <x v="0"/>
    <x v="0"/>
    <x v="0"/>
    <n v="131"/>
    <n v="87"/>
    <n v="0.66412213740458015"/>
    <n v="0.66412213740458015"/>
    <n v="1"/>
  </r>
  <r>
    <n v="1254591954"/>
    <s v="49.875.310/0001-49"/>
    <s v="C R Leite Mini Market"/>
    <x v="0"/>
    <s v="Pipebot"/>
    <x v="252"/>
    <m/>
    <m/>
    <m/>
    <m/>
    <m/>
    <m/>
    <m/>
    <m/>
    <m/>
    <m/>
    <m/>
    <m/>
    <m/>
    <m/>
    <m/>
    <m/>
    <m/>
    <m/>
    <m/>
    <m/>
    <m/>
    <m/>
    <n v="105.20485070601717"/>
    <x v="0"/>
    <x v="0"/>
    <x v="0"/>
    <n v="131"/>
    <n v="87"/>
    <n v="0.66412213740458015"/>
    <n v="0.66412213740458015"/>
    <n v="1"/>
  </r>
  <r>
    <n v="1194446190"/>
    <s v="58.373.552/0001-25"/>
    <s v="Caio de Souza Cazarotto"/>
    <x v="8"/>
    <s v="Pipebot"/>
    <x v="253"/>
    <m/>
    <m/>
    <d v="2025-08-27T15:25:22"/>
    <d v="2025-08-28T15:25:56"/>
    <n v="1.0003820000000001"/>
    <d v="2025-09-01T15:27:08"/>
    <d v="2025-10-29T19:38:22"/>
    <n v="58.174455999999999"/>
    <m/>
    <m/>
    <m/>
    <d v="2025-08-28T15:25:56"/>
    <d v="2025-08-30T15:26:49"/>
    <n v="2.0006020000000002"/>
    <d v="2025-08-30T15:26:49"/>
    <d v="2025-09-01T15:27:08"/>
    <n v="2.0002200000000001"/>
    <m/>
    <m/>
    <m/>
    <m/>
    <m/>
    <n v="197.35802769676229"/>
    <x v="0"/>
    <x v="2"/>
    <x v="0"/>
    <n v="146"/>
    <n v="112"/>
    <n v="0.76712328767123283"/>
    <n v="0.76712328767123283"/>
    <n v="1"/>
  </r>
  <r>
    <n v="1280426441"/>
    <s v="31.299.419/0001-10"/>
    <s v="Caio Vinícius Torres Costa Moura "/>
    <x v="0"/>
    <s v="Pipebot"/>
    <x v="254"/>
    <m/>
    <m/>
    <d v="2026-01-26T15:07:39"/>
    <d v="2026-01-26T17:30:28"/>
    <n v="9.9167000000000005E-2"/>
    <m/>
    <m/>
    <m/>
    <m/>
    <m/>
    <m/>
    <m/>
    <m/>
    <m/>
    <m/>
    <m/>
    <m/>
    <m/>
    <m/>
    <m/>
    <m/>
    <m/>
    <n v="45.369991631952871"/>
    <x v="2"/>
    <x v="3"/>
    <x v="1"/>
    <n v="223"/>
    <n v="147"/>
    <n v="0.65919282511210764"/>
    <n v="0.65919282511210764"/>
    <n v="1"/>
  </r>
  <r>
    <n v="1284620933"/>
    <s v="42.826.121/0001-37"/>
    <s v="Caique Deiros Santana"/>
    <x v="0"/>
    <s v="Pipebot"/>
    <x v="255"/>
    <m/>
    <m/>
    <d v="2026-02-03T19:05:48"/>
    <d v="2026-02-04T16:10:42"/>
    <n v="0.87839100000000003"/>
    <m/>
    <m/>
    <m/>
    <m/>
    <m/>
    <m/>
    <m/>
    <m/>
    <m/>
    <m/>
    <m/>
    <m/>
    <m/>
    <m/>
    <m/>
    <m/>
    <m/>
    <n v="37.204404212956433"/>
    <x v="2"/>
    <x v="3"/>
    <x v="1"/>
    <n v="223"/>
    <n v="147"/>
    <n v="0.65919282511210764"/>
    <n v="0.65919282511210764"/>
    <n v="1"/>
  </r>
  <r>
    <n v="1222241582"/>
    <s v="42.826.121/0001-37"/>
    <s v="Caique Deiros Santana "/>
    <x v="0"/>
    <s v="Pipebot"/>
    <x v="256"/>
    <m/>
    <m/>
    <m/>
    <m/>
    <m/>
    <m/>
    <m/>
    <m/>
    <m/>
    <m/>
    <m/>
    <m/>
    <m/>
    <m/>
    <m/>
    <m/>
    <m/>
    <m/>
    <m/>
    <m/>
    <m/>
    <m/>
    <n v="153.14764273147739"/>
    <x v="0"/>
    <x v="4"/>
    <x v="0"/>
    <n v="197"/>
    <n v="149"/>
    <n v="0.75634517766497467"/>
    <n v="0.75634517766497467"/>
    <n v="1"/>
  </r>
  <r>
    <n v="1237691016"/>
    <s v="42.826.121/0001-37"/>
    <s v="Caique Deiros Santana - chegou"/>
    <x v="8"/>
    <s v="Pipebot"/>
    <x v="257"/>
    <m/>
    <m/>
    <m/>
    <m/>
    <m/>
    <m/>
    <m/>
    <m/>
    <m/>
    <m/>
    <m/>
    <m/>
    <m/>
    <m/>
    <m/>
    <m/>
    <m/>
    <m/>
    <m/>
    <m/>
    <m/>
    <m/>
    <n v="133.20401597221644"/>
    <x v="0"/>
    <x v="6"/>
    <x v="0"/>
    <n v="195"/>
    <n v="132"/>
    <n v="0.67692307692307696"/>
    <n v="0.67692307692307696"/>
    <n v="1"/>
  </r>
  <r>
    <n v="1212792597"/>
    <s v="44.017.727/0001-57"/>
    <s v="Calado e Campos Conveniência Ltda"/>
    <x v="5"/>
    <s v="Pipebot"/>
    <x v="258"/>
    <m/>
    <m/>
    <d v="2025-09-25T20:29:28"/>
    <d v="2026-02-13T16:00:33"/>
    <n v="2.1483219999999998"/>
    <d v="2025-09-30T20:31:23"/>
    <d v="2026-02-12T12:27:31"/>
    <n v="134.66397000000001"/>
    <m/>
    <m/>
    <m/>
    <d v="2025-09-26T20:30:01"/>
    <d v="2026-02-16T12:48:58"/>
    <n v="4.8671990000000003"/>
    <d v="2025-09-28T20:30:23"/>
    <d v="2025-09-30T20:31:23"/>
    <n v="12.356794000000001"/>
    <m/>
    <m/>
    <m/>
    <m/>
    <m/>
    <n v="168.14695388889231"/>
    <x v="0"/>
    <x v="4"/>
    <x v="0"/>
    <n v="197"/>
    <n v="149"/>
    <n v="0.75634517766497467"/>
    <n v="0.75634517766497467"/>
    <n v="1"/>
  </r>
  <r>
    <n v="1246034398"/>
    <s v="44.017.727/0001-57"/>
    <s v="Calado e Campos Conveniência Ltda "/>
    <x v="5"/>
    <s v="Pipebot"/>
    <x v="259"/>
    <m/>
    <m/>
    <d v="2025-11-11T13:04:53"/>
    <d v="2026-02-16T12:51:17"/>
    <n v="3.867604"/>
    <d v="2025-11-16T13:06:19"/>
    <d v="2026-02-13T16:02:13"/>
    <n v="89.122140999999999"/>
    <m/>
    <m/>
    <m/>
    <d v="2025-11-12T13:05:11"/>
    <d v="2026-02-18T13:21:10"/>
    <n v="4.0214239999999997"/>
    <d v="2025-11-14T13:06:09"/>
    <d v="2025-11-16T13:06:19"/>
    <n v="10.333843"/>
    <m/>
    <m/>
    <m/>
    <m/>
    <m/>
    <n v="121.45515059027821"/>
    <x v="0"/>
    <x v="6"/>
    <x v="0"/>
    <n v="195"/>
    <n v="132"/>
    <n v="0.67692307692307696"/>
    <n v="0.67692307692307696"/>
    <n v="1"/>
  </r>
  <r>
    <n v="1196009677"/>
    <s v="38.193.791/0001-96"/>
    <s v="Camila - Marketing Super Box 24h"/>
    <x v="0"/>
    <s v="Pipebot"/>
    <x v="260"/>
    <m/>
    <m/>
    <m/>
    <m/>
    <m/>
    <m/>
    <m/>
    <m/>
    <m/>
    <m/>
    <m/>
    <m/>
    <m/>
    <m/>
    <m/>
    <m/>
    <m/>
    <m/>
    <m/>
    <m/>
    <m/>
    <m/>
    <n v="195.14949443287333"/>
    <x v="0"/>
    <x v="2"/>
    <x v="0"/>
    <n v="146"/>
    <n v="112"/>
    <n v="0.76712328767123283"/>
    <n v="0.76712328767123283"/>
    <n v="1"/>
  </r>
  <r>
    <n v="1207610597"/>
    <s v="46.697.255/0001-56"/>
    <s v="Camila Nascimento Antônio "/>
    <x v="0"/>
    <s v="Pipebot"/>
    <x v="261"/>
    <m/>
    <m/>
    <m/>
    <m/>
    <m/>
    <m/>
    <m/>
    <m/>
    <m/>
    <m/>
    <m/>
    <m/>
    <m/>
    <m/>
    <m/>
    <m/>
    <m/>
    <m/>
    <m/>
    <m/>
    <m/>
    <m/>
    <n v="176.18621762731345"/>
    <x v="0"/>
    <x v="4"/>
    <x v="0"/>
    <n v="197"/>
    <n v="149"/>
    <n v="0.75634517766497467"/>
    <n v="0.75634517766497467"/>
    <n v="1"/>
  </r>
  <r>
    <n v="1242499559"/>
    <s v="42.318.818/0001-05"/>
    <s v="Camila selestina de Almeida"/>
    <x v="5"/>
    <s v="Pipebot"/>
    <x v="262"/>
    <m/>
    <m/>
    <d v="2025-11-06T19:06:05"/>
    <d v="2026-02-13T16:01:13"/>
    <n v="2.1471179999999999"/>
    <d v="2025-11-11T19:07:57"/>
    <d v="2026-02-12T12:30:05"/>
    <n v="92.723703999999998"/>
    <m/>
    <m/>
    <m/>
    <d v="2025-11-07T19:06:49"/>
    <d v="2026-02-16T12:50:21"/>
    <n v="4.8679750000000004"/>
    <d v="2025-11-09T19:07:34"/>
    <d v="2025-11-11T19:07:57"/>
    <n v="12.355394"/>
    <m/>
    <m/>
    <m/>
    <m/>
    <m/>
    <n v="126.20470283564646"/>
    <x v="0"/>
    <x v="6"/>
    <x v="0"/>
    <n v="195"/>
    <n v="132"/>
    <n v="0.67692307692307696"/>
    <n v="0.67692307692307696"/>
    <n v="1"/>
  </r>
  <r>
    <n v="1278799014"/>
    <s v="61.048.071/0001-59"/>
    <s v="Camila Soares da Silva"/>
    <x v="0"/>
    <s v="Pipebot"/>
    <x v="263"/>
    <m/>
    <m/>
    <d v="2026-01-22T15:06:22"/>
    <d v="2026-01-22T18:53:26"/>
    <n v="0.15767400000000001"/>
    <m/>
    <m/>
    <m/>
    <m/>
    <m/>
    <m/>
    <m/>
    <m/>
    <m/>
    <m/>
    <m/>
    <m/>
    <m/>
    <m/>
    <m/>
    <m/>
    <m/>
    <n v="49.37096709490288"/>
    <x v="2"/>
    <x v="3"/>
    <x v="1"/>
    <n v="223"/>
    <n v="147"/>
    <n v="0.65919282511210764"/>
    <n v="0.65919282511210764"/>
    <n v="1"/>
  </r>
  <r>
    <n v="1248339422"/>
    <s v="57.437.111/0001-87"/>
    <s v="Carla Caroline de Oliveira Nunes Ruy - recebido"/>
    <x v="8"/>
    <s v="Pipebot"/>
    <x v="264"/>
    <m/>
    <m/>
    <m/>
    <m/>
    <m/>
    <m/>
    <m/>
    <m/>
    <m/>
    <m/>
    <m/>
    <m/>
    <m/>
    <m/>
    <m/>
    <m/>
    <m/>
    <m/>
    <m/>
    <m/>
    <m/>
    <m/>
    <n v="118.07944784722349"/>
    <x v="0"/>
    <x v="6"/>
    <x v="0"/>
    <n v="195"/>
    <n v="132"/>
    <n v="0.67692307692307696"/>
    <n v="0.67692307692307696"/>
    <n v="1"/>
  </r>
  <r>
    <n v="1304256712"/>
    <s v="63.261.470/0001-29"/>
    <s v="Carla Carolinny de Oliveira Lira"/>
    <x v="7"/>
    <s v="Pipebot"/>
    <x v="265"/>
    <m/>
    <m/>
    <m/>
    <m/>
    <m/>
    <m/>
    <m/>
    <m/>
    <m/>
    <m/>
    <m/>
    <m/>
    <m/>
    <m/>
    <m/>
    <m/>
    <m/>
    <m/>
    <m/>
    <m/>
    <m/>
    <m/>
    <n v="1.0806094560175552"/>
    <x v="4"/>
    <x v="1"/>
    <x v="1"/>
    <n v="189"/>
    <n v="33"/>
    <n v="0.17460317460317459"/>
    <n v="0.17460317460317459"/>
    <n v="1"/>
  </r>
  <r>
    <n v="1234232428"/>
    <s v="51.468.226/0001-52"/>
    <s v="Carla Carvalho Alves"/>
    <x v="0"/>
    <s v="Pipebot"/>
    <x v="266"/>
    <m/>
    <m/>
    <d v="2025-10-27T15:05:00"/>
    <d v="2025-10-27T20:08:52"/>
    <n v="0.211007"/>
    <m/>
    <m/>
    <m/>
    <m/>
    <m/>
    <m/>
    <m/>
    <m/>
    <m/>
    <m/>
    <m/>
    <m/>
    <m/>
    <m/>
    <m/>
    <m/>
    <m/>
    <n v="136.37188255786896"/>
    <x v="0"/>
    <x v="6"/>
    <x v="0"/>
    <n v="195"/>
    <n v="132"/>
    <n v="0.67692307692307696"/>
    <n v="0.67692307692307696"/>
    <n v="1"/>
  </r>
  <r>
    <n v="1197062475"/>
    <s v="51.468.226/0001-52"/>
    <s v="Carla Carvalho Alves"/>
    <x v="0"/>
    <s v="Pipebot"/>
    <x v="267"/>
    <m/>
    <m/>
    <m/>
    <m/>
    <m/>
    <m/>
    <m/>
    <m/>
    <m/>
    <m/>
    <m/>
    <m/>
    <m/>
    <m/>
    <m/>
    <m/>
    <m/>
    <m/>
    <m/>
    <m/>
    <m/>
    <m/>
    <n v="192.35825929397834"/>
    <x v="0"/>
    <x v="2"/>
    <x v="0"/>
    <n v="146"/>
    <n v="112"/>
    <n v="0.76712328767123283"/>
    <n v="0.76712328767123283"/>
    <n v="1"/>
  </r>
  <r>
    <n v="1201526793"/>
    <s v="51.468.226/0001-52"/>
    <s v="Carla Carvalho Alves - Cabo de carregador"/>
    <x v="8"/>
    <s v="Pipebot"/>
    <x v="268"/>
    <m/>
    <m/>
    <m/>
    <m/>
    <m/>
    <d v="2025-08-26T14:19:41"/>
    <d v="2025-08-26T14:19:57"/>
    <n v="1.85E-4"/>
    <m/>
    <m/>
    <m/>
    <m/>
    <m/>
    <m/>
    <m/>
    <m/>
    <m/>
    <m/>
    <m/>
    <m/>
    <m/>
    <m/>
    <n v="185.35802395833889"/>
    <x v="0"/>
    <x v="2"/>
    <x v="0"/>
    <n v="146"/>
    <n v="112"/>
    <n v="0.76712328767123283"/>
    <n v="0.76712328767123283"/>
    <n v="1"/>
  </r>
  <r>
    <n v="1210992081"/>
    <s v="49.564.913/0001-20"/>
    <s v="Carla Regina Cardoso Gusmão"/>
    <x v="0"/>
    <s v="Pipebot"/>
    <x v="269"/>
    <m/>
    <m/>
    <d v="2025-09-23T15:25:00"/>
    <d v="2025-09-24T15:25:02"/>
    <n v="1.0000230000000001"/>
    <d v="2025-09-28T15:26:09"/>
    <d v="2025-09-30T21:58:22"/>
    <n v="2.2723610000000001"/>
    <m/>
    <m/>
    <m/>
    <d v="2025-09-24T15:25:02"/>
    <d v="2025-09-26T15:25:11"/>
    <n v="2.0000930000000001"/>
    <d v="2025-09-26T15:25:11"/>
    <d v="2025-09-28T15:26:09"/>
    <n v="2.0006710000000001"/>
    <m/>
    <m/>
    <m/>
    <m/>
    <m/>
    <n v="170.35778531250253"/>
    <x v="0"/>
    <x v="4"/>
    <x v="0"/>
    <n v="197"/>
    <n v="149"/>
    <n v="0.75634517766497467"/>
    <n v="0.75634517766497467"/>
    <n v="1"/>
  </r>
  <r>
    <n v="1214523670"/>
    <s v="49.564.913/0001-20"/>
    <s v="Carla Regina Cardoso Gusmão "/>
    <x v="0"/>
    <s v="Pipebot"/>
    <x v="270"/>
    <m/>
    <m/>
    <d v="2025-09-29T15:26:44"/>
    <d v="2025-09-30T15:26:51"/>
    <n v="1.0000690000000001"/>
    <m/>
    <m/>
    <m/>
    <m/>
    <m/>
    <m/>
    <d v="2025-09-30T15:26:51"/>
    <d v="2025-09-30T21:59:05"/>
    <n v="0.27238400000000001"/>
    <m/>
    <m/>
    <m/>
    <m/>
    <m/>
    <m/>
    <m/>
    <m/>
    <n v="164.3565818518473"/>
    <x v="0"/>
    <x v="4"/>
    <x v="0"/>
    <n v="197"/>
    <n v="149"/>
    <n v="0.75634517766497467"/>
    <n v="0.75634517766497467"/>
    <n v="1"/>
  </r>
  <r>
    <n v="1186005427"/>
    <s v="58.676.010/0001-21"/>
    <s v="Carla Romano"/>
    <x v="0"/>
    <s v="Pipebot"/>
    <x v="271"/>
    <m/>
    <m/>
    <m/>
    <m/>
    <m/>
    <m/>
    <m/>
    <m/>
    <m/>
    <m/>
    <m/>
    <m/>
    <m/>
    <m/>
    <m/>
    <m/>
    <m/>
    <m/>
    <m/>
    <m/>
    <m/>
    <m/>
    <n v="211.14818289352115"/>
    <x v="0"/>
    <x v="5"/>
    <x v="0"/>
    <n v="177"/>
    <n v="130"/>
    <n v="0.7344632768361582"/>
    <n v="0.7344632768361582"/>
    <n v="1"/>
  </r>
  <r>
    <n v="1301347591"/>
    <s v="58.676.010/0001-21"/>
    <s v="Carla Romano"/>
    <x v="7"/>
    <s v="Pipebot"/>
    <x v="272"/>
    <m/>
    <m/>
    <m/>
    <m/>
    <m/>
    <m/>
    <m/>
    <m/>
    <m/>
    <m/>
    <m/>
    <m/>
    <m/>
    <m/>
    <m/>
    <m/>
    <m/>
    <m/>
    <m/>
    <m/>
    <m/>
    <m/>
    <n v="3.4545315162031329"/>
    <x v="4"/>
    <x v="1"/>
    <x v="1"/>
    <n v="189"/>
    <n v="33"/>
    <n v="0.17460317460317459"/>
    <n v="0.17460317460317459"/>
    <n v="1"/>
  </r>
  <r>
    <n v="1198229212"/>
    <s v="58.676.010/0001-21"/>
    <s v="Carla Romano "/>
    <x v="0"/>
    <s v="Pipebot"/>
    <x v="273"/>
    <m/>
    <m/>
    <m/>
    <m/>
    <m/>
    <d v="2025-08-27T20:33:38"/>
    <d v="2025-08-27T20:34:22"/>
    <n v="4.9799999999999996E-4"/>
    <m/>
    <m/>
    <m/>
    <m/>
    <m/>
    <m/>
    <m/>
    <m/>
    <m/>
    <m/>
    <m/>
    <m/>
    <m/>
    <m/>
    <n v="190.98269314815116"/>
    <x v="0"/>
    <x v="2"/>
    <x v="0"/>
    <n v="146"/>
    <n v="112"/>
    <n v="0.76712328767123283"/>
    <n v="0.76712328767123283"/>
    <n v="1"/>
  </r>
  <r>
    <n v="1184492700"/>
    <s v="52.660.121/0001-63"/>
    <s v="CARLINI &amp; ONGARATTO MARKET LTDA"/>
    <x v="0"/>
    <s v="Pipebot"/>
    <x v="274"/>
    <m/>
    <m/>
    <m/>
    <m/>
    <m/>
    <m/>
    <m/>
    <m/>
    <m/>
    <m/>
    <m/>
    <m/>
    <m/>
    <m/>
    <m/>
    <m/>
    <m/>
    <m/>
    <m/>
    <m/>
    <m/>
    <m/>
    <n v="213.35724354165723"/>
    <x v="0"/>
    <x v="5"/>
    <x v="0"/>
    <n v="177"/>
    <n v="130"/>
    <n v="0.7344632768361582"/>
    <n v="0.7344632768361582"/>
    <n v="1"/>
  </r>
  <r>
    <n v="1251207934"/>
    <s v="51.909.130/0001-82"/>
    <s v="Carlos"/>
    <x v="0"/>
    <s v="Pipebot"/>
    <x v="275"/>
    <m/>
    <m/>
    <d v="2025-11-20T19:03:26"/>
    <d v="2025-11-21T19:04:00"/>
    <n v="1.0003820000000001"/>
    <d v="2025-11-25T19:05:00"/>
    <d v="2025-12-20T12:43:50"/>
    <n v="24.735301"/>
    <m/>
    <m/>
    <m/>
    <d v="2025-11-21T19:04:00"/>
    <d v="2025-11-23T19:04:06"/>
    <n v="2.0000689999999999"/>
    <d v="2025-11-23T19:04:06"/>
    <d v="2025-11-25T19:05:00"/>
    <n v="2.000613"/>
    <m/>
    <m/>
    <m/>
    <m/>
    <m/>
    <n v="112.20611553239723"/>
    <x v="0"/>
    <x v="0"/>
    <x v="0"/>
    <n v="131"/>
    <n v="87"/>
    <n v="0.66412213740458015"/>
    <n v="0.66412213740458015"/>
    <n v="1"/>
  </r>
  <r>
    <n v="1255860640"/>
    <s v="51.909.130/0001-82"/>
    <s v="Carlos - URGENTE - SEDEX 12"/>
    <x v="0"/>
    <s v="Pipebot"/>
    <x v="276"/>
    <m/>
    <m/>
    <d v="2025-12-01T19:04:44"/>
    <d v="2025-12-02T19:05:40"/>
    <n v="1.000637"/>
    <d v="2025-12-06T19:06:29"/>
    <d v="2025-12-20T12:40:43"/>
    <n v="13.732106"/>
    <m/>
    <m/>
    <m/>
    <d v="2025-12-02T19:05:40"/>
    <d v="2025-12-04T19:06:18"/>
    <n v="2.0004400000000002"/>
    <d v="2025-12-04T19:06:18"/>
    <d v="2025-12-06T19:06:29"/>
    <n v="2.000127"/>
    <m/>
    <m/>
    <m/>
    <m/>
    <m/>
    <n v="101.2054794560172"/>
    <x v="0"/>
    <x v="0"/>
    <x v="0"/>
    <n v="131"/>
    <n v="87"/>
    <n v="0.66412213740458015"/>
    <n v="0.66412213740458015"/>
    <n v="1"/>
  </r>
  <r>
    <n v="1227029139"/>
    <s v="54.905.145/0001-60"/>
    <s v="Carlos Eduardo Felizardo da Silva"/>
    <x v="2"/>
    <s v="Pipebot"/>
    <x v="277"/>
    <m/>
    <m/>
    <d v="2025-10-17T20:27:12"/>
    <d v="2026-02-13T16:00:49"/>
    <n v="2.1470020000000001"/>
    <d v="2025-10-22T20:29:41"/>
    <d v="2026-02-12T12:29:49"/>
    <n v="112.666759"/>
    <d v="2026-02-19T17:26:49"/>
    <m/>
    <n v="7.1631369999999999"/>
    <d v="2025-10-18T20:27:53"/>
    <d v="2026-02-16T12:49:11"/>
    <n v="4.8675930000000003"/>
    <d v="2025-10-20T20:28:53"/>
    <d v="2026-02-19T17:26:49"/>
    <n v="5.1933449999999999"/>
    <m/>
    <m/>
    <m/>
    <m/>
    <m/>
    <n v="146.14831675925961"/>
    <x v="0"/>
    <x v="6"/>
    <x v="0"/>
    <n v="195"/>
    <n v="132"/>
    <n v="0.67692307692307696"/>
    <n v="0.67692307692307696"/>
    <n v="1"/>
  </r>
  <r>
    <n v="1267757210"/>
    <s v="29.196.574/0001-69"/>
    <s v="Bruno Yamada"/>
    <x v="0"/>
    <s v="Pipebot"/>
    <x v="278"/>
    <m/>
    <m/>
    <d v="2025-12-26T19:58:18"/>
    <d v="2025-12-27T19:58:50"/>
    <n v="1.000359"/>
    <d v="2025-12-29T19:59:24"/>
    <d v="2026-01-12T14:19:55"/>
    <n v="13.764248"/>
    <m/>
    <m/>
    <m/>
    <d v="2025-12-27T19:58:50"/>
    <d v="2025-12-27T19:58:50"/>
    <n v="0"/>
    <d v="2025-12-27T19:58:50"/>
    <d v="2025-12-29T19:59:24"/>
    <n v="2.0003820000000001"/>
    <m/>
    <m/>
    <m/>
    <m/>
    <m/>
    <n v="76.168595787043159"/>
    <x v="0"/>
    <x v="7"/>
    <x v="0"/>
    <n v="207"/>
    <n v="140"/>
    <n v="0.67632850241545894"/>
    <n v="0.67632850241545894"/>
    <n v="1"/>
  </r>
  <r>
    <n v="1245234359"/>
    <s v="59.247.598/0001-60"/>
    <s v="Carlos Eduardo Silva - TOTEM COM ABA"/>
    <x v="0"/>
    <s v="Pipebot"/>
    <x v="279"/>
    <m/>
    <m/>
    <d v="2025-11-10T13:06:55"/>
    <d v="2025-11-11T13:07:55"/>
    <n v="1.000683"/>
    <d v="2025-11-15T13:09:58"/>
    <d v="2025-11-17T19:46:39"/>
    <n v="2.2754629999999998"/>
    <m/>
    <m/>
    <m/>
    <d v="2025-11-11T13:07:55"/>
    <d v="2025-11-13T13:08:57"/>
    <n v="2.0007060000000001"/>
    <d v="2025-11-13T13:08:57"/>
    <d v="2025-11-15T13:09:58"/>
    <n v="2.0007060000000001"/>
    <m/>
    <m/>
    <m/>
    <m/>
    <m/>
    <n v="122.4541002199112"/>
    <x v="0"/>
    <x v="6"/>
    <x v="0"/>
    <n v="195"/>
    <n v="132"/>
    <n v="0.67692307692307696"/>
    <n v="0.67692307692307696"/>
    <n v="1"/>
  </r>
  <r>
    <n v="1217277358"/>
    <s v="34.706.920/0001-41"/>
    <s v="Carlos Eduardo Teixeira Vasconcelos"/>
    <x v="8"/>
    <s v="Pipebot"/>
    <x v="280"/>
    <m/>
    <m/>
    <d v="2025-10-03T16:52:47"/>
    <d v="2025-10-04T16:53:30"/>
    <n v="1.000486"/>
    <d v="2025-10-08T16:55:10"/>
    <d v="2025-10-29T19:38:38"/>
    <n v="21.113506999999998"/>
    <m/>
    <m/>
    <m/>
    <d v="2025-10-04T16:53:30"/>
    <d v="2025-10-06T16:54:29"/>
    <n v="2.000683"/>
    <d v="2025-10-06T16:54:29"/>
    <d v="2025-10-08T16:55:10"/>
    <n v="2.0004749999999998"/>
    <m/>
    <m/>
    <m/>
    <m/>
    <m/>
    <n v="160.29708030092297"/>
    <x v="0"/>
    <x v="4"/>
    <x v="0"/>
    <n v="197"/>
    <n v="149"/>
    <n v="0.75634517766497467"/>
    <n v="0.75634517766497467"/>
    <n v="1"/>
  </r>
  <r>
    <n v="1269239198"/>
    <s v="59.247.598/0001-60"/>
    <s v="Carlos Eduardo Silva "/>
    <x v="0"/>
    <s v="Pipebot"/>
    <x v="281"/>
    <m/>
    <m/>
    <d v="2025-12-30T22:07:59"/>
    <d v="2025-12-31T22:08:23"/>
    <n v="1.000278"/>
    <d v="2026-01-04T22:09:00"/>
    <d v="2026-01-21T12:32:12"/>
    <n v="16.599443999999998"/>
    <m/>
    <m/>
    <m/>
    <d v="2025-12-31T22:08:23"/>
    <d v="2026-01-02T22:08:52"/>
    <n v="2.0003359999999999"/>
    <d v="2026-01-02T22:08:52"/>
    <d v="2026-01-04T22:09:00"/>
    <n v="2.0000810000000002"/>
    <m/>
    <m/>
    <m/>
    <m/>
    <m/>
    <n v="72.078451689812937"/>
    <x v="0"/>
    <x v="7"/>
    <x v="0"/>
    <n v="207"/>
    <n v="140"/>
    <n v="0.67632850241545894"/>
    <n v="0.67632850241545894"/>
    <n v="1"/>
  </r>
  <r>
    <n v="1242497800"/>
    <s v="55.168.567/0001-63"/>
    <s v="carlos henrique lima fernandes - recebido"/>
    <x v="8"/>
    <s v="Pipebot"/>
    <x v="282"/>
    <m/>
    <m/>
    <m/>
    <m/>
    <m/>
    <m/>
    <m/>
    <m/>
    <m/>
    <m/>
    <m/>
    <m/>
    <m/>
    <m/>
    <m/>
    <m/>
    <m/>
    <m/>
    <m/>
    <m/>
    <m/>
    <m/>
    <n v="126.20579469908262"/>
    <x v="0"/>
    <x v="6"/>
    <x v="0"/>
    <n v="195"/>
    <n v="132"/>
    <n v="0.67692307692307696"/>
    <n v="0.67692307692307696"/>
    <n v="1"/>
  </r>
  <r>
    <n v="1249098034"/>
    <s v="38.088.406/0001-40"/>
    <s v="Carlos Lopes"/>
    <x v="3"/>
    <s v="Pipebot"/>
    <x v="283"/>
    <m/>
    <m/>
    <d v="2025-11-17T19:20:39"/>
    <d v="2026-02-16T12:51:21"/>
    <n v="3.8681019999999999"/>
    <d v="2025-11-22T19:22:40"/>
    <d v="2026-02-13T16:02:17"/>
    <n v="82.860844999999998"/>
    <m/>
    <m/>
    <m/>
    <d v="2025-11-18T19:21:39"/>
    <d v="2026-02-18T13:21:16"/>
    <n v="4.0213190000000001"/>
    <d v="2025-11-20T19:22:27"/>
    <d v="2026-02-20T18:05:48"/>
    <n v="4.1977200000000003"/>
    <m/>
    <m/>
    <m/>
    <m/>
    <m/>
    <n v="115.19427980323962"/>
    <x v="0"/>
    <x v="0"/>
    <x v="0"/>
    <n v="131"/>
    <n v="87"/>
    <n v="0.66412213740458015"/>
    <n v="0.66412213740458015"/>
    <n v="1"/>
  </r>
  <r>
    <n v="1188964387"/>
    <s v="47.231.505/0001-20"/>
    <s v="Carlos Normannn Novoa Paredes Filho"/>
    <x v="0"/>
    <s v="Pipebot"/>
    <x v="284"/>
    <m/>
    <m/>
    <d v="2025-08-19T17:14:02"/>
    <d v="2025-08-20T17:15:03"/>
    <n v="1.0007060000000001"/>
    <d v="2025-08-24T17:16:16"/>
    <d v="2025-08-26T19:28:53"/>
    <n v="2.0920830000000001"/>
    <m/>
    <m/>
    <m/>
    <d v="2025-08-20T17:15:03"/>
    <d v="2025-08-22T17:15:42"/>
    <n v="2.000451"/>
    <d v="2025-08-22T17:15:42"/>
    <d v="2025-08-24T17:16:16"/>
    <n v="2.000394"/>
    <m/>
    <m/>
    <m/>
    <m/>
    <m/>
    <n v="205.28219236111181"/>
    <x v="0"/>
    <x v="2"/>
    <x v="0"/>
    <n v="146"/>
    <n v="112"/>
    <n v="0.76712328767123283"/>
    <n v="0.76712328767123283"/>
    <n v="1"/>
  </r>
  <r>
    <n v="1176577447"/>
    <s v="47.231.505/0001-20"/>
    <s v="Carlos Normannn Novoa Paredes Filho"/>
    <x v="0"/>
    <s v="Pipebot"/>
    <x v="285"/>
    <m/>
    <m/>
    <m/>
    <m/>
    <m/>
    <m/>
    <m/>
    <m/>
    <m/>
    <m/>
    <m/>
    <m/>
    <m/>
    <m/>
    <m/>
    <m/>
    <m/>
    <m/>
    <m/>
    <m/>
    <m/>
    <m/>
    <n v="226.42182387731737"/>
    <x v="0"/>
    <x v="5"/>
    <x v="0"/>
    <n v="177"/>
    <n v="130"/>
    <n v="0.7344632768361582"/>
    <n v="0.7344632768361582"/>
    <n v="1"/>
  </r>
  <r>
    <n v="1224447444"/>
    <s v="34.920.576/0001-99"/>
    <s v="Carolina de Sousa Fonseca Kuntz"/>
    <x v="0"/>
    <s v="Pipebot"/>
    <x v="286"/>
    <m/>
    <m/>
    <d v="2025-10-14T15:27:45"/>
    <d v="2025-10-15T15:28:21"/>
    <n v="1.0004169999999999"/>
    <d v="2025-10-19T15:29:35"/>
    <d v="2025-10-31T20:11:46"/>
    <n v="12.195961"/>
    <m/>
    <m/>
    <m/>
    <d v="2025-10-15T15:28:21"/>
    <d v="2025-10-17T15:28:34"/>
    <n v="2.0001389999999999"/>
    <d v="2025-10-17T15:28:34"/>
    <d v="2025-10-19T15:29:35"/>
    <n v="2.0007060000000001"/>
    <m/>
    <m/>
    <m/>
    <m/>
    <m/>
    <n v="149.3570401157267"/>
    <x v="0"/>
    <x v="4"/>
    <x v="0"/>
    <n v="197"/>
    <n v="149"/>
    <n v="0.75634517766497467"/>
    <n v="0.75634517766497467"/>
    <n v="1"/>
  </r>
  <r>
    <n v="1273097759"/>
    <s v="34.706.920/0001-41"/>
    <s v="Carlos Eduardo Teixeira Vasconcelos"/>
    <x v="5"/>
    <s v="Pipebot"/>
    <x v="287"/>
    <m/>
    <m/>
    <d v="2026-01-09T12:42:52"/>
    <d v="2026-02-19T12:35:51"/>
    <n v="1.9643060000000001"/>
    <d v="2026-01-14T12:44:08"/>
    <d v="2026-02-18T13:27:33"/>
    <n v="35.030149999999999"/>
    <m/>
    <m/>
    <m/>
    <d v="2026-01-10T12:43:11"/>
    <d v="2026-02-20T13:03:00"/>
    <n v="3.0189810000000001"/>
    <d v="2026-01-12T12:43:23"/>
    <d v="2026-01-14T12:44:08"/>
    <n v="8.3468750000000007"/>
    <m/>
    <m/>
    <m/>
    <m/>
    <m/>
    <n v="62.470937418976973"/>
    <x v="0"/>
    <x v="7"/>
    <x v="0"/>
    <n v="207"/>
    <n v="140"/>
    <n v="0.67632850241545894"/>
    <n v="0.67632850241545894"/>
    <n v="1"/>
  </r>
  <r>
    <n v="1293338958"/>
    <s v="57.220.012/0001-49"/>
    <s v="Caroline de Branco Paniza Abahit"/>
    <x v="0"/>
    <s v="Pipebot"/>
    <x v="288"/>
    <m/>
    <m/>
    <d v="2026-02-18T19:07:03"/>
    <d v="2026-02-19T12:36:07"/>
    <n v="0.72851900000000003"/>
    <m/>
    <m/>
    <m/>
    <m/>
    <m/>
    <m/>
    <d v="2026-02-19T12:36:07"/>
    <d v="2026-02-20T16:50:23"/>
    <n v="1.176574"/>
    <d v="2026-02-20T16:50:23"/>
    <d v="2026-02-25T20:37:01"/>
    <n v="5.1573729999999998"/>
    <m/>
    <m/>
    <m/>
    <m/>
    <m/>
    <n v="22.203687106477446"/>
    <x v="3"/>
    <x v="1"/>
    <x v="1"/>
    <n v="189"/>
    <n v="33"/>
    <n v="0.17460317460317459"/>
    <n v="0.17460317460317459"/>
    <n v="1"/>
  </r>
  <r>
    <n v="1197075458"/>
    <s v="58.194.326/0001-87"/>
    <s v="Caroline Rodrigues Oliveira"/>
    <x v="0"/>
    <s v="Pipebot"/>
    <x v="289"/>
    <m/>
    <m/>
    <m/>
    <m/>
    <m/>
    <m/>
    <m/>
    <m/>
    <m/>
    <m/>
    <m/>
    <m/>
    <m/>
    <m/>
    <m/>
    <m/>
    <m/>
    <m/>
    <m/>
    <m/>
    <m/>
    <m/>
    <n v="192.3403728819394"/>
    <x v="0"/>
    <x v="2"/>
    <x v="0"/>
    <n v="146"/>
    <n v="112"/>
    <n v="0.76712328767123283"/>
    <n v="0.76712328767123283"/>
    <n v="1"/>
  </r>
  <r>
    <n v="1181276121"/>
    <s v="60.388.833/0001-01"/>
    <s v="Caroline Salvaia Dezzotti de Almeida"/>
    <x v="0"/>
    <s v="Pipebot"/>
    <x v="290"/>
    <m/>
    <m/>
    <m/>
    <m/>
    <m/>
    <m/>
    <m/>
    <m/>
    <m/>
    <m/>
    <m/>
    <m/>
    <m/>
    <m/>
    <m/>
    <m/>
    <m/>
    <m/>
    <m/>
    <m/>
    <m/>
    <m/>
    <n v="219.14831898148259"/>
    <x v="0"/>
    <x v="5"/>
    <x v="0"/>
    <n v="177"/>
    <n v="130"/>
    <n v="0.7344632768361582"/>
    <n v="0.7344632768361582"/>
    <n v="1"/>
  </r>
  <r>
    <n v="1212890552"/>
    <s v="57.102.247/0001-36"/>
    <s v="Cássia Mazaro"/>
    <x v="0"/>
    <s v="Pipebot"/>
    <x v="291"/>
    <m/>
    <m/>
    <m/>
    <m/>
    <m/>
    <m/>
    <m/>
    <m/>
    <m/>
    <m/>
    <m/>
    <m/>
    <m/>
    <m/>
    <m/>
    <m/>
    <m/>
    <m/>
    <m/>
    <m/>
    <m/>
    <m/>
    <n v="167.98183189814881"/>
    <x v="0"/>
    <x v="4"/>
    <x v="0"/>
    <n v="197"/>
    <n v="149"/>
    <n v="0.75634517766497467"/>
    <n v="0.75634517766497467"/>
    <n v="1"/>
  </r>
  <r>
    <n v="1275238207"/>
    <s v="56.934.737/0001-36"/>
    <s v="Caroline Adami Ichano "/>
    <x v="0"/>
    <s v="Pipebot"/>
    <x v="292"/>
    <m/>
    <m/>
    <d v="2026-01-14T15:09:47"/>
    <d v="2026-01-14T17:52:12"/>
    <n v="0.112789"/>
    <m/>
    <m/>
    <m/>
    <m/>
    <m/>
    <m/>
    <m/>
    <m/>
    <m/>
    <m/>
    <m/>
    <m/>
    <m/>
    <m/>
    <m/>
    <m/>
    <m/>
    <n v="57.368620937500964"/>
    <x v="2"/>
    <x v="7"/>
    <x v="0"/>
    <n v="207"/>
    <n v="140"/>
    <n v="0.67632850241545894"/>
    <n v="0.67632850241545894"/>
    <n v="1"/>
  </r>
  <r>
    <n v="1185365110"/>
    <s v="52.041.147/0001-23"/>
    <s v="CATIA GOMES"/>
    <x v="0"/>
    <s v="Pipebot"/>
    <x v="293"/>
    <m/>
    <m/>
    <m/>
    <m/>
    <m/>
    <m/>
    <m/>
    <m/>
    <m/>
    <m/>
    <m/>
    <m/>
    <m/>
    <m/>
    <m/>
    <m/>
    <m/>
    <m/>
    <m/>
    <m/>
    <m/>
    <m/>
    <n v="212.14824618055718"/>
    <x v="0"/>
    <x v="5"/>
    <x v="0"/>
    <n v="177"/>
    <n v="130"/>
    <n v="0.7344632768361582"/>
    <n v="0.7344632768361582"/>
    <n v="1"/>
  </r>
  <r>
    <n v="1209249661"/>
    <s v="47.483.545/0001-60"/>
    <s v="CEG Comércio de Alimentos"/>
    <x v="0"/>
    <s v="Pipebot"/>
    <x v="294"/>
    <m/>
    <m/>
    <m/>
    <m/>
    <m/>
    <m/>
    <m/>
    <m/>
    <m/>
    <m/>
    <m/>
    <m/>
    <m/>
    <m/>
    <m/>
    <m/>
    <m/>
    <m/>
    <m/>
    <m/>
    <m/>
    <m/>
    <n v="174.14809832176252"/>
    <x v="0"/>
    <x v="4"/>
    <x v="0"/>
    <n v="197"/>
    <n v="149"/>
    <n v="0.75634517766497467"/>
    <n v="0.75634517766497467"/>
    <n v="1"/>
  </r>
  <r>
    <n v="1180443258"/>
    <s v="50.618.409/0001-44"/>
    <s v="Celso"/>
    <x v="5"/>
    <s v="Pipebot"/>
    <x v="295"/>
    <m/>
    <m/>
    <d v="2025-08-04T20:27:42"/>
    <d v="2026-02-12T12:25:30"/>
    <n v="1.6456710000000001"/>
    <d v="2025-08-09T20:28:39"/>
    <d v="2026-02-11T20:56:03"/>
    <n v="186.01902799999999"/>
    <m/>
    <m/>
    <m/>
    <d v="2025-08-05T20:28:01"/>
    <d v="2026-02-13T15:59:24"/>
    <n v="3.1486109999999998"/>
    <d v="2025-08-07T20:28:09"/>
    <d v="2025-08-09T20:28:39"/>
    <n v="15.224201000000001"/>
    <m/>
    <m/>
    <m/>
    <m/>
    <m/>
    <n v="220.14811880786874"/>
    <x v="0"/>
    <x v="5"/>
    <x v="0"/>
    <n v="177"/>
    <n v="130"/>
    <n v="0.7344632768361582"/>
    <n v="0.7344632768361582"/>
    <n v="1"/>
  </r>
  <r>
    <n v="1221522251"/>
    <s v="54.671.440/0001-08"/>
    <s v="CEP MINI MERCADOS LTDA"/>
    <x v="0"/>
    <s v="Pipebot"/>
    <x v="296"/>
    <m/>
    <m/>
    <m/>
    <m/>
    <m/>
    <m/>
    <m/>
    <m/>
    <m/>
    <m/>
    <m/>
    <m/>
    <m/>
    <m/>
    <m/>
    <m/>
    <m/>
    <m/>
    <m/>
    <m/>
    <m/>
    <m/>
    <n v="154.14871839120315"/>
    <x v="0"/>
    <x v="4"/>
    <x v="0"/>
    <n v="197"/>
    <n v="149"/>
    <n v="0.75634517766497467"/>
    <n v="0.75634517766497467"/>
    <n v="1"/>
  </r>
  <r>
    <n v="1295113610"/>
    <s v="55.011.207/0001-53"/>
    <s v="Cesar Augusto de Cerqueira"/>
    <x v="5"/>
    <s v="Pipebot"/>
    <x v="297"/>
    <m/>
    <m/>
    <d v="2026-02-23T13:05:26"/>
    <d v="2026-02-23T13:37:13"/>
    <n v="2.206E-2"/>
    <m/>
    <m/>
    <m/>
    <m/>
    <m/>
    <m/>
    <d v="2026-02-23T13:37:13"/>
    <d v="2026-02-25T13:37:51"/>
    <n v="2.0004400000000002"/>
    <d v="2026-02-25T13:37:51"/>
    <m/>
    <n v="1.322141"/>
    <m/>
    <m/>
    <m/>
    <m/>
    <m/>
    <n v="17.455280810187105"/>
    <x v="1"/>
    <x v="1"/>
    <x v="1"/>
    <n v="189"/>
    <n v="33"/>
    <n v="0.17460317460317459"/>
    <n v="0.17460317460317459"/>
    <n v="1"/>
  </r>
  <r>
    <n v="1295112873"/>
    <s v="55.011.207/0001-53"/>
    <s v="Cesar Augusto de Cerqueira"/>
    <x v="5"/>
    <s v="Pipebot"/>
    <x v="298"/>
    <m/>
    <m/>
    <d v="2026-02-23T13:04:07"/>
    <d v="2026-02-23T13:37:13"/>
    <n v="2.2974999999999999E-2"/>
    <m/>
    <m/>
    <m/>
    <m/>
    <m/>
    <m/>
    <d v="2026-02-23T13:37:13"/>
    <d v="2026-02-25T13:37:52"/>
    <n v="2.0004400000000002"/>
    <d v="2026-02-25T13:37:52"/>
    <m/>
    <n v="1.322141"/>
    <m/>
    <m/>
    <m/>
    <m/>
    <m/>
    <n v="17.45577184027934"/>
    <x v="1"/>
    <x v="1"/>
    <x v="1"/>
    <n v="189"/>
    <n v="33"/>
    <n v="0.17460317460317459"/>
    <n v="0.17460317460317459"/>
    <n v="1"/>
  </r>
  <r>
    <n v="1291011503"/>
    <s v="55.011.207/0001-53"/>
    <s v="Cesar Augusto de Cerqueira "/>
    <x v="0"/>
    <s v="Pipebot"/>
    <x v="299"/>
    <m/>
    <m/>
    <d v="2026-02-13T16:53:10"/>
    <d v="2026-02-14T16:53:29"/>
    <n v="1.000208"/>
    <m/>
    <m/>
    <m/>
    <d v="2026-02-16T13:03:03"/>
    <d v="2026-02-16T13:03:26"/>
    <n v="2.6600000000000001E-4"/>
    <d v="2026-02-14T16:53:29"/>
    <d v="2026-02-16T12:50:24"/>
    <n v="1.8311919999999999"/>
    <d v="2026-02-16T12:50:24"/>
    <d v="2026-02-16T13:02:52"/>
    <n v="8.6459999999999992E-3"/>
    <m/>
    <m/>
    <m/>
    <m/>
    <m/>
    <n v="27.297114328706812"/>
    <x v="5"/>
    <x v="3"/>
    <x v="1"/>
    <n v="223"/>
    <n v="147"/>
    <n v="0.65919282511210764"/>
    <n v="0.65919282511210764"/>
    <n v="1"/>
  </r>
  <r>
    <n v="1294339031"/>
    <s v="55.011.207/0001-53"/>
    <s v="Cesar Augusto de Cerqueira "/>
    <x v="5"/>
    <s v="Pipebot"/>
    <x v="300"/>
    <m/>
    <m/>
    <d v="2026-02-20T15:02:57"/>
    <d v="2026-02-21T15:03:31"/>
    <n v="1.0003820000000001"/>
    <m/>
    <m/>
    <m/>
    <m/>
    <m/>
    <m/>
    <d v="2026-02-21T15:03:31"/>
    <d v="2026-02-23T13:32:47"/>
    <n v="1.936979"/>
    <d v="2026-02-23T13:32:48"/>
    <m/>
    <n v="3.3256480000000002"/>
    <m/>
    <m/>
    <m/>
    <m/>
    <m/>
    <n v="20.373176030087052"/>
    <x v="3"/>
    <x v="1"/>
    <x v="1"/>
    <n v="189"/>
    <n v="33"/>
    <n v="0.17460317460317459"/>
    <n v="0.17460317460317459"/>
    <n v="1"/>
  </r>
  <r>
    <n v="1290299889"/>
    <s v="43.025.354/0001-01"/>
    <s v="CFR ALIMENTOS E SERVICOS LTDA"/>
    <x v="0"/>
    <s v="Pipebot"/>
    <x v="301"/>
    <m/>
    <m/>
    <m/>
    <m/>
    <m/>
    <m/>
    <m/>
    <m/>
    <m/>
    <m/>
    <m/>
    <m/>
    <m/>
    <m/>
    <m/>
    <m/>
    <m/>
    <m/>
    <m/>
    <m/>
    <m/>
    <m/>
    <n v="28.398230324077304"/>
    <x v="5"/>
    <x v="3"/>
    <x v="1"/>
    <n v="223"/>
    <n v="147"/>
    <n v="0.65919282511210764"/>
    <n v="0.65919282511210764"/>
    <n v="1"/>
  </r>
  <r>
    <n v="1266213139"/>
    <s v="27.565.497/0001-41"/>
    <s v="Cassileide Leonel da Silva Cavalcante "/>
    <x v="0"/>
    <s v="Pipebot"/>
    <x v="302"/>
    <m/>
    <m/>
    <d v="2025-12-23T22:08:14"/>
    <d v="2025-12-24T22:08:53"/>
    <n v="1.00044"/>
    <d v="2025-12-28T22:09:29"/>
    <d v="2026-01-12T13:18:40"/>
    <n v="14.631377000000001"/>
    <m/>
    <m/>
    <m/>
    <d v="2025-12-24T22:08:53"/>
    <d v="2025-12-26T22:08:59"/>
    <n v="2.0000689999999999"/>
    <d v="2025-12-26T22:08:59"/>
    <d v="2025-12-28T22:09:29"/>
    <n v="2.0003359999999999"/>
    <m/>
    <m/>
    <m/>
    <m/>
    <m/>
    <n v="79.078174074078561"/>
    <x v="0"/>
    <x v="7"/>
    <x v="0"/>
    <n v="207"/>
    <n v="140"/>
    <n v="0.67632850241545894"/>
    <n v="0.67632850241545894"/>
    <n v="1"/>
  </r>
  <r>
    <n v="1216185327"/>
    <s v="48.169.415/0001-10"/>
    <s v="Cibelle Balota Nivoloni"/>
    <x v="0"/>
    <s v="Pipebot"/>
    <x v="303"/>
    <m/>
    <m/>
    <d v="2025-10-01T20:25:54"/>
    <d v="2025-10-02T20:26:42"/>
    <n v="1.0005440000000001"/>
    <d v="2025-10-06T20:27:39"/>
    <d v="2025-10-16T20:17:37"/>
    <n v="9.9930319999999995"/>
    <m/>
    <m/>
    <m/>
    <d v="2025-10-02T20:26:42"/>
    <d v="2025-10-04T20:27:30"/>
    <n v="2.0005440000000001"/>
    <d v="2025-10-04T20:27:30"/>
    <d v="2025-10-06T20:27:39"/>
    <n v="2.0000930000000001"/>
    <m/>
    <m/>
    <m/>
    <m/>
    <m/>
    <n v="162.14925437499915"/>
    <x v="0"/>
    <x v="4"/>
    <x v="0"/>
    <n v="197"/>
    <n v="149"/>
    <n v="0.75634517766497467"/>
    <n v="0.75634517766497467"/>
    <n v="1"/>
  </r>
  <r>
    <n v="1281254189"/>
    <s v="48.169.415/0001-10"/>
    <s v="Cibelle Balota Nivoloni"/>
    <x v="0"/>
    <s v="Pipebot"/>
    <x v="304"/>
    <m/>
    <m/>
    <m/>
    <m/>
    <m/>
    <m/>
    <m/>
    <m/>
    <m/>
    <m/>
    <m/>
    <m/>
    <m/>
    <m/>
    <m/>
    <m/>
    <m/>
    <m/>
    <m/>
    <m/>
    <m/>
    <m/>
    <n v="44.204578414362913"/>
    <x v="2"/>
    <x v="3"/>
    <x v="1"/>
    <n v="223"/>
    <n v="147"/>
    <n v="0.65919282511210764"/>
    <n v="0.65919282511210764"/>
    <n v="1"/>
  </r>
  <r>
    <n v="1297691118"/>
    <s v="48.169.415/0001-10"/>
    <s v="Cibelle Balota Nivoloni"/>
    <x v="7"/>
    <s v="Pipebot"/>
    <x v="305"/>
    <m/>
    <m/>
    <m/>
    <m/>
    <m/>
    <m/>
    <m/>
    <m/>
    <m/>
    <m/>
    <m/>
    <m/>
    <m/>
    <m/>
    <m/>
    <m/>
    <m/>
    <m/>
    <m/>
    <m/>
    <m/>
    <m/>
    <n v="13.203477326387656"/>
    <x v="4"/>
    <x v="1"/>
    <x v="1"/>
    <n v="189"/>
    <n v="33"/>
    <n v="0.17460317460317459"/>
    <n v="0.17460317460317459"/>
    <n v="1"/>
  </r>
  <r>
    <n v="1303239402"/>
    <s v="48.169.415/0001-10"/>
    <s v="Cibelle Balota Nivoloni"/>
    <x v="7"/>
    <s v="Pipebot"/>
    <x v="306"/>
    <m/>
    <m/>
    <m/>
    <m/>
    <m/>
    <m/>
    <m/>
    <m/>
    <m/>
    <m/>
    <m/>
    <m/>
    <m/>
    <m/>
    <m/>
    <m/>
    <m/>
    <m/>
    <m/>
    <m/>
    <m/>
    <m/>
    <n v="2.2041491203708574"/>
    <x v="4"/>
    <x v="1"/>
    <x v="1"/>
    <n v="189"/>
    <n v="33"/>
    <n v="0.17460317460317459"/>
    <n v="0.17460317460317459"/>
    <n v="1"/>
  </r>
  <r>
    <n v="1282982121"/>
    <s v="48.169.415/0001-10"/>
    <s v="Cibelle Balota Nivoloni (adaptador - acionado Sofia 05/02"/>
    <x v="5"/>
    <s v="Pipebot"/>
    <x v="307"/>
    <m/>
    <m/>
    <d v="2026-01-30T19:05:18"/>
    <d v="2026-02-20T16:51:42"/>
    <n v="2.1765970000000001"/>
    <d v="2026-02-04T19:07:35"/>
    <d v="2026-02-19T12:38:00"/>
    <n v="14.729444000000001"/>
    <m/>
    <m/>
    <m/>
    <d v="2026-01-31T19:05:55"/>
    <d v="2026-02-23T13:32:47"/>
    <n v="4.8624419999999997"/>
    <d v="2026-02-02T19:06:45"/>
    <d v="2026-02-04T19:07:35"/>
    <n v="5.3262270000000003"/>
    <m/>
    <m/>
    <m/>
    <m/>
    <m/>
    <n v="41.20522876157338"/>
    <x v="2"/>
    <x v="3"/>
    <x v="1"/>
    <n v="223"/>
    <n v="147"/>
    <n v="0.65919282511210764"/>
    <n v="0.65919282511210764"/>
    <n v="1"/>
  </r>
  <r>
    <n v="1288044964"/>
    <s v="52.928.928/0001-34"/>
    <s v="CIGENO"/>
    <x v="5"/>
    <s v="Pipebot"/>
    <x v="308"/>
    <m/>
    <m/>
    <d v="2026-02-09T13:04:32"/>
    <d v="2026-02-20T16:52:39"/>
    <n v="2.1739700000000002"/>
    <d v="2026-02-11T20:50:10"/>
    <d v="2026-02-19T12:42:20"/>
    <n v="7.6612270000000002"/>
    <m/>
    <m/>
    <m/>
    <d v="2026-02-10T13:04:46"/>
    <d v="2026-02-21T09:07:32"/>
    <n v="2.000197"/>
    <d v="2026-02-21T09:07:32"/>
    <m/>
    <n v="5.5098609999999999"/>
    <m/>
    <m/>
    <m/>
    <m/>
    <m/>
    <n v="31.455845682867221"/>
    <x v="2"/>
    <x v="3"/>
    <x v="1"/>
    <n v="223"/>
    <n v="147"/>
    <n v="0.65919282511210764"/>
    <n v="0.65919282511210764"/>
    <n v="1"/>
  </r>
  <r>
    <n v="1295383946"/>
    <s v="62.896.681/0001-75"/>
    <s v="Cirlene Foseca Silva"/>
    <x v="0"/>
    <s v="Pipebot"/>
    <x v="309"/>
    <m/>
    <m/>
    <m/>
    <m/>
    <m/>
    <m/>
    <m/>
    <m/>
    <m/>
    <m/>
    <m/>
    <m/>
    <m/>
    <m/>
    <m/>
    <m/>
    <m/>
    <m/>
    <m/>
    <m/>
    <m/>
    <m/>
    <n v="17.204276377320639"/>
    <x v="1"/>
    <x v="1"/>
    <x v="1"/>
    <n v="189"/>
    <n v="33"/>
    <n v="0.17460317460317459"/>
    <n v="0.17460317460317459"/>
    <n v="1"/>
  </r>
  <r>
    <n v="1265626817"/>
    <s v="47.057.291/0001-18"/>
    <s v="Cia Míni Rápido"/>
    <x v="0"/>
    <s v="Pipebot"/>
    <x v="310"/>
    <m/>
    <m/>
    <d v="2025-12-22T22:07:13"/>
    <d v="2025-12-23T22:07:14"/>
    <n v="1.0000119999999999"/>
    <d v="2025-12-27T22:07:50"/>
    <d v="2026-02-10T20:34:25"/>
    <n v="44.935116000000001"/>
    <m/>
    <m/>
    <m/>
    <d v="2025-12-23T22:07:14"/>
    <d v="2025-12-25T22:07:24"/>
    <n v="2.0001039999999999"/>
    <d v="2025-12-25T22:07:24"/>
    <d v="2025-12-27T22:07:50"/>
    <n v="2.0003009999999999"/>
    <m/>
    <m/>
    <m/>
    <m/>
    <m/>
    <n v="80.078777604168863"/>
    <x v="0"/>
    <x v="7"/>
    <x v="0"/>
    <n v="207"/>
    <n v="140"/>
    <n v="0.67632850241545894"/>
    <n v="0.67632850241545894"/>
    <n v="1"/>
  </r>
  <r>
    <n v="1189596541"/>
    <s v="54.662.759/0001-69"/>
    <s v="Claudia Abreu Fagundes Dias"/>
    <x v="5"/>
    <s v="Pipebot"/>
    <x v="311"/>
    <m/>
    <m/>
    <d v="2025-08-20T15:26:16"/>
    <d v="2026-02-12T12:26:02"/>
    <n v="1.644884"/>
    <d v="2025-08-25T15:27:57"/>
    <d v="2026-02-11T20:57:57"/>
    <n v="170.22915499999999"/>
    <m/>
    <m/>
    <m/>
    <d v="2025-08-21T15:26:50"/>
    <d v="2026-02-13T15:59:45"/>
    <n v="3.1490860000000001"/>
    <d v="2025-08-23T15:27:48"/>
    <d v="2025-08-25T15:27:57"/>
    <n v="15.223704"/>
    <m/>
    <m/>
    <m/>
    <m/>
    <m/>
    <n v="204.35713409722666"/>
    <x v="0"/>
    <x v="2"/>
    <x v="0"/>
    <n v="146"/>
    <n v="112"/>
    <n v="0.76712328767123283"/>
    <n v="0.76712328767123283"/>
    <n v="1"/>
  </r>
  <r>
    <n v="1178000789"/>
    <s v="54.662.759/0001-69"/>
    <s v="Cláudia Abreu Fagundes Dias - cabo de carregador"/>
    <x v="3"/>
    <s v="Pipebot"/>
    <x v="312"/>
    <m/>
    <m/>
    <d v="2025-07-31T15:26:17"/>
    <d v="2025-08-01T15:27:01"/>
    <n v="1.0004980000000001"/>
    <d v="2025-08-05T15:27:51"/>
    <d v="2025-08-06T13:40:49"/>
    <n v="8.5323999999999997E-2"/>
    <d v="2025-08-05T17:30:30"/>
    <d v="2025-08-06T13:40:44"/>
    <n v="4.75E-4"/>
    <d v="2025-08-01T15:27:01"/>
    <d v="2025-08-03T15:27:19"/>
    <n v="2.000197"/>
    <d v="2025-08-03T15:27:19"/>
    <d v="2025-08-05T15:27:51"/>
    <n v="2.000359"/>
    <m/>
    <m/>
    <m/>
    <m/>
    <m/>
    <n v="224.35723902777681"/>
    <x v="0"/>
    <x v="5"/>
    <x v="0"/>
    <n v="177"/>
    <n v="130"/>
    <n v="0.7344632768361582"/>
    <n v="0.7344632768361582"/>
    <n v="1"/>
  </r>
  <r>
    <n v="1245233619"/>
    <s v="52.139.666/0001-29"/>
    <s v="Claudia da Silva Barbosa - recebido 06/11/25"/>
    <x v="8"/>
    <s v="Pipebot"/>
    <x v="313"/>
    <m/>
    <m/>
    <m/>
    <m/>
    <m/>
    <m/>
    <m/>
    <m/>
    <m/>
    <m/>
    <m/>
    <m/>
    <m/>
    <m/>
    <m/>
    <m/>
    <m/>
    <m/>
    <m/>
    <m/>
    <m/>
    <m/>
    <n v="122.45460574074241"/>
    <x v="0"/>
    <x v="6"/>
    <x v="0"/>
    <n v="195"/>
    <n v="132"/>
    <n v="0.67692307692307696"/>
    <n v="0.67692307692307696"/>
    <n v="1"/>
  </r>
  <r>
    <n v="1256482287"/>
    <s v="53.883.748/0001-46"/>
    <s v="Claudia Gisele Yamamoto"/>
    <x v="0"/>
    <s v="Pipebot"/>
    <x v="314"/>
    <m/>
    <m/>
    <d v="2025-12-02T19:05:38"/>
    <d v="2025-12-03T19:06:10"/>
    <n v="1.000359"/>
    <d v="2025-12-07T19:06:56"/>
    <d v="2025-12-20T13:47:59"/>
    <n v="12.778506999999999"/>
    <m/>
    <m/>
    <m/>
    <d v="2025-12-03T19:06:10"/>
    <d v="2025-12-05T19:06:47"/>
    <n v="2.0004279999999999"/>
    <d v="2025-12-05T19:06:47"/>
    <d v="2025-12-07T19:06:56"/>
    <n v="2.0000930000000001"/>
    <m/>
    <m/>
    <m/>
    <m/>
    <m/>
    <n v="100.20511856482335"/>
    <x v="0"/>
    <x v="0"/>
    <x v="0"/>
    <n v="131"/>
    <n v="87"/>
    <n v="0.66412213740458015"/>
    <n v="0.66412213740458015"/>
    <n v="1"/>
  </r>
  <r>
    <n v="1213737504"/>
    <s v="62.029.232/0001-20"/>
    <s v="Claudia Kelly Brandão de Souza - data e hora"/>
    <x v="0"/>
    <s v="Pipebot"/>
    <x v="315"/>
    <m/>
    <m/>
    <m/>
    <m/>
    <m/>
    <m/>
    <m/>
    <m/>
    <m/>
    <m/>
    <m/>
    <m/>
    <m/>
    <m/>
    <m/>
    <m/>
    <m/>
    <m/>
    <m/>
    <m/>
    <m/>
    <m/>
    <n v="166.35614056712802"/>
    <x v="0"/>
    <x v="4"/>
    <x v="0"/>
    <n v="197"/>
    <n v="149"/>
    <n v="0.75634517766497467"/>
    <n v="0.75634517766497467"/>
    <n v="1"/>
  </r>
  <r>
    <n v="1206008541"/>
    <s v="40.612.056/0001-11"/>
    <s v="CLAUDIA ROBERTA ROSA BEDOIAN"/>
    <x v="2"/>
    <s v="Pipebot"/>
    <x v="316"/>
    <m/>
    <m/>
    <d v="2025-09-15T18:26:08"/>
    <d v="2026-02-12T12:26:13"/>
    <n v="1.6448499999999999"/>
    <d v="2025-09-20T18:27:52"/>
    <d v="2026-02-11T20:58:16"/>
    <n v="144.104433"/>
    <d v="2026-02-19T14:06:42"/>
    <m/>
    <n v="7.3021060000000002"/>
    <d v="2025-09-16T18:26:47"/>
    <d v="2026-02-13T15:59:56"/>
    <n v="3.1487959999999999"/>
    <d v="2025-09-18T18:27:21"/>
    <d v="2026-02-19T14:06:42"/>
    <n v="7.9217250000000003"/>
    <m/>
    <m/>
    <m/>
    <m/>
    <m/>
    <n v="178.23223870371294"/>
    <x v="0"/>
    <x v="4"/>
    <x v="0"/>
    <n v="197"/>
    <n v="149"/>
    <n v="0.75634517766497467"/>
    <n v="0.75634517766497467"/>
    <n v="1"/>
  </r>
  <r>
    <n v="1242498426"/>
    <s v="61.516.154/0001-25"/>
    <s v="Claudia Souza Casagrande"/>
    <x v="0"/>
    <s v="Pipebot"/>
    <x v="317"/>
    <m/>
    <m/>
    <m/>
    <m/>
    <m/>
    <m/>
    <m/>
    <m/>
    <m/>
    <m/>
    <m/>
    <m/>
    <m/>
    <m/>
    <m/>
    <m/>
    <m/>
    <m/>
    <m/>
    <m/>
    <m/>
    <m/>
    <n v="126.2053806944532"/>
    <x v="0"/>
    <x v="6"/>
    <x v="0"/>
    <n v="195"/>
    <n v="132"/>
    <n v="0.67692307692307696"/>
    <n v="0.67692307692307696"/>
    <n v="1"/>
  </r>
  <r>
    <n v="1278360705"/>
    <s v="51.613.090/0001-27"/>
    <s v="Claudiane Aparecida Rocha "/>
    <x v="0"/>
    <s v="Pipebot"/>
    <x v="318"/>
    <m/>
    <m/>
    <m/>
    <m/>
    <m/>
    <m/>
    <m/>
    <m/>
    <m/>
    <m/>
    <m/>
    <m/>
    <m/>
    <m/>
    <m/>
    <m/>
    <m/>
    <m/>
    <m/>
    <m/>
    <m/>
    <m/>
    <n v="50.204332141212944"/>
    <x v="2"/>
    <x v="3"/>
    <x v="1"/>
    <n v="223"/>
    <n v="147"/>
    <n v="0.65919282511210764"/>
    <n v="0.65919282511210764"/>
    <n v="1"/>
  </r>
  <r>
    <n v="1277777604"/>
    <s v="59.084.514/0001-15"/>
    <s v="Claudiane Pereira de Oliveira"/>
    <x v="0"/>
    <s v="Pipebot"/>
    <x v="319"/>
    <m/>
    <m/>
    <d v="2026-01-20T22:06:47"/>
    <d v="2026-01-21T22:07:12"/>
    <n v="1.000278"/>
    <m/>
    <m/>
    <m/>
    <m/>
    <m/>
    <m/>
    <d v="2026-01-21T22:07:12"/>
    <d v="2026-01-23T16:01:04"/>
    <n v="1.745741"/>
    <m/>
    <m/>
    <m/>
    <m/>
    <m/>
    <m/>
    <m/>
    <m/>
    <n v="51.079237349542382"/>
    <x v="2"/>
    <x v="3"/>
    <x v="1"/>
    <n v="223"/>
    <n v="147"/>
    <n v="0.65919282511210764"/>
    <n v="0.65919282511210764"/>
    <n v="1"/>
  </r>
  <r>
    <n v="1186004909"/>
    <s v="48.554.108/0001-52"/>
    <s v="Claudio Estevam dos Santos Filho"/>
    <x v="8"/>
    <s v="Pipebot"/>
    <x v="320"/>
    <m/>
    <m/>
    <d v="2025-08-13T20:26:07"/>
    <d v="2025-08-14T20:26:54"/>
    <n v="1.0005440000000001"/>
    <d v="2025-08-18T20:28:10"/>
    <d v="2025-11-03T18:44:14"/>
    <n v="76.927813"/>
    <m/>
    <m/>
    <m/>
    <d v="2025-08-14T20:26:54"/>
    <d v="2025-08-16T20:27:05"/>
    <n v="2.000127"/>
    <d v="2025-08-16T20:27:05"/>
    <d v="2025-08-18T20:28:10"/>
    <n v="2.0007410000000001"/>
    <m/>
    <m/>
    <m/>
    <m/>
    <m/>
    <n v="211.14880484953756"/>
    <x v="0"/>
    <x v="5"/>
    <x v="0"/>
    <n v="177"/>
    <n v="130"/>
    <n v="0.7344632768361582"/>
    <n v="0.7344632768361582"/>
    <n v="1"/>
  </r>
  <r>
    <n v="1300426412"/>
    <s v="49.875.310/0001-49"/>
    <s v="Claudio Leite - POSTADO COMPROVANTE ANEXO"/>
    <x v="7"/>
    <s v="Pipebot"/>
    <x v="321"/>
    <m/>
    <m/>
    <m/>
    <m/>
    <m/>
    <m/>
    <m/>
    <m/>
    <m/>
    <m/>
    <m/>
    <m/>
    <m/>
    <m/>
    <m/>
    <m/>
    <m/>
    <m/>
    <m/>
    <m/>
    <m/>
    <m/>
    <n v="6.2043142129623448"/>
    <x v="4"/>
    <x v="1"/>
    <x v="1"/>
    <n v="189"/>
    <n v="33"/>
    <n v="0.17460317460317459"/>
    <n v="0.17460317460317459"/>
    <n v="1"/>
  </r>
  <r>
    <n v="1294483655"/>
    <s v="44.444.952/0001-70"/>
    <s v="Cleiton"/>
    <x v="5"/>
    <s v="Pipebot"/>
    <x v="322"/>
    <m/>
    <m/>
    <d v="2026-02-20T19:04:28"/>
    <d v="2026-02-21T19:04:35"/>
    <n v="1.000081"/>
    <m/>
    <m/>
    <m/>
    <m/>
    <m/>
    <m/>
    <d v="2026-02-21T19:04:35"/>
    <d v="2026-02-23T13:32:47"/>
    <n v="1.7695719999999999"/>
    <d v="2026-02-23T13:32:48"/>
    <m/>
    <n v="3.3256480000000002"/>
    <m/>
    <m/>
    <m/>
    <m/>
    <m/>
    <n v="20.205950775460224"/>
    <x v="3"/>
    <x v="1"/>
    <x v="1"/>
    <n v="189"/>
    <n v="33"/>
    <n v="0.17460317460317459"/>
    <n v="0.17460317460317459"/>
    <n v="1"/>
  </r>
  <r>
    <n v="1297686522"/>
    <s v="54.139.247/0001-12"/>
    <s v="Cleonice Aparecida dos Santos Lima - Totem para V2"/>
    <x v="7"/>
    <s v="Pipebot"/>
    <x v="323"/>
    <m/>
    <m/>
    <m/>
    <m/>
    <m/>
    <m/>
    <m/>
    <m/>
    <m/>
    <m/>
    <m/>
    <m/>
    <m/>
    <m/>
    <m/>
    <m/>
    <m/>
    <m/>
    <m/>
    <m/>
    <m/>
    <m/>
    <n v="13.206548310190556"/>
    <x v="4"/>
    <x v="1"/>
    <x v="1"/>
    <n v="189"/>
    <n v="33"/>
    <n v="0.17460317460317459"/>
    <n v="0.17460317460317459"/>
    <n v="1"/>
  </r>
  <r>
    <n v="1290438955"/>
    <s v="62.327.231/0001-61"/>
    <s v="Cleria Aparecida Terra Darini "/>
    <x v="0"/>
    <s v="Pipebot"/>
    <x v="324"/>
    <m/>
    <m/>
    <m/>
    <m/>
    <m/>
    <m/>
    <m/>
    <m/>
    <m/>
    <m/>
    <m/>
    <m/>
    <m/>
    <m/>
    <m/>
    <m/>
    <m/>
    <m/>
    <m/>
    <m/>
    <m/>
    <m/>
    <n v="28.303304907407437"/>
    <x v="5"/>
    <x v="3"/>
    <x v="1"/>
    <n v="223"/>
    <n v="147"/>
    <n v="0.65919282511210764"/>
    <n v="0.65919282511210764"/>
    <n v="1"/>
  </r>
  <r>
    <n v="1294577541"/>
    <s v="47.733.123/0001-03"/>
    <s v="Comfy Shop Minimercados "/>
    <x v="0"/>
    <s v="Pipebot"/>
    <x v="325"/>
    <m/>
    <m/>
    <m/>
    <m/>
    <m/>
    <m/>
    <m/>
    <m/>
    <m/>
    <m/>
    <m/>
    <m/>
    <m/>
    <m/>
    <m/>
    <m/>
    <m/>
    <m/>
    <m/>
    <m/>
    <m/>
    <m/>
    <n v="20.079939780087443"/>
    <x v="3"/>
    <x v="1"/>
    <x v="1"/>
    <n v="189"/>
    <n v="33"/>
    <n v="0.17460317460317459"/>
    <n v="0.17460317460317459"/>
    <n v="1"/>
  </r>
  <r>
    <n v="1293339015"/>
    <s v="55.194.053/0001-82"/>
    <s v="CONVENIÊNCIA LDC"/>
    <x v="5"/>
    <s v="Pipebot"/>
    <x v="326"/>
    <m/>
    <m/>
    <d v="2026-02-18T19:07:03"/>
    <d v="2026-02-19T12:36:08"/>
    <n v="0.72851900000000003"/>
    <m/>
    <m/>
    <m/>
    <m/>
    <m/>
    <m/>
    <d v="2026-02-19T12:36:08"/>
    <d v="2026-02-20T16:50:25"/>
    <n v="1.176574"/>
    <d v="2026-02-20T16:50:25"/>
    <m/>
    <n v="6.1884259999999998"/>
    <m/>
    <m/>
    <m/>
    <m/>
    <m/>
    <n v="22.2036323032371"/>
    <x v="3"/>
    <x v="1"/>
    <x v="1"/>
    <n v="189"/>
    <n v="33"/>
    <n v="0.17460317460317459"/>
    <n v="0.17460317460317459"/>
    <n v="1"/>
  </r>
  <r>
    <n v="1231461907"/>
    <s v="60.760.387/0001-06"/>
    <s v="Cris"/>
    <x v="0"/>
    <s v="Pipebot"/>
    <x v="327"/>
    <m/>
    <m/>
    <m/>
    <m/>
    <m/>
    <m/>
    <m/>
    <m/>
    <m/>
    <m/>
    <m/>
    <m/>
    <m/>
    <m/>
    <m/>
    <m/>
    <m/>
    <m/>
    <m/>
    <m/>
    <m/>
    <m/>
    <n v="140.14851078703941"/>
    <x v="0"/>
    <x v="6"/>
    <x v="0"/>
    <n v="195"/>
    <n v="132"/>
    <n v="0.67692307692307696"/>
    <n v="0.67692307692307696"/>
    <n v="1"/>
  </r>
  <r>
    <n v="1220845125"/>
    <s v="48.169.415/0001-10"/>
    <s v="Cristian Ricardo Nivoloni:"/>
    <x v="0"/>
    <s v="Pipebot"/>
    <x v="328"/>
    <m/>
    <m/>
    <d v="2025-10-08T20:29:20"/>
    <d v="2025-10-09T20:29:58"/>
    <n v="1.0004280000000001"/>
    <d v="2025-10-13T20:31:24"/>
    <d v="2025-10-15T21:23:21"/>
    <n v="2.036076"/>
    <m/>
    <m/>
    <m/>
    <d v="2025-10-09T20:29:58"/>
    <d v="2025-10-11T20:30:46"/>
    <n v="2.000556"/>
    <d v="2025-10-11T20:30:46"/>
    <d v="2025-10-13T20:31:24"/>
    <n v="2.0004279999999999"/>
    <m/>
    <m/>
    <m/>
    <m/>
    <m/>
    <n v="155.14693765046104"/>
    <x v="0"/>
    <x v="4"/>
    <x v="0"/>
    <n v="197"/>
    <n v="149"/>
    <n v="0.75634517766497467"/>
    <n v="0.75634517766497467"/>
    <n v="1"/>
  </r>
  <r>
    <n v="1216185618"/>
    <s v="48.866.120/0001-00"/>
    <s v="Cristina de Marilac Bordignon Moura"/>
    <x v="0"/>
    <s v="Pipebot"/>
    <x v="329"/>
    <m/>
    <m/>
    <m/>
    <m/>
    <m/>
    <m/>
    <m/>
    <m/>
    <m/>
    <m/>
    <m/>
    <m/>
    <m/>
    <m/>
    <m/>
    <m/>
    <m/>
    <m/>
    <m/>
    <m/>
    <m/>
    <m/>
    <n v="162.14893872685207"/>
    <x v="0"/>
    <x v="4"/>
    <x v="0"/>
    <n v="197"/>
    <n v="149"/>
    <n v="0.75634517766497467"/>
    <n v="0.75634517766497467"/>
    <n v="1"/>
  </r>
  <r>
    <n v="1219402446"/>
    <s v="48.866.120/0001-00"/>
    <s v="Cristina de Marilac Bordignon Moura"/>
    <x v="0"/>
    <s v="Pipebot"/>
    <x v="330"/>
    <m/>
    <m/>
    <m/>
    <m/>
    <m/>
    <m/>
    <m/>
    <m/>
    <m/>
    <m/>
    <m/>
    <m/>
    <m/>
    <m/>
    <m/>
    <m/>
    <m/>
    <m/>
    <m/>
    <m/>
    <m/>
    <m/>
    <n v="157.14831821758708"/>
    <x v="0"/>
    <x v="4"/>
    <x v="0"/>
    <n v="197"/>
    <n v="149"/>
    <n v="0.75634517766497467"/>
    <n v="0.75634517766497467"/>
    <n v="1"/>
  </r>
  <r>
    <n v="1173145914"/>
    <s v="15.313.066/0001-09"/>
    <s v="D&amp;P Comércio de Alimentos LTDA"/>
    <x v="0"/>
    <s v="Pipebot"/>
    <x v="331"/>
    <m/>
    <m/>
    <m/>
    <m/>
    <m/>
    <m/>
    <m/>
    <m/>
    <m/>
    <m/>
    <m/>
    <m/>
    <m/>
    <m/>
    <m/>
    <m/>
    <m/>
    <m/>
    <m/>
    <m/>
    <m/>
    <m/>
    <n v="233.35782096064941"/>
    <x v="0"/>
    <x v="5"/>
    <x v="0"/>
    <n v="177"/>
    <n v="130"/>
    <n v="0.7344632768361582"/>
    <n v="0.7344632768361582"/>
    <n v="1"/>
  </r>
  <r>
    <n v="1268643973"/>
    <s v="47.961.903/0001-00"/>
    <s v="Claudemir Luiz das Graças"/>
    <x v="0"/>
    <s v="Pipebot"/>
    <x v="332"/>
    <m/>
    <m/>
    <d v="2025-12-29T19:08:20"/>
    <d v="2025-12-30T19:08:59"/>
    <n v="1.000451"/>
    <d v="2026-01-03T19:10:13"/>
    <d v="2026-01-30T19:31:03"/>
    <n v="27.014468000000001"/>
    <d v="2026-01-30T19:31:04"/>
    <d v="2026-01-30T19:31:25"/>
    <n v="2.43E-4"/>
    <d v="2025-12-30T19:08:59"/>
    <d v="2026-01-01T19:09:36"/>
    <n v="2.0004279999999999"/>
    <d v="2026-01-01T19:09:37"/>
    <d v="2026-01-03T19:10:13"/>
    <n v="2.0004170000000001"/>
    <m/>
    <m/>
    <m/>
    <m/>
    <m/>
    <n v="73.203004953698837"/>
    <x v="0"/>
    <x v="7"/>
    <x v="0"/>
    <n v="207"/>
    <n v="140"/>
    <n v="0.67632850241545894"/>
    <n v="0.67632850241545894"/>
    <n v="1"/>
  </r>
  <r>
    <n v="1217449763"/>
    <s v="53.703.531/0001-07"/>
    <s v="Daiany Donato de Castro Mendes"/>
    <x v="0"/>
    <s v="Pipebot"/>
    <x v="333"/>
    <m/>
    <m/>
    <d v="2025-10-03T20:24:46"/>
    <d v="2025-10-04T20:25:30"/>
    <n v="1.0004980000000001"/>
    <d v="2025-10-08T20:26:14"/>
    <d v="2025-10-20T19:52:18"/>
    <n v="11.976424"/>
    <m/>
    <m/>
    <m/>
    <d v="2025-10-04T20:25:30"/>
    <d v="2025-10-06T20:25:40"/>
    <n v="2.0001159999999998"/>
    <d v="2025-10-06T20:25:40"/>
    <d v="2025-10-08T20:26:14"/>
    <n v="2.000394"/>
    <m/>
    <m/>
    <m/>
    <m/>
    <m/>
    <n v="160.14962041666149"/>
    <x v="0"/>
    <x v="4"/>
    <x v="0"/>
    <n v="197"/>
    <n v="149"/>
    <n v="0.75634517766497467"/>
    <n v="0.75634517766497467"/>
    <n v="1"/>
  </r>
  <r>
    <n v="1204521495"/>
    <s v="04.598.688/0001-04"/>
    <s v="Daniel Bomfim Lima de Souza - os itens chegaram em 15/09"/>
    <x v="2"/>
    <s v="Pipebot"/>
    <x v="334"/>
    <m/>
    <m/>
    <d v="2025-09-12T15:24:39"/>
    <d v="2026-02-12T12:26:10"/>
    <n v="1.645116"/>
    <d v="2025-09-15T20:43:27"/>
    <d v="2026-02-11T20:58:09"/>
    <n v="149.00877299999999"/>
    <d v="2025-09-15T20:45:35"/>
    <d v="2025-09-15T20:45:43"/>
    <n v="6.285336"/>
    <d v="2025-09-13T15:25:37"/>
    <d v="2026-02-13T15:59:53"/>
    <n v="3.1486459999999998"/>
    <d v="2025-09-15T15:25:58"/>
    <d v="2026-02-20T14:31:00"/>
    <n v="7.1587500000000004"/>
    <m/>
    <m/>
    <m/>
    <m/>
    <m/>
    <n v="181.35796899306297"/>
    <x v="0"/>
    <x v="2"/>
    <x v="0"/>
    <n v="146"/>
    <n v="112"/>
    <n v="0.76712328767123283"/>
    <n v="0.76712328767123283"/>
    <n v="1"/>
  </r>
  <r>
    <n v="1243199407"/>
    <s v="54.800.393/0001-47"/>
    <s v="Daniel da Costa Azevedo - chegou"/>
    <x v="8"/>
    <s v="Pipebot"/>
    <x v="335"/>
    <m/>
    <m/>
    <m/>
    <m/>
    <m/>
    <m/>
    <m/>
    <m/>
    <m/>
    <m/>
    <m/>
    <m/>
    <m/>
    <m/>
    <m/>
    <m/>
    <m/>
    <m/>
    <m/>
    <m/>
    <m/>
    <m/>
    <n v="125.37211118055711"/>
    <x v="0"/>
    <x v="6"/>
    <x v="0"/>
    <n v="195"/>
    <n v="132"/>
    <n v="0.67692307692307696"/>
    <n v="0.67692307692307696"/>
    <n v="1"/>
  </r>
  <r>
    <n v="1180443509"/>
    <s v="49.924.102/0002-73"/>
    <s v="Daniel Gomes Neto"/>
    <x v="0"/>
    <s v="Pipebot"/>
    <x v="336"/>
    <m/>
    <m/>
    <d v="2025-08-04T20:27:43"/>
    <d v="2025-08-05T20:28:01"/>
    <n v="1.000208"/>
    <d v="2025-08-09T20:28:39"/>
    <d v="2025-09-09T17:24:02"/>
    <n v="30.871794000000001"/>
    <m/>
    <m/>
    <m/>
    <d v="2025-08-05T20:28:01"/>
    <d v="2025-08-07T20:28:09"/>
    <n v="2.0000810000000002"/>
    <d v="2025-08-07T20:28:09"/>
    <d v="2025-08-09T20:28:39"/>
    <n v="2.0003470000000001"/>
    <m/>
    <m/>
    <m/>
    <m/>
    <m/>
    <n v="220.14791078704002"/>
    <x v="0"/>
    <x v="5"/>
    <x v="0"/>
    <n v="177"/>
    <n v="130"/>
    <n v="0.7344632768361582"/>
    <n v="0.7344632768361582"/>
    <n v="1"/>
  </r>
  <r>
    <n v="1187038133"/>
    <s v="47.051.262/0001-49"/>
    <s v="Daniela Cristina Fabrin Moraes de oliveira "/>
    <x v="0"/>
    <s v="Pipebot"/>
    <x v="337"/>
    <m/>
    <m/>
    <m/>
    <m/>
    <m/>
    <m/>
    <m/>
    <m/>
    <m/>
    <m/>
    <m/>
    <m/>
    <m/>
    <m/>
    <m/>
    <m/>
    <m/>
    <m/>
    <m/>
    <m/>
    <m/>
    <m/>
    <n v="209.31929490740731"/>
    <x v="0"/>
    <x v="2"/>
    <x v="0"/>
    <n v="146"/>
    <n v="112"/>
    <n v="0.76712328767123283"/>
    <n v="0.76712328767123283"/>
    <n v="1"/>
  </r>
  <r>
    <n v="1241218657"/>
    <s v="58.095.132/0001-24"/>
    <s v="Daniela Sampaio Sacchetto Abranches "/>
    <x v="0"/>
    <s v="Pipebot"/>
    <x v="338"/>
    <m/>
    <m/>
    <d v="2025-11-05T14:15:48"/>
    <d v="2025-11-06T14:16:24"/>
    <n v="1.0004169999999999"/>
    <d v="2025-11-10T14:17:32"/>
    <d v="2025-12-10T17:22:33"/>
    <n v="30.128484"/>
    <m/>
    <m/>
    <m/>
    <d v="2025-11-06T14:16:24"/>
    <d v="2025-11-08T14:17:09"/>
    <n v="2.0005090000000001"/>
    <d v="2025-11-08T14:17:09"/>
    <d v="2025-11-10T14:17:32"/>
    <n v="2.0002659999999999"/>
    <m/>
    <m/>
    <m/>
    <m/>
    <m/>
    <n v="127.40641326388868"/>
    <x v="0"/>
    <x v="6"/>
    <x v="0"/>
    <n v="195"/>
    <n v="132"/>
    <n v="0.67692307692307696"/>
    <n v="0.67692307692307696"/>
    <n v="1"/>
  </r>
  <r>
    <n v="1234442814"/>
    <s v="51.342.711/0001-85"/>
    <s v="Daniele Brito de Melo"/>
    <x v="0"/>
    <s v="Pipebot"/>
    <x v="339"/>
    <m/>
    <m/>
    <m/>
    <m/>
    <m/>
    <m/>
    <m/>
    <m/>
    <m/>
    <m/>
    <m/>
    <m/>
    <m/>
    <m/>
    <m/>
    <m/>
    <m/>
    <m/>
    <m/>
    <m/>
    <m/>
    <m/>
    <n v="136.204244074077"/>
    <x v="0"/>
    <x v="6"/>
    <x v="0"/>
    <n v="195"/>
    <n v="132"/>
    <n v="0.67692307692307696"/>
    <n v="0.67692307692307696"/>
    <n v="1"/>
  </r>
  <r>
    <n v="1282564305"/>
    <s v="44.067.629/0001-24"/>
    <s v="Daniele Guedes Pereira Novaes "/>
    <x v="0"/>
    <s v="Pipebot"/>
    <x v="340"/>
    <m/>
    <m/>
    <d v="2026-01-29T22:07:10"/>
    <d v="2026-01-30T22:07:18"/>
    <n v="1.0000929999999999"/>
    <m/>
    <m/>
    <m/>
    <m/>
    <m/>
    <m/>
    <d v="2026-01-30T22:07:18"/>
    <d v="2026-02-01T22:08:00"/>
    <n v="2.000486"/>
    <d v="2026-02-01T22:08:00"/>
    <d v="2026-02-02T20:44:00"/>
    <n v="0.94165500000000002"/>
    <m/>
    <m/>
    <m/>
    <m/>
    <m/>
    <n v="42.078873576392652"/>
    <x v="2"/>
    <x v="3"/>
    <x v="1"/>
    <n v="223"/>
    <n v="147"/>
    <n v="0.65919282511210764"/>
    <n v="0.65919282511210764"/>
    <n v="1"/>
  </r>
  <r>
    <n v="1278360223"/>
    <s v="44.067.629/0001-24"/>
    <s v="Daniele Guedes Pereira Novaes "/>
    <x v="0"/>
    <s v="Pipebot"/>
    <x v="341"/>
    <m/>
    <m/>
    <m/>
    <m/>
    <m/>
    <m/>
    <m/>
    <m/>
    <m/>
    <m/>
    <m/>
    <m/>
    <m/>
    <m/>
    <m/>
    <m/>
    <m/>
    <m/>
    <m/>
    <m/>
    <m/>
    <m/>
    <n v="50.204801400461292"/>
    <x v="2"/>
    <x v="3"/>
    <x v="1"/>
    <n v="223"/>
    <n v="147"/>
    <n v="0.65919282511210764"/>
    <n v="0.65919282511210764"/>
    <n v="1"/>
  </r>
  <r>
    <n v="1223942114"/>
    <s v="60.221.404/0001-37"/>
    <s v="Daniele Regina Lopes Gracioli"/>
    <x v="0"/>
    <s v="Pipebot"/>
    <x v="342"/>
    <m/>
    <m/>
    <m/>
    <m/>
    <m/>
    <m/>
    <m/>
    <m/>
    <m/>
    <m/>
    <m/>
    <m/>
    <m/>
    <m/>
    <m/>
    <m/>
    <m/>
    <m/>
    <m/>
    <m/>
    <m/>
    <m/>
    <n v="150.14810625000246"/>
    <x v="0"/>
    <x v="4"/>
    <x v="0"/>
    <n v="197"/>
    <n v="149"/>
    <n v="0.75634517766497467"/>
    <n v="0.75634517766497467"/>
    <n v="1"/>
  </r>
  <r>
    <n v="1270228365"/>
    <s v="40.013.242/0001-34"/>
    <s v="D’Annes guterres lopes"/>
    <x v="5"/>
    <s v="Pipebot"/>
    <x v="343"/>
    <m/>
    <m/>
    <d v="2026-01-01T20:16:40"/>
    <d v="2026-02-19T12:35:13"/>
    <n v="1.964734"/>
    <d v="2026-01-06T20:17:56"/>
    <d v="2026-02-18T13:26:17"/>
    <n v="42.714120000000001"/>
    <m/>
    <m/>
    <m/>
    <d v="2026-01-02T20:16:57"/>
    <d v="2026-02-20T12:58:56"/>
    <n v="3.016505"/>
    <d v="2026-01-04T20:17:00"/>
    <d v="2026-01-06T20:17:56"/>
    <n v="8.3498149999999995"/>
    <m/>
    <m/>
    <m/>
    <m/>
    <m/>
    <n v="70.155530949072272"/>
    <x v="0"/>
    <x v="7"/>
    <x v="0"/>
    <n v="207"/>
    <n v="140"/>
    <n v="0.67632850241545894"/>
    <n v="0.67632850241545894"/>
    <n v="1"/>
  </r>
  <r>
    <n v="1174283448"/>
    <s v="57.057.616/0001-16"/>
    <s v="Danielle de Mello Ribeiro da Silva"/>
    <x v="0"/>
    <s v="Pipebot"/>
    <x v="344"/>
    <m/>
    <m/>
    <d v="2025-07-24T20:26:39"/>
    <d v="2025-07-25T20:27:06"/>
    <n v="1.000313"/>
    <d v="2025-07-28T19:48:26"/>
    <d v="2025-07-30T20:38:11"/>
    <n v="7.8359999999999992E-3"/>
    <d v="2025-07-28T19:59:41"/>
    <d v="2025-07-30T20:38:08"/>
    <n v="2.0267010000000001"/>
    <d v="2025-07-25T20:27:06"/>
    <d v="2025-07-27T20:28:04"/>
    <n v="2.0006599999999999"/>
    <d v="2025-07-27T20:28:04"/>
    <d v="2025-07-28T19:48:26"/>
    <n v="0.97247700000000004"/>
    <m/>
    <m/>
    <m/>
    <m/>
    <m/>
    <n v="231.14830258102302"/>
    <x v="0"/>
    <x v="5"/>
    <x v="0"/>
    <n v="177"/>
    <n v="130"/>
    <n v="0.7344632768361582"/>
    <n v="0.7344632768361582"/>
    <n v="1"/>
  </r>
  <r>
    <n v="1212040814"/>
    <s v="57.057.616/0001-16"/>
    <s v="Danielle de Mello Ribeiro da Silva"/>
    <x v="0"/>
    <s v="Pipebot"/>
    <x v="345"/>
    <m/>
    <m/>
    <d v="2025-09-24T20:25:51"/>
    <d v="2025-09-25T20:26:28"/>
    <n v="1.0004280000000001"/>
    <d v="2025-09-29T20:27:25"/>
    <d v="2025-10-06T20:33:39"/>
    <n v="7.0043170000000003"/>
    <m/>
    <m/>
    <m/>
    <d v="2025-09-25T20:26:28"/>
    <d v="2025-09-27T20:26:49"/>
    <n v="2.0002430000000002"/>
    <d v="2025-09-27T20:26:49"/>
    <d v="2025-09-29T20:27:25"/>
    <n v="2.0004050000000002"/>
    <m/>
    <m/>
    <m/>
    <m/>
    <m/>
    <n v="169.14900942129316"/>
    <x v="0"/>
    <x v="4"/>
    <x v="0"/>
    <n v="197"/>
    <n v="149"/>
    <n v="0.75634517766497467"/>
    <n v="0.75634517766497467"/>
    <n v="1"/>
  </r>
  <r>
    <n v="1263586650"/>
    <s v="57.057.616/0001-16"/>
    <s v="Danielle de Mello Ribeiro da Silva"/>
    <x v="0"/>
    <s v="Pipebot"/>
    <x v="346"/>
    <m/>
    <m/>
    <d v="2025-12-17T22:08:36"/>
    <d v="2025-12-18T22:09:35"/>
    <n v="1.0006710000000001"/>
    <m/>
    <m/>
    <m/>
    <m/>
    <m/>
    <m/>
    <d v="2025-12-18T22:09:35"/>
    <d v="2025-12-20T11:37:43"/>
    <n v="1.5611919999999999"/>
    <m/>
    <m/>
    <m/>
    <m/>
    <m/>
    <m/>
    <m/>
    <m/>
    <n v="85.077966921300685"/>
    <x v="0"/>
    <x v="7"/>
    <x v="0"/>
    <n v="207"/>
    <n v="140"/>
    <n v="0.67632850241545894"/>
    <n v="0.67632850241545894"/>
    <n v="1"/>
  </r>
  <r>
    <n v="1300570856"/>
    <s v="50.513.212/0001-40"/>
    <s v="Danilo Bacelar"/>
    <x v="7"/>
    <s v="Pipebot"/>
    <x v="347"/>
    <m/>
    <m/>
    <m/>
    <m/>
    <m/>
    <m/>
    <m/>
    <m/>
    <m/>
    <m/>
    <m/>
    <m/>
    <m/>
    <m/>
    <m/>
    <m/>
    <m/>
    <m/>
    <m/>
    <m/>
    <m/>
    <m/>
    <n v="6.0790060532526695"/>
    <x v="4"/>
    <x v="1"/>
    <x v="1"/>
    <n v="189"/>
    <n v="33"/>
    <n v="0.17460317460317459"/>
    <n v="0.17460317460317459"/>
    <n v="1"/>
  </r>
  <r>
    <n v="1208626457"/>
    <s v="50.513.212/0001-40"/>
    <s v="Danilo Bacelar"/>
    <x v="0"/>
    <s v="Pipebot"/>
    <x v="348"/>
    <m/>
    <m/>
    <m/>
    <m/>
    <m/>
    <m/>
    <m/>
    <m/>
    <m/>
    <m/>
    <m/>
    <m/>
    <m/>
    <m/>
    <m/>
    <m/>
    <m/>
    <m/>
    <m/>
    <m/>
    <m/>
    <m/>
    <n v="174.9818142129734"/>
    <x v="0"/>
    <x v="4"/>
    <x v="0"/>
    <n v="197"/>
    <n v="149"/>
    <n v="0.75634517766497467"/>
    <n v="0.75634517766497467"/>
    <n v="1"/>
  </r>
  <r>
    <n v="1251348939"/>
    <s v="50.513.212/0001-40"/>
    <s v="Danilo Bacelar"/>
    <x v="0"/>
    <s v="Pipebot"/>
    <x v="349"/>
    <m/>
    <m/>
    <d v="2025-11-20T22:05:26"/>
    <d v="2025-11-21T22:05:51"/>
    <n v="1.000289"/>
    <d v="2025-11-25T22:06:41"/>
    <d v="2025-12-10T17:29:14"/>
    <n v="14.807314999999999"/>
    <m/>
    <m/>
    <m/>
    <d v="2025-11-21T22:05:51"/>
    <d v="2025-11-23T22:06:14"/>
    <n v="2.0002659999999999"/>
    <d v="2025-11-23T22:06:14"/>
    <d v="2025-11-25T22:06:41"/>
    <n v="2.0003009999999999"/>
    <m/>
    <m/>
    <m/>
    <m/>
    <m/>
    <n v="112.08033241897647"/>
    <x v="0"/>
    <x v="0"/>
    <x v="0"/>
    <n v="131"/>
    <n v="87"/>
    <n v="0.66412213740458015"/>
    <n v="0.66412213740458015"/>
    <n v="1"/>
  </r>
  <r>
    <n v="1285962331"/>
    <s v="50.513.212/0001-40"/>
    <s v="Danilo Bacelar"/>
    <x v="0"/>
    <s v="Pipebot"/>
    <x v="350"/>
    <m/>
    <m/>
    <d v="2026-02-05T19:05:14"/>
    <d v="2026-02-06T18:45:39"/>
    <n v="0.98638899999999996"/>
    <m/>
    <m/>
    <m/>
    <m/>
    <m/>
    <m/>
    <m/>
    <m/>
    <m/>
    <m/>
    <m/>
    <m/>
    <m/>
    <m/>
    <m/>
    <m/>
    <m/>
    <n v="35.205215532412694"/>
    <x v="2"/>
    <x v="3"/>
    <x v="1"/>
    <n v="223"/>
    <n v="147"/>
    <n v="0.65919282511210764"/>
    <n v="0.65919282511210764"/>
    <n v="1"/>
  </r>
  <r>
    <n v="1230590951"/>
    <s v="61.191.179/0001-04"/>
    <s v="Danilo Correa"/>
    <x v="0"/>
    <s v="Pipebot"/>
    <x v="351"/>
    <m/>
    <m/>
    <m/>
    <m/>
    <m/>
    <m/>
    <m/>
    <m/>
    <m/>
    <m/>
    <m/>
    <m/>
    <m/>
    <m/>
    <m/>
    <m/>
    <m/>
    <m/>
    <m/>
    <m/>
    <m/>
    <m/>
    <n v="141.14921790509834"/>
    <x v="0"/>
    <x v="6"/>
    <x v="0"/>
    <n v="195"/>
    <n v="132"/>
    <n v="0.67692307692307696"/>
    <n v="0.67692307692307696"/>
    <n v="1"/>
  </r>
  <r>
    <n v="1189596272"/>
    <s v="51.714.180/0001-04"/>
    <s v="Danilo Gazotto"/>
    <x v="5"/>
    <s v="Pipebot"/>
    <x v="352"/>
    <m/>
    <m/>
    <d v="2025-08-20T15:26:15"/>
    <d v="2026-02-12T12:26:01"/>
    <n v="1.6448959999999999"/>
    <d v="2025-08-25T15:27:57"/>
    <d v="2026-02-11T20:57:56"/>
    <n v="170.22914399999999"/>
    <m/>
    <m/>
    <m/>
    <d v="2025-08-21T15:26:50"/>
    <d v="2026-02-13T15:59:44"/>
    <n v="3.1490860000000001"/>
    <d v="2025-08-23T15:27:49"/>
    <d v="2025-08-25T15:27:57"/>
    <n v="15.223715"/>
    <m/>
    <m/>
    <m/>
    <m/>
    <m/>
    <n v="204.35734938656969"/>
    <x v="0"/>
    <x v="2"/>
    <x v="0"/>
    <n v="146"/>
    <n v="112"/>
    <n v="0.76712328767123283"/>
    <n v="0.76712328767123283"/>
    <n v="1"/>
  </r>
  <r>
    <n v="1184722252"/>
    <s v="51.714.180/0001-04"/>
    <s v="Danilo gazotto"/>
    <x v="8"/>
    <s v="Pipebot"/>
    <x v="353"/>
    <m/>
    <m/>
    <d v="2025-08-11T20:28:39"/>
    <d v="2025-08-12T20:29:01"/>
    <n v="1.000243"/>
    <d v="2025-08-16T20:30:05"/>
    <d v="2025-10-29T19:39:10"/>
    <n v="73.96463"/>
    <m/>
    <m/>
    <m/>
    <d v="2025-08-12T20:29:01"/>
    <d v="2025-08-14T20:29:56"/>
    <n v="2.0006249999999999"/>
    <d v="2025-08-14T20:29:56"/>
    <d v="2025-08-16T20:30:05"/>
    <n v="2.0001039999999999"/>
    <m/>
    <m/>
    <m/>
    <m/>
    <m/>
    <n v="213.14750575231301"/>
    <x v="0"/>
    <x v="5"/>
    <x v="0"/>
    <n v="177"/>
    <n v="130"/>
    <n v="0.7344632768361582"/>
    <n v="0.7344632768361582"/>
    <n v="1"/>
  </r>
  <r>
    <n v="1280348491"/>
    <s v="38.066.704/0001-30"/>
    <s v="Danilo Horta da Silva"/>
    <x v="0"/>
    <s v="Pipebot"/>
    <x v="354"/>
    <m/>
    <m/>
    <m/>
    <m/>
    <m/>
    <m/>
    <m/>
    <m/>
    <m/>
    <m/>
    <m/>
    <m/>
    <m/>
    <m/>
    <m/>
    <m/>
    <m/>
    <m/>
    <m/>
    <m/>
    <m/>
    <m/>
    <n v="45.433339699076896"/>
    <x v="2"/>
    <x v="3"/>
    <x v="1"/>
    <n v="223"/>
    <n v="147"/>
    <n v="0.65919282511210764"/>
    <n v="0.65919282511210764"/>
    <n v="1"/>
  </r>
  <r>
    <n v="1204001428"/>
    <s v="57.252.986/0001-04"/>
    <s v="DANILO MARTINS PEREIRA"/>
    <x v="0"/>
    <s v="Pipebot"/>
    <x v="355"/>
    <m/>
    <m/>
    <d v="2025-09-11T20:27:00"/>
    <d v="2025-09-12T20:27:14"/>
    <n v="1.0001500000000001"/>
    <d v="2025-09-16T20:28:48"/>
    <d v="2025-09-19T14:57:28"/>
    <n v="2.7699069999999999"/>
    <m/>
    <m/>
    <m/>
    <d v="2025-09-12T20:27:14"/>
    <d v="2025-09-14T20:27:52"/>
    <n v="2.0004279999999999"/>
    <d v="2025-09-14T20:27:52"/>
    <d v="2025-09-16T20:28:48"/>
    <n v="2.000648"/>
    <m/>
    <m/>
    <m/>
    <m/>
    <m/>
    <n v="182.1485867939773"/>
    <x v="0"/>
    <x v="2"/>
    <x v="0"/>
    <n v="146"/>
    <n v="112"/>
    <n v="0.76712328767123283"/>
    <n v="0.76712328767123283"/>
    <n v="1"/>
  </r>
  <r>
    <n v="1214799721"/>
    <s v="43.170.183/0001-04"/>
    <s v="Danilo P Bueno "/>
    <x v="5"/>
    <s v="Pipebot"/>
    <x v="356"/>
    <m/>
    <m/>
    <d v="2025-09-29T20:27:26"/>
    <d v="2026-02-13T16:00:38"/>
    <n v="2.147986"/>
    <d v="2025-10-04T20:29:29"/>
    <d v="2026-02-12T12:28:00"/>
    <n v="130.66424799999999"/>
    <m/>
    <m/>
    <m/>
    <d v="2025-09-30T20:27:55"/>
    <d v="2026-02-16T12:49:01"/>
    <n v="4.8674879999999998"/>
    <d v="2025-10-02T20:28:43"/>
    <d v="2025-10-04T20:29:29"/>
    <n v="12.356597000000001"/>
    <m/>
    <m/>
    <m/>
    <m/>
    <m/>
    <n v="164.14784530093311"/>
    <x v="0"/>
    <x v="4"/>
    <x v="0"/>
    <n v="197"/>
    <n v="149"/>
    <n v="0.75634517766497467"/>
    <n v="0.75634517766497467"/>
    <n v="1"/>
  </r>
  <r>
    <n v="1296529178"/>
    <s v="50.210.030/0001-09"/>
    <s v="DANILO RIBEIRO ESTEVAM "/>
    <x v="0"/>
    <s v="Pipebot"/>
    <x v="357"/>
    <m/>
    <m/>
    <m/>
    <m/>
    <m/>
    <m/>
    <m/>
    <m/>
    <m/>
    <m/>
    <m/>
    <m/>
    <m/>
    <m/>
    <m/>
    <m/>
    <m/>
    <m/>
    <m/>
    <m/>
    <m/>
    <m/>
    <n v="15.202963900461327"/>
    <x v="1"/>
    <x v="1"/>
    <x v="1"/>
    <n v="189"/>
    <n v="33"/>
    <n v="0.17460317460317459"/>
    <n v="0.17460317460317459"/>
    <n v="1"/>
  </r>
  <r>
    <n v="1264759109"/>
    <s v="57.057.616/0001-16"/>
    <s v="Danielle de Mello Ribeiro da Silva - 2 máquinas, teste sns com ; migracao p nossa conta @juliobueno"/>
    <x v="0"/>
    <s v="Pipebot"/>
    <x v="358"/>
    <m/>
    <m/>
    <d v="2025-12-19T19:11:41"/>
    <d v="2025-12-20T11:54:11"/>
    <n v="0.69616900000000004"/>
    <m/>
    <m/>
    <m/>
    <m/>
    <m/>
    <m/>
    <m/>
    <m/>
    <m/>
    <m/>
    <m/>
    <m/>
    <m/>
    <m/>
    <m/>
    <m/>
    <m/>
    <n v="83.200432569443365"/>
    <x v="0"/>
    <x v="7"/>
    <x v="0"/>
    <n v="207"/>
    <n v="140"/>
    <n v="0.67632850241545894"/>
    <n v="0.67632850241545894"/>
    <n v="1"/>
  </r>
  <r>
    <n v="1224691695"/>
    <s v="57.713.128/0001-10"/>
    <s v="Deape Soluções Empresariais Ltda - 1 maq"/>
    <x v="0"/>
    <s v="Pipebot"/>
    <x v="359"/>
    <m/>
    <m/>
    <d v="2025-10-14T20:26:19"/>
    <d v="2025-10-15T20:27:29"/>
    <n v="1.00081"/>
    <d v="2025-10-19T20:28:35"/>
    <d v="2025-10-20T20:33:49"/>
    <n v="1.0036229999999999"/>
    <m/>
    <m/>
    <m/>
    <d v="2025-10-15T20:27:29"/>
    <d v="2025-10-17T20:28:12"/>
    <n v="2.000486"/>
    <d v="2025-10-17T20:28:12"/>
    <d v="2025-10-19T20:28:35"/>
    <n v="2.0002659999999999"/>
    <m/>
    <m/>
    <m/>
    <m/>
    <m/>
    <n v="149.14916321758938"/>
    <x v="0"/>
    <x v="4"/>
    <x v="0"/>
    <n v="197"/>
    <n v="149"/>
    <n v="0.75634517766497467"/>
    <n v="0.75634517766497467"/>
    <n v="1"/>
  </r>
  <r>
    <n v="1255066789"/>
    <s v="48.290.360/0001-00"/>
    <s v="Débora Regina Silva de Souza"/>
    <x v="0"/>
    <s v="Pipebot"/>
    <x v="360"/>
    <m/>
    <m/>
    <d v="2025-11-28T19:08:15"/>
    <d v="2025-11-29T19:09:10"/>
    <n v="1.0006250000000001"/>
    <d v="2025-12-03T19:09:56"/>
    <d v="2025-12-10T18:11:47"/>
    <n v="6.959606"/>
    <m/>
    <m/>
    <m/>
    <d v="2025-11-29T19:09:10"/>
    <d v="2025-12-01T19:09:31"/>
    <n v="2.0002430000000002"/>
    <d v="2025-12-01T19:09:31"/>
    <d v="2025-12-03T19:09:56"/>
    <n v="2.000289"/>
    <m/>
    <m/>
    <m/>
    <m/>
    <m/>
    <n v="104.20415679398138"/>
    <x v="0"/>
    <x v="0"/>
    <x v="0"/>
    <n v="131"/>
    <n v="87"/>
    <n v="0.66412213740458015"/>
    <n v="0.66412213740458015"/>
    <n v="1"/>
  </r>
  <r>
    <n v="1255808092"/>
    <s v="48.290.360/0001-00"/>
    <s v="Débora Regina Silva de Souza "/>
    <x v="0"/>
    <s v="Pipebot"/>
    <x v="361"/>
    <m/>
    <m/>
    <m/>
    <m/>
    <m/>
    <m/>
    <m/>
    <m/>
    <m/>
    <m/>
    <m/>
    <m/>
    <m/>
    <m/>
    <m/>
    <m/>
    <m/>
    <m/>
    <m/>
    <m/>
    <m/>
    <m/>
    <n v="101.25170784722286"/>
    <x v="0"/>
    <x v="0"/>
    <x v="0"/>
    <n v="131"/>
    <n v="87"/>
    <n v="0.66412213740458015"/>
    <n v="0.66412213740458015"/>
    <n v="1"/>
  </r>
  <r>
    <n v="1285964511"/>
    <s v="50.438.537/0001-06"/>
    <s v="DÉCIO DOS SANTOS VICENTE"/>
    <x v="0"/>
    <s v="Pipebot"/>
    <x v="362"/>
    <m/>
    <m/>
    <d v="2026-02-05T19:07:15"/>
    <d v="2026-02-06T19:07:27"/>
    <n v="1.000127"/>
    <d v="2026-02-10T13:05:44"/>
    <d v="2026-02-16T11:45:26"/>
    <n v="5.9442250000000003"/>
    <d v="2026-02-16T11:45:26"/>
    <d v="2026-02-16T11:45:39"/>
    <n v="1.4999999999999999E-4"/>
    <d v="2026-02-06T19:07:27"/>
    <d v="2026-02-08T19:08:04"/>
    <n v="2.0004170000000001"/>
    <d v="2026-02-08T19:08:04"/>
    <d v="2026-02-10T13:05:44"/>
    <n v="1.74838"/>
    <m/>
    <m/>
    <m/>
    <m/>
    <m/>
    <n v="35.203809583326802"/>
    <x v="2"/>
    <x v="3"/>
    <x v="1"/>
    <n v="223"/>
    <n v="147"/>
    <n v="0.65919282511210764"/>
    <n v="0.65919282511210764"/>
    <n v="1"/>
  </r>
  <r>
    <n v="1296922782"/>
    <s v="50.438.537/0001-06"/>
    <s v="DÉCIO DOS SANTOS VICENTE"/>
    <x v="0"/>
    <s v="Pipebot"/>
    <x v="363"/>
    <m/>
    <m/>
    <m/>
    <m/>
    <m/>
    <m/>
    <m/>
    <m/>
    <m/>
    <m/>
    <m/>
    <m/>
    <m/>
    <m/>
    <m/>
    <m/>
    <m/>
    <m/>
    <m/>
    <m/>
    <m/>
    <m/>
    <n v="14.309027627306932"/>
    <x v="1"/>
    <x v="1"/>
    <x v="1"/>
    <n v="189"/>
    <n v="33"/>
    <n v="0.17460317460317459"/>
    <n v="0.17460317460317459"/>
    <n v="1"/>
  </r>
  <r>
    <n v="1278359793"/>
    <s v="50.438.537/0001-06"/>
    <s v="DÉCIO DOS SANTOS VICENTE "/>
    <x v="0"/>
    <s v="Pipebot"/>
    <x v="364"/>
    <m/>
    <m/>
    <d v="2026-01-21T19:05:03"/>
    <d v="2026-01-22T19:05:53"/>
    <n v="1.0005790000000001"/>
    <d v="2026-01-26T19:07:27"/>
    <d v="2026-02-16T11:43:55"/>
    <n v="20.691979"/>
    <d v="2026-02-16T11:43:55"/>
    <d v="2026-02-16T11:44:07"/>
    <n v="1.27E-4"/>
    <d v="2026-01-22T19:05:53"/>
    <d v="2026-01-24T19:06:50"/>
    <n v="2.0006599999999999"/>
    <d v="2026-01-24T19:06:50"/>
    <d v="2026-01-26T19:07:27"/>
    <n v="2.0004279999999999"/>
    <m/>
    <m/>
    <m/>
    <m/>
    <m/>
    <n v="50.205241180563462"/>
    <x v="2"/>
    <x v="3"/>
    <x v="1"/>
    <n v="223"/>
    <n v="147"/>
    <n v="0.65919282511210764"/>
    <n v="0.65919282511210764"/>
    <n v="1"/>
  </r>
  <r>
    <n v="1303931858"/>
    <s v="48.711.965/0001-19"/>
    <s v="Delazeri e furlin comercio de alimentos ltda"/>
    <x v="7"/>
    <s v="Pipebot"/>
    <x v="365"/>
    <m/>
    <m/>
    <m/>
    <m/>
    <m/>
    <m/>
    <m/>
    <m/>
    <m/>
    <m/>
    <m/>
    <m/>
    <m/>
    <m/>
    <m/>
    <m/>
    <m/>
    <m/>
    <m/>
    <m/>
    <m/>
    <m/>
    <n v="1.3674062962963944"/>
    <x v="4"/>
    <x v="1"/>
    <x v="1"/>
    <n v="189"/>
    <n v="33"/>
    <n v="0.17460317460317459"/>
    <n v="0.17460317460317459"/>
    <n v="1"/>
  </r>
  <r>
    <n v="1255843101"/>
    <s v="48.225.992/0001-81"/>
    <s v="Delmaci Alves Martins Silva "/>
    <x v="5"/>
    <s v="Pipebot"/>
    <x v="366"/>
    <m/>
    <m/>
    <d v="2026-02-13T16:03:58"/>
    <d v="2026-02-14T16:04:28"/>
    <n v="1.0003359999999999"/>
    <d v="2025-11-17T18:44:22"/>
    <d v="2026-02-13T16:03:58"/>
    <n v="87.888610999999997"/>
    <m/>
    <m/>
    <m/>
    <d v="2026-02-14T16:04:28"/>
    <d v="2026-02-16T12:50:23"/>
    <n v="1.8652200000000001"/>
    <d v="2026-02-16T12:50:23"/>
    <m/>
    <n v="10.355104000000001"/>
    <m/>
    <m/>
    <m/>
    <m/>
    <m/>
    <n v="101.22238347221719"/>
    <x v="0"/>
    <x v="0"/>
    <x v="0"/>
    <n v="131"/>
    <n v="87"/>
    <n v="0.66412213740458015"/>
    <n v="0.66412213740458015"/>
    <n v="1"/>
  </r>
  <r>
    <n v="1303455049"/>
    <s v="18.858.527/0001-17"/>
    <s v="DENIS RODRIGO SILVA"/>
    <x v="7"/>
    <s v="Pipebot"/>
    <x v="367"/>
    <m/>
    <m/>
    <m/>
    <m/>
    <m/>
    <m/>
    <m/>
    <m/>
    <m/>
    <m/>
    <m/>
    <m/>
    <m/>
    <m/>
    <m/>
    <m/>
    <m/>
    <m/>
    <m/>
    <m/>
    <m/>
    <m/>
    <n v="2.0795613078735187"/>
    <x v="4"/>
    <x v="1"/>
    <x v="1"/>
    <n v="189"/>
    <n v="33"/>
    <n v="0.17460317460317459"/>
    <n v="0.17460317460317459"/>
    <n v="1"/>
  </r>
  <r>
    <n v="1289299612"/>
    <s v="57.222.988/0001-50"/>
    <s v="Denise Cirolini"/>
    <x v="0"/>
    <s v="Pipebot"/>
    <x v="368"/>
    <m/>
    <m/>
    <m/>
    <m/>
    <m/>
    <m/>
    <m/>
    <m/>
    <m/>
    <m/>
    <m/>
    <m/>
    <m/>
    <m/>
    <m/>
    <m/>
    <m/>
    <m/>
    <m/>
    <m/>
    <m/>
    <m/>
    <n v="29.454581365753256"/>
    <x v="5"/>
    <x v="3"/>
    <x v="1"/>
    <n v="223"/>
    <n v="147"/>
    <n v="0.65919282511210764"/>
    <n v="0.65919282511210764"/>
    <n v="1"/>
  </r>
  <r>
    <n v="1236636221"/>
    <s v="53.273.883/0001-70"/>
    <s v="Denize Cristaldo Dias"/>
    <x v="0"/>
    <s v="Pipebot"/>
    <x v="369"/>
    <m/>
    <m/>
    <d v="2025-10-29T19:02:57"/>
    <d v="2025-10-30T19:03:37"/>
    <n v="1.0004630000000001"/>
    <d v="2025-11-03T19:04:13"/>
    <d v="2025-11-17T17:26:39"/>
    <n v="13.932245"/>
    <m/>
    <m/>
    <m/>
    <d v="2025-10-30T19:03:37"/>
    <d v="2025-11-01T19:03:58"/>
    <n v="2.0002309999999999"/>
    <d v="2025-11-01T19:03:58"/>
    <d v="2025-11-03T19:04:13"/>
    <n v="2.0001739999999999"/>
    <m/>
    <m/>
    <m/>
    <m/>
    <m/>
    <n v="134.2065049768571"/>
    <x v="0"/>
    <x v="6"/>
    <x v="0"/>
    <n v="195"/>
    <n v="132"/>
    <n v="0.67692307692307696"/>
    <n v="0.67692307692307696"/>
    <n v="1"/>
  </r>
  <r>
    <n v="1252741171"/>
    <s v="53.273.883/0001-70"/>
    <s v="Denize Cristaldo Dias"/>
    <x v="0"/>
    <s v="Pipebot"/>
    <x v="370"/>
    <m/>
    <m/>
    <m/>
    <m/>
    <m/>
    <m/>
    <m/>
    <m/>
    <m/>
    <m/>
    <m/>
    <m/>
    <m/>
    <m/>
    <m/>
    <m/>
    <m/>
    <m/>
    <m/>
    <m/>
    <m/>
    <m/>
    <n v="108.37332253471686"/>
    <x v="0"/>
    <x v="0"/>
    <x v="0"/>
    <n v="131"/>
    <n v="87"/>
    <n v="0.66412213740458015"/>
    <n v="0.66412213740458015"/>
    <n v="1"/>
  </r>
  <r>
    <n v="1193297462"/>
    <s v="51.794.578/0001-06"/>
    <s v="DEPAULA "/>
    <x v="0"/>
    <s v="Pipebot"/>
    <x v="371"/>
    <m/>
    <m/>
    <m/>
    <m/>
    <m/>
    <m/>
    <m/>
    <m/>
    <m/>
    <m/>
    <m/>
    <m/>
    <m/>
    <m/>
    <m/>
    <m/>
    <m/>
    <m/>
    <m/>
    <m/>
    <m/>
    <m/>
    <n v="199.14962697916781"/>
    <x v="0"/>
    <x v="2"/>
    <x v="0"/>
    <n v="146"/>
    <n v="112"/>
    <n v="0.76712328767123283"/>
    <n v="0.76712328767123283"/>
    <n v="1"/>
  </r>
  <r>
    <n v="1239659179"/>
    <s v="57.631.002/0001-04"/>
    <s v="Dercio Chaves Dantas"/>
    <x v="0"/>
    <s v="Pipebot"/>
    <x v="372"/>
    <m/>
    <m/>
    <d v="2025-11-03T13:05:19"/>
    <d v="2025-11-03T20:13:12"/>
    <n v="0.29713000000000001"/>
    <m/>
    <m/>
    <m/>
    <m/>
    <m/>
    <m/>
    <m/>
    <m/>
    <m/>
    <m/>
    <m/>
    <m/>
    <m/>
    <m/>
    <m/>
    <m/>
    <m/>
    <n v="129.45491236110684"/>
    <x v="0"/>
    <x v="6"/>
    <x v="0"/>
    <n v="195"/>
    <n v="132"/>
    <n v="0.67692307692307696"/>
    <n v="0.67692307692307696"/>
    <n v="1"/>
  </r>
  <r>
    <n v="1269691895"/>
    <s v="61.780.234/0001-93"/>
    <s v="Darleide Sophia Dutra dos Santos"/>
    <x v="0"/>
    <s v="Pipebot"/>
    <x v="373"/>
    <m/>
    <m/>
    <d v="2025-12-31T19:42:17"/>
    <d v="2026-01-01T19:42:38"/>
    <n v="1.000243"/>
    <d v="2026-01-05T19:43:39"/>
    <d v="2026-01-21T13:44:23"/>
    <n v="15.750508999999999"/>
    <m/>
    <m/>
    <m/>
    <d v="2026-01-01T19:42:38"/>
    <d v="2026-01-03T19:43:12"/>
    <n v="2.0003820000000001"/>
    <d v="2026-01-03T19:43:12"/>
    <d v="2026-01-05T19:43:39"/>
    <n v="2.0003009999999999"/>
    <m/>
    <m/>
    <m/>
    <m/>
    <m/>
    <n v="71.179402997688157"/>
    <x v="0"/>
    <x v="7"/>
    <x v="0"/>
    <n v="207"/>
    <n v="140"/>
    <n v="0.67632850241545894"/>
    <n v="0.67632850241545894"/>
    <n v="1"/>
  </r>
  <r>
    <n v="1270229847"/>
    <s v="44.042.350/0001-96"/>
    <s v="Diana Aparecida Duarte "/>
    <x v="5"/>
    <s v="Pipebot"/>
    <x v="374"/>
    <m/>
    <m/>
    <d v="2026-01-01T20:19:37"/>
    <d v="2026-02-19T12:35:16"/>
    <n v="1.964861"/>
    <d v="2026-01-06T20:21:55"/>
    <d v="2026-02-18T13:26:19"/>
    <n v="42.711388999999997"/>
    <m/>
    <m/>
    <m/>
    <d v="2026-01-02T20:20:04"/>
    <d v="2026-02-20T13:02:50"/>
    <n v="3.0197569999999998"/>
    <d v="2026-01-04T20:20:58"/>
    <d v="2026-01-06T20:21:55"/>
    <n v="8.347118"/>
    <m/>
    <m/>
    <m/>
    <m/>
    <m/>
    <n v="70.153595405092346"/>
    <x v="0"/>
    <x v="7"/>
    <x v="0"/>
    <n v="207"/>
    <n v="140"/>
    <n v="0.67632850241545894"/>
    <n v="0.67632850241545894"/>
    <n v="1"/>
  </r>
  <r>
    <n v="1221989656"/>
    <s v="40.253.103/0001-88"/>
    <s v="DHARMA MINIMERCADO E CONVENIÊNCIA "/>
    <x v="0"/>
    <s v="Pipebot"/>
    <x v="375"/>
    <m/>
    <m/>
    <m/>
    <m/>
    <m/>
    <m/>
    <m/>
    <m/>
    <m/>
    <m/>
    <m/>
    <m/>
    <m/>
    <m/>
    <m/>
    <m/>
    <m/>
    <m/>
    <m/>
    <m/>
    <m/>
    <m/>
    <n v="153.3555816782391"/>
    <x v="0"/>
    <x v="4"/>
    <x v="0"/>
    <n v="197"/>
    <n v="149"/>
    <n v="0.75634517766497467"/>
    <n v="0.75634517766497467"/>
    <n v="1"/>
  </r>
  <r>
    <n v="1226770996"/>
    <s v="40.253.103/0001-88"/>
    <s v="DHARMA MINIMERCADO E CONVENIÊNCIA - 4, 2 totens recebidos."/>
    <x v="8"/>
    <s v="Pipebot"/>
    <x v="376"/>
    <m/>
    <m/>
    <m/>
    <m/>
    <m/>
    <d v="2025-10-10T17:30:49"/>
    <d v="2025-10-29T19:35:46"/>
    <n v="19.085173999999999"/>
    <m/>
    <m/>
    <m/>
    <m/>
    <m/>
    <m/>
    <m/>
    <m/>
    <m/>
    <m/>
    <m/>
    <m/>
    <m/>
    <m/>
    <n v="146.35665163194062"/>
    <x v="0"/>
    <x v="6"/>
    <x v="0"/>
    <n v="195"/>
    <n v="132"/>
    <n v="0.67692307692307696"/>
    <n v="0.67692307692307696"/>
    <n v="1"/>
  </r>
  <r>
    <n v="1266705620"/>
    <s v="50.700.522/0001-74"/>
    <s v="Dienifer de Mattos"/>
    <x v="5"/>
    <s v="Pipebot"/>
    <x v="377"/>
    <m/>
    <m/>
    <d v="2025-12-24T19:08:56"/>
    <d v="2026-02-18T13:25:21"/>
    <n v="3.0224540000000002"/>
    <d v="2025-12-29T19:10:21"/>
    <d v="2026-02-16T12:53:29"/>
    <n v="48.738287"/>
    <m/>
    <m/>
    <m/>
    <d v="2025-12-25T19:09:25"/>
    <d v="2026-02-19T12:28:02"/>
    <n v="2.9604750000000002"/>
    <d v="2025-12-27T19:09:49"/>
    <d v="2025-12-29T19:10:21"/>
    <n v="9.3709950000000006"/>
    <m/>
    <m/>
    <m/>
    <m/>
    <m/>
    <n v="78.20234108796285"/>
    <x v="0"/>
    <x v="7"/>
    <x v="0"/>
    <n v="207"/>
    <n v="140"/>
    <n v="0.67632850241545894"/>
    <n v="0.67632850241545894"/>
    <n v="1"/>
  </r>
  <r>
    <n v="1300424873"/>
    <s v="44.042.350/0001-96"/>
    <s v="Diana Aparecida Duarte "/>
    <x v="7"/>
    <s v="Pipebot"/>
    <x v="378"/>
    <m/>
    <m/>
    <m/>
    <m/>
    <m/>
    <m/>
    <m/>
    <m/>
    <m/>
    <m/>
    <m/>
    <m/>
    <m/>
    <m/>
    <m/>
    <m/>
    <m/>
    <m/>
    <m/>
    <m/>
    <m/>
    <m/>
    <n v="6.205295624997234"/>
    <x v="4"/>
    <x v="1"/>
    <x v="1"/>
    <n v="189"/>
    <n v="33"/>
    <n v="0.17460317460317459"/>
    <n v="0.17460317460317459"/>
    <n v="1"/>
  </r>
  <r>
    <n v="1281735626"/>
    <s v="51.435.759/0001-38"/>
    <s v="Diana Sousa de matos"/>
    <x v="0"/>
    <s v="Pipebot"/>
    <x v="379"/>
    <m/>
    <m/>
    <m/>
    <m/>
    <m/>
    <m/>
    <m/>
    <m/>
    <m/>
    <m/>
    <m/>
    <m/>
    <m/>
    <m/>
    <m/>
    <m/>
    <m/>
    <m/>
    <m/>
    <m/>
    <m/>
    <m/>
    <n v="43.369237476850685"/>
    <x v="2"/>
    <x v="3"/>
    <x v="1"/>
    <n v="223"/>
    <n v="147"/>
    <n v="0.65919282511210764"/>
    <n v="0.65919282511210764"/>
    <n v="1"/>
  </r>
  <r>
    <n v="1187232079"/>
    <s v="43.283.939/0001-13"/>
    <s v="Diego"/>
    <x v="0"/>
    <s v="Pipebot"/>
    <x v="380"/>
    <m/>
    <m/>
    <m/>
    <m/>
    <m/>
    <m/>
    <m/>
    <m/>
    <m/>
    <m/>
    <m/>
    <m/>
    <m/>
    <m/>
    <m/>
    <m/>
    <m/>
    <m/>
    <m/>
    <m/>
    <m/>
    <m/>
    <n v="209.14886979165749"/>
    <x v="0"/>
    <x v="2"/>
    <x v="0"/>
    <n v="146"/>
    <n v="112"/>
    <n v="0.76712328767123283"/>
    <n v="0.76712328767123283"/>
    <n v="1"/>
  </r>
  <r>
    <n v="1230736698"/>
    <s v="61.452.953/0001-85"/>
    <s v="Diego Araujo Silva"/>
    <x v="0"/>
    <s v="Pipebot"/>
    <x v="381"/>
    <m/>
    <m/>
    <d v="2025-10-23T00:25:44"/>
    <d v="2025-10-24T00:26:35"/>
    <n v="1.0005790000000001"/>
    <d v="2025-10-28T00:26:58"/>
    <d v="2025-11-03T20:15:57"/>
    <n v="6.8256709999999998"/>
    <m/>
    <m/>
    <m/>
    <d v="2025-10-24T00:26:35"/>
    <d v="2025-10-26T00:26:49"/>
    <n v="2.000162"/>
    <d v="2025-10-26T00:26:49"/>
    <d v="2025-10-28T00:26:58"/>
    <n v="2.0001039999999999"/>
    <m/>
    <m/>
    <m/>
    <m/>
    <m/>
    <n v="140.98240384258679"/>
    <x v="0"/>
    <x v="6"/>
    <x v="0"/>
    <n v="195"/>
    <n v="132"/>
    <n v="0.67692307692307696"/>
    <n v="0.67692307692307696"/>
    <n v="1"/>
  </r>
  <r>
    <n v="1226266058"/>
    <s v="58.055.725/0001-67"/>
    <s v="Diego bianchi Ramos"/>
    <x v="0"/>
    <s v="Pipebot"/>
    <x v="382"/>
    <m/>
    <m/>
    <d v="2025-10-16T20:26:54"/>
    <d v="2025-10-17T20:27:13"/>
    <n v="1.000208"/>
    <d v="2025-10-21T20:28:25"/>
    <d v="2025-10-27T19:44:43"/>
    <n v="5.9696530000000001"/>
    <m/>
    <m/>
    <m/>
    <d v="2025-10-17T20:27:13"/>
    <d v="2025-10-19T20:27:35"/>
    <n v="2.0002430000000002"/>
    <d v="2025-10-19T20:27:35"/>
    <d v="2025-10-21T20:28:25"/>
    <n v="2.0005670000000002"/>
    <m/>
    <m/>
    <m/>
    <m/>
    <m/>
    <n v="147.14857643518189"/>
    <x v="0"/>
    <x v="6"/>
    <x v="0"/>
    <n v="195"/>
    <n v="132"/>
    <n v="0.67692307692307696"/>
    <n v="0.67692307692307696"/>
    <n v="1"/>
  </r>
  <r>
    <n v="1236637463"/>
    <s v="58.055.725/0001-67"/>
    <s v="Diego bianchi Ramos"/>
    <x v="0"/>
    <s v="Pipebot"/>
    <x v="383"/>
    <m/>
    <m/>
    <m/>
    <m/>
    <m/>
    <m/>
    <m/>
    <m/>
    <m/>
    <m/>
    <m/>
    <m/>
    <m/>
    <m/>
    <m/>
    <m/>
    <m/>
    <m/>
    <m/>
    <m/>
    <m/>
    <m/>
    <n v="134.20595475695154"/>
    <x v="0"/>
    <x v="6"/>
    <x v="0"/>
    <n v="195"/>
    <n v="132"/>
    <n v="0.67692307692307696"/>
    <n v="0.67692307692307696"/>
    <n v="1"/>
  </r>
  <r>
    <n v="1185035444"/>
    <m/>
    <s v="DIEGO RODRIGUES HONORIO - chegou ok!"/>
    <x v="0"/>
    <s v="Pipebot"/>
    <x v="384"/>
    <m/>
    <m/>
    <m/>
    <m/>
    <m/>
    <m/>
    <m/>
    <m/>
    <m/>
    <m/>
    <m/>
    <m/>
    <m/>
    <m/>
    <m/>
    <m/>
    <m/>
    <m/>
    <m/>
    <m/>
    <m/>
    <m/>
    <n v="212.46066387731116"/>
    <x v="0"/>
    <x v="5"/>
    <x v="0"/>
    <n v="177"/>
    <n v="130"/>
    <n v="0.7344632768361582"/>
    <n v="0.7344632768361582"/>
    <n v="1"/>
  </r>
  <r>
    <n v="1253464933"/>
    <s v="58.346.815/0001-07"/>
    <s v="Diego Santos Antunes Maciel"/>
    <x v="0"/>
    <s v="Pipebot"/>
    <x v="385"/>
    <m/>
    <m/>
    <d v="2025-11-25T19:06:07"/>
    <d v="2025-11-26T19:07:04"/>
    <n v="1.0006600000000001"/>
    <d v="2025-11-30T19:07:26"/>
    <d v="2026-01-14T17:36:52"/>
    <n v="44.937094999999999"/>
    <m/>
    <m/>
    <m/>
    <d v="2025-11-26T19:07:04"/>
    <d v="2025-11-28T19:07:12"/>
    <n v="2.0000930000000001"/>
    <d v="2025-11-28T19:07:12"/>
    <d v="2025-11-30T19:07:26"/>
    <n v="2.0001500000000001"/>
    <m/>
    <m/>
    <m/>
    <m/>
    <m/>
    <n v="107.20488908565312"/>
    <x v="0"/>
    <x v="0"/>
    <x v="0"/>
    <n v="131"/>
    <n v="87"/>
    <n v="0.66412213740458015"/>
    <n v="0.66412213740458015"/>
    <n v="1"/>
  </r>
  <r>
    <n v="1270278461"/>
    <s v="50.700.522/0001-74"/>
    <s v="Dienifer de Mattos"/>
    <x v="5"/>
    <s v="Pipebot"/>
    <x v="386"/>
    <m/>
    <m/>
    <d v="2026-01-01T22:08:37"/>
    <d v="2026-02-19T12:35:18"/>
    <n v="1.964734"/>
    <d v="2026-01-06T22:09:55"/>
    <d v="2026-02-18T13:26:21"/>
    <n v="42.636400000000002"/>
    <m/>
    <m/>
    <m/>
    <d v="2026-01-02T22:08:53"/>
    <d v="2026-02-20T13:02:51"/>
    <n v="3.01919"/>
    <d v="2026-01-04T22:08:59"/>
    <d v="2026-01-06T22:09:55"/>
    <n v="8.3471060000000001"/>
    <m/>
    <m/>
    <m/>
    <m/>
    <m/>
    <n v="70.077943622687599"/>
    <x v="0"/>
    <x v="7"/>
    <x v="0"/>
    <n v="207"/>
    <n v="140"/>
    <n v="0.67632850241545894"/>
    <n v="0.67632850241545894"/>
    <n v="1"/>
  </r>
  <r>
    <n v="1266540073"/>
    <s v="57.530.544/0001-82"/>
    <s v="Diovani d avila nunes"/>
    <x v="0"/>
    <s v="Pipebot"/>
    <x v="387"/>
    <m/>
    <m/>
    <m/>
    <m/>
    <m/>
    <m/>
    <m/>
    <m/>
    <m/>
    <m/>
    <m/>
    <m/>
    <m/>
    <m/>
    <m/>
    <m/>
    <m/>
    <m/>
    <m/>
    <m/>
    <m/>
    <m/>
    <n v="78.370464837957115"/>
    <x v="0"/>
    <x v="7"/>
    <x v="0"/>
    <n v="207"/>
    <n v="140"/>
    <n v="0.67632850241545894"/>
    <n v="0.67632850241545894"/>
    <n v="1"/>
  </r>
  <r>
    <n v="1236641260"/>
    <s v="44.416.412/0001-82"/>
    <s v="Diorgenes Carvalho Costa"/>
    <x v="0"/>
    <s v="Pipebot"/>
    <x v="388"/>
    <m/>
    <m/>
    <d v="2025-10-29T19:05:56"/>
    <d v="2026-02-13T16:01:05"/>
    <n v="2.1470370000000001"/>
    <d v="2025-11-03T19:07:14"/>
    <d v="2026-02-12T12:29:58"/>
    <n v="100.724109"/>
    <d v="2026-02-19T19:07:23"/>
    <d v="2026-02-19T19:07:30"/>
    <n v="8.1000000000000004E-5"/>
    <d v="2025-10-30T19:06:33"/>
    <d v="2026-02-16T12:50:15"/>
    <n v="4.8677659999999996"/>
    <d v="2025-11-01T19:06:58"/>
    <d v="2026-02-19T19:07:20"/>
    <n v="5.2620370000000003"/>
    <m/>
    <m/>
    <m/>
    <m/>
    <m/>
    <n v="134.20441172453866"/>
    <x v="0"/>
    <x v="6"/>
    <x v="0"/>
    <n v="195"/>
    <n v="132"/>
    <n v="0.67692307692307696"/>
    <n v="0.67692307692307696"/>
    <n v="1"/>
  </r>
  <r>
    <n v="1209249110"/>
    <s v="44.416.412/0001-82"/>
    <s v="Diorgenes Carvalho Costa"/>
    <x v="0"/>
    <s v="Pipebot"/>
    <x v="389"/>
    <m/>
    <m/>
    <d v="2025-09-19T20:26:49"/>
    <d v="2025-09-20T20:26:53"/>
    <n v="1.000035"/>
    <d v="2025-09-24T20:28:53"/>
    <d v="2025-10-09T19:27:26"/>
    <n v="14.957326"/>
    <m/>
    <m/>
    <m/>
    <d v="2025-09-20T20:26:53"/>
    <d v="2025-09-22T20:27:49"/>
    <n v="2.000648"/>
    <d v="2025-09-22T20:27:49"/>
    <d v="2025-09-24T20:28:53"/>
    <n v="2.0007290000000002"/>
    <m/>
    <m/>
    <m/>
    <m/>
    <m/>
    <n v="174.14863741897716"/>
    <x v="0"/>
    <x v="4"/>
    <x v="0"/>
    <n v="197"/>
    <n v="149"/>
    <n v="0.75634517766497467"/>
    <n v="0.75634517766497467"/>
    <n v="1"/>
  </r>
  <r>
    <n v="1212791491"/>
    <s v="44.416.412/0001-82"/>
    <s v="Diorgenes Carvalho Costa"/>
    <x v="0"/>
    <s v="Pipebot"/>
    <x v="390"/>
    <m/>
    <m/>
    <d v="2025-09-25T20:27:29"/>
    <d v="2025-09-26T20:28:01"/>
    <n v="1.00037"/>
    <d v="2025-09-30T20:28:54"/>
    <d v="2025-10-09T19:26:18"/>
    <n v="8.9565160000000006"/>
    <m/>
    <m/>
    <m/>
    <d v="2025-09-26T20:28:01"/>
    <d v="2025-09-28T20:28:22"/>
    <n v="2.0002430000000002"/>
    <d v="2025-09-28T20:28:22"/>
    <d v="2025-09-30T20:28:54"/>
    <n v="2.000359"/>
    <m/>
    <m/>
    <m/>
    <m/>
    <m/>
    <n v="168.14813740740647"/>
    <x v="0"/>
    <x v="4"/>
    <x v="0"/>
    <n v="197"/>
    <n v="149"/>
    <n v="0.75634517766497467"/>
    <n v="0.75634517766497467"/>
    <n v="1"/>
  </r>
  <r>
    <n v="1221989028"/>
    <s v="44.416.412/0001-82"/>
    <s v="Diorgenes Carvalho Costa"/>
    <x v="0"/>
    <s v="Pipebot"/>
    <x v="391"/>
    <m/>
    <m/>
    <m/>
    <m/>
    <m/>
    <m/>
    <m/>
    <m/>
    <m/>
    <m/>
    <m/>
    <m/>
    <m/>
    <m/>
    <m/>
    <m/>
    <m/>
    <m/>
    <m/>
    <m/>
    <m/>
    <m/>
    <n v="153.35622987268289"/>
    <x v="0"/>
    <x v="4"/>
    <x v="0"/>
    <n v="197"/>
    <n v="149"/>
    <n v="0.75634517766497467"/>
    <n v="0.75634517766497467"/>
    <n v="1"/>
  </r>
  <r>
    <n v="1272561020"/>
    <s v="50.438.057/0001-45"/>
    <s v="DK A S GUIMARÃES"/>
    <x v="5"/>
    <s v="Pipebot"/>
    <x v="392"/>
    <m/>
    <m/>
    <d v="2026-01-07T15:05:58"/>
    <d v="2026-02-19T12:35:51"/>
    <n v="1.9641439999999999"/>
    <d v="2026-01-12T15:06:52"/>
    <d v="2026-02-18T13:27:33"/>
    <n v="36.931018999999999"/>
    <m/>
    <m/>
    <m/>
    <d v="2026-01-08T15:06:03"/>
    <d v="2026-02-20T13:02:59"/>
    <n v="3.0189349999999999"/>
    <d v="2026-01-10T15:06:11"/>
    <d v="2026-01-12T15:06:52"/>
    <n v="8.3468289999999996"/>
    <m/>
    <m/>
    <m/>
    <m/>
    <m/>
    <n v="64.370995162040344"/>
    <x v="0"/>
    <x v="7"/>
    <x v="0"/>
    <n v="207"/>
    <n v="140"/>
    <n v="0.67632850241545894"/>
    <n v="0.67632850241545894"/>
    <n v="1"/>
  </r>
  <r>
    <n v="1249753148"/>
    <s v="57.530.544/0001-82"/>
    <s v="Diovani D avila nunes LTDA"/>
    <x v="0"/>
    <s v="Pipebot"/>
    <x v="393"/>
    <m/>
    <m/>
    <m/>
    <m/>
    <m/>
    <m/>
    <m/>
    <m/>
    <m/>
    <m/>
    <m/>
    <m/>
    <m/>
    <m/>
    <m/>
    <m/>
    <m/>
    <m/>
    <m/>
    <m/>
    <m/>
    <m/>
    <n v="114.20551261574292"/>
    <x v="0"/>
    <x v="0"/>
    <x v="0"/>
    <n v="131"/>
    <n v="87"/>
    <n v="0.66412213740458015"/>
    <n v="0.66412213740458015"/>
    <n v="1"/>
  </r>
  <r>
    <n v="1177542587"/>
    <s v="58.281.294/0001-57"/>
    <s v="DIVANE SANTANA LOPES"/>
    <x v="0"/>
    <s v="Pipebot"/>
    <x v="394"/>
    <m/>
    <m/>
    <m/>
    <m/>
    <m/>
    <m/>
    <m/>
    <m/>
    <m/>
    <m/>
    <m/>
    <m/>
    <m/>
    <m/>
    <m/>
    <m/>
    <m/>
    <m/>
    <m/>
    <m/>
    <m/>
    <m/>
    <n v="225.14904734954325"/>
    <x v="0"/>
    <x v="5"/>
    <x v="0"/>
    <n v="177"/>
    <n v="130"/>
    <n v="0.7344632768361582"/>
    <n v="0.7344632768361582"/>
    <n v="1"/>
  </r>
  <r>
    <n v="1182593964"/>
    <s v="58.281.294/0001-57"/>
    <s v="DIVANE SANTANA LOPES "/>
    <x v="0"/>
    <s v="Pipebot"/>
    <x v="395"/>
    <m/>
    <m/>
    <m/>
    <m/>
    <m/>
    <m/>
    <m/>
    <m/>
    <m/>
    <m/>
    <m/>
    <m/>
    <m/>
    <m/>
    <m/>
    <m/>
    <m/>
    <m/>
    <m/>
    <m/>
    <m/>
    <m/>
    <n v="217.35680462962773"/>
    <x v="0"/>
    <x v="5"/>
    <x v="0"/>
    <n v="177"/>
    <n v="130"/>
    <n v="0.7344632768361582"/>
    <n v="0.7344632768361582"/>
    <n v="1"/>
  </r>
  <r>
    <n v="1299778761"/>
    <s v="44.108.556/0001-71"/>
    <s v="Divina Store"/>
    <x v="7"/>
    <s v="Pipebot"/>
    <x v="396"/>
    <m/>
    <m/>
    <m/>
    <m/>
    <m/>
    <m/>
    <m/>
    <m/>
    <m/>
    <m/>
    <m/>
    <m/>
    <m/>
    <m/>
    <m/>
    <m/>
    <m/>
    <m/>
    <m/>
    <m/>
    <m/>
    <m/>
    <n v="7.2028000810169033"/>
    <x v="4"/>
    <x v="1"/>
    <x v="1"/>
    <n v="189"/>
    <n v="33"/>
    <n v="0.17460317460317459"/>
    <n v="0.17460317460317459"/>
    <n v="1"/>
  </r>
  <r>
    <n v="1293909912"/>
    <s v="44.108.556/0001-71"/>
    <s v="DIVINA STORE COMERCIO DE ALIMENTOS E BEBIDAS LTDA"/>
    <x v="5"/>
    <s v="Pipebot"/>
    <x v="397"/>
    <m/>
    <m/>
    <d v="2026-02-19T19:06:52"/>
    <d v="2026-02-20T16:52:43"/>
    <n v="0.90683999999999998"/>
    <m/>
    <m/>
    <m/>
    <m/>
    <m/>
    <m/>
    <d v="2026-02-20T16:52:43"/>
    <d v="2026-02-22T16:53:16"/>
    <n v="2.0003820000000001"/>
    <d v="2026-02-22T16:53:16"/>
    <m/>
    <n v="4.1864350000000004"/>
    <m/>
    <m/>
    <m/>
    <m/>
    <m/>
    <n v="21.203767002312816"/>
    <x v="3"/>
    <x v="1"/>
    <x v="1"/>
    <n v="189"/>
    <n v="33"/>
    <n v="0.17460317460317459"/>
    <n v="0.17460317460317459"/>
    <n v="1"/>
  </r>
  <r>
    <n v="1273403738"/>
    <s v="50.438.057/0001-45"/>
    <s v="DK A S GUIMARÃES"/>
    <x v="5"/>
    <s v="Pipebot"/>
    <x v="398"/>
    <m/>
    <m/>
    <d v="2026-01-09T22:08:50"/>
    <d v="2026-02-19T12:35:54"/>
    <n v="1.9643630000000001"/>
    <d v="2026-01-14T22:09:48"/>
    <d v="2026-02-18T13:27:37"/>
    <n v="34.637360999999999"/>
    <m/>
    <m/>
    <m/>
    <d v="2026-01-10T22:09:15"/>
    <d v="2026-02-20T13:03:02"/>
    <n v="3.0191319999999999"/>
    <d v="2026-01-12T22:09:40"/>
    <d v="2026-01-14T22:09:48"/>
    <n v="8.3464120000000008"/>
    <m/>
    <m/>
    <m/>
    <m/>
    <m/>
    <n v="62.077667858800851"/>
    <x v="0"/>
    <x v="7"/>
    <x v="0"/>
    <n v="207"/>
    <n v="140"/>
    <n v="0.67632850241545894"/>
    <n v="0.67632850241545894"/>
    <n v="1"/>
  </r>
  <r>
    <n v="1263239939"/>
    <s v="33.334.495/0001-44"/>
    <s v="EasyPeasy comércio de alimentos"/>
    <x v="0"/>
    <s v="Pipebot"/>
    <x v="399"/>
    <m/>
    <m/>
    <d v="2025-12-17T15:07:06"/>
    <d v="2025-12-18T15:07:49"/>
    <n v="1.000486"/>
    <d v="2025-12-22T15:09:13"/>
    <d v="2026-01-08T14:00:27"/>
    <n v="16.952245000000001"/>
    <m/>
    <m/>
    <m/>
    <d v="2025-12-18T15:07:49"/>
    <d v="2025-12-20T15:08:12"/>
    <n v="2.0002550000000001"/>
    <d v="2025-12-20T15:08:12"/>
    <d v="2025-12-22T15:09:12"/>
    <n v="2.0006940000000002"/>
    <m/>
    <m/>
    <m/>
    <m/>
    <m/>
    <n v="85.370255381953029"/>
    <x v="0"/>
    <x v="7"/>
    <x v="0"/>
    <n v="207"/>
    <n v="140"/>
    <n v="0.67632850241545894"/>
    <n v="0.67632850241545894"/>
    <n v="1"/>
  </r>
  <r>
    <n v="1182801663"/>
    <s v="49.305.641/0001-43"/>
    <s v="Dko Market"/>
    <x v="0"/>
    <s v="Pipebot"/>
    <x v="400"/>
    <m/>
    <m/>
    <d v="2025-08-07T20:28:10"/>
    <d v="2025-08-08T20:30:00"/>
    <n v="1.0012730000000001"/>
    <d v="2025-08-12T20:31:21"/>
    <d v="2025-08-28T13:45:47"/>
    <n v="15.718344999999999"/>
    <d v="2025-08-28T13:45:47"/>
    <d v="2025-08-28T13:45:55"/>
    <n v="8.1000000000000004E-5"/>
    <d v="2025-08-08T20:30:00"/>
    <d v="2025-08-10T20:30:23"/>
    <n v="2.0002550000000001"/>
    <d v="2025-08-10T20:30:23"/>
    <d v="2025-08-12T20:31:21"/>
    <n v="2.0006599999999999"/>
    <m/>
    <m/>
    <m/>
    <m/>
    <m/>
    <n v="217.1475312384282"/>
    <x v="0"/>
    <x v="5"/>
    <x v="0"/>
    <n v="177"/>
    <n v="130"/>
    <n v="0.7344632768361582"/>
    <n v="0.7344632768361582"/>
    <n v="1"/>
  </r>
  <r>
    <n v="1182150117"/>
    <s v="50.447.824/0001-82"/>
    <s v="DNC comércio e distribuidora "/>
    <x v="0"/>
    <s v="Pipebot"/>
    <x v="401"/>
    <m/>
    <m/>
    <d v="2025-08-06T20:26:46"/>
    <d v="2025-08-07T20:27:09"/>
    <n v="1.0002660000000001"/>
    <d v="2025-08-11T20:28:39"/>
    <d v="2025-08-12T17:50:36"/>
    <n v="0.89024300000000001"/>
    <d v="2025-08-12T17:50:36"/>
    <d v="2025-08-12T17:50:51"/>
    <n v="1.6200000000000001E-4"/>
    <d v="2025-08-07T20:27:09"/>
    <d v="2025-08-09T20:27:39"/>
    <n v="2.0003359999999999"/>
    <d v="2025-08-09T20:27:39"/>
    <d v="2025-08-11T20:28:39"/>
    <n v="2.0006940000000002"/>
    <m/>
    <m/>
    <m/>
    <m/>
    <m/>
    <n v="218.14852447916928"/>
    <x v="0"/>
    <x v="5"/>
    <x v="0"/>
    <n v="177"/>
    <n v="130"/>
    <n v="0.7344632768361582"/>
    <n v="0.7344632768361582"/>
    <n v="1"/>
  </r>
  <r>
    <n v="1231463594"/>
    <s v="50.447.824/0001-82"/>
    <s v="DNC Comercio e Distribuidora Ltda"/>
    <x v="8"/>
    <s v="Pipebot"/>
    <x v="402"/>
    <m/>
    <m/>
    <d v="2025-10-23T20:29:12"/>
    <d v="2025-10-24T20:30:09"/>
    <n v="1.0006600000000001"/>
    <d v="2025-10-28T20:31:14"/>
    <d v="2025-10-29T19:39:25"/>
    <n v="0.964005"/>
    <m/>
    <m/>
    <m/>
    <d v="2025-10-24T20:30:09"/>
    <d v="2025-10-26T20:30:18"/>
    <n v="2.0000930000000001"/>
    <d v="2025-10-26T20:30:18"/>
    <d v="2025-10-28T20:31:14"/>
    <n v="2.000648"/>
    <m/>
    <m/>
    <m/>
    <m/>
    <m/>
    <n v="140.14708288193651"/>
    <x v="0"/>
    <x v="6"/>
    <x v="0"/>
    <n v="195"/>
    <n v="132"/>
    <n v="0.67692307692307696"/>
    <n v="0.67692307692307696"/>
    <n v="1"/>
  </r>
  <r>
    <n v="1289419373"/>
    <s v="43.581.384/0001-96"/>
    <s v="Doorman Rocha de produtos Alimentícios Ltda ME - 1 máquina a mais recebida"/>
    <x v="0"/>
    <s v="Pipebot"/>
    <x v="403"/>
    <m/>
    <m/>
    <m/>
    <m/>
    <m/>
    <m/>
    <m/>
    <m/>
    <m/>
    <m/>
    <m/>
    <m/>
    <m/>
    <m/>
    <m/>
    <m/>
    <m/>
    <m/>
    <m/>
    <m/>
    <m/>
    <m/>
    <n v="29.371636087962543"/>
    <x v="5"/>
    <x v="3"/>
    <x v="1"/>
    <n v="223"/>
    <n v="147"/>
    <n v="0.65919282511210764"/>
    <n v="0.65919282511210764"/>
    <n v="1"/>
  </r>
  <r>
    <n v="1216186249"/>
    <s v="15.313.066/0001-09"/>
    <s v="Douglas Schlickmann"/>
    <x v="0"/>
    <s v="Pipebot"/>
    <x v="404"/>
    <m/>
    <m/>
    <d v="2025-10-01T20:27:57"/>
    <d v="2025-10-02T20:28:43"/>
    <n v="1.000521"/>
    <d v="2025-10-06T20:29:40"/>
    <d v="2025-10-08T18:54:27"/>
    <n v="1.9338660000000001"/>
    <m/>
    <m/>
    <m/>
    <d v="2025-10-02T20:28:43"/>
    <d v="2025-10-04T20:29:30"/>
    <n v="2.0005320000000002"/>
    <d v="2025-10-04T20:29:30"/>
    <d v="2025-10-06T20:29:40"/>
    <n v="2.0001039999999999"/>
    <m/>
    <m/>
    <m/>
    <m/>
    <m/>
    <n v="162.14797056712268"/>
    <x v="0"/>
    <x v="4"/>
    <x v="0"/>
    <n v="197"/>
    <n v="149"/>
    <n v="0.75634517766497467"/>
    <n v="0.75634517766497467"/>
    <n v="1"/>
  </r>
  <r>
    <n v="1185130021"/>
    <s v="24.744.733/0001-07"/>
    <s v="DUPAR ESTACIONAMENTOS"/>
    <x v="0"/>
    <s v="Pipebot"/>
    <x v="405"/>
    <m/>
    <m/>
    <m/>
    <m/>
    <m/>
    <m/>
    <m/>
    <m/>
    <m/>
    <m/>
    <m/>
    <m/>
    <m/>
    <m/>
    <m/>
    <m/>
    <m/>
    <m/>
    <m/>
    <m/>
    <m/>
    <m/>
    <n v="212.37925696759339"/>
    <x v="0"/>
    <x v="5"/>
    <x v="0"/>
    <n v="177"/>
    <n v="130"/>
    <n v="0.7344632768361582"/>
    <n v="0.7344632768361582"/>
    <n v="1"/>
  </r>
  <r>
    <n v="1278101707"/>
    <s v="39.644.124/0001-45"/>
    <s v="Dzpenza comércio varejista ltda"/>
    <x v="0"/>
    <s v="Pipebot"/>
    <x v="406"/>
    <m/>
    <m/>
    <m/>
    <m/>
    <m/>
    <m/>
    <m/>
    <m/>
    <m/>
    <m/>
    <m/>
    <m/>
    <m/>
    <m/>
    <m/>
    <m/>
    <m/>
    <m/>
    <m/>
    <m/>
    <m/>
    <m/>
    <n v="50.464337349527341"/>
    <x v="2"/>
    <x v="3"/>
    <x v="1"/>
    <n v="223"/>
    <n v="147"/>
    <n v="0.65919282511210764"/>
    <n v="0.65919282511210764"/>
    <n v="1"/>
  </r>
  <r>
    <n v="1299774292"/>
    <s v="39.644.124/0001-45"/>
    <s v="Dzpenza comércio varejista ltda"/>
    <x v="7"/>
    <s v="Pipebot"/>
    <x v="407"/>
    <m/>
    <m/>
    <m/>
    <m/>
    <m/>
    <m/>
    <m/>
    <m/>
    <m/>
    <m/>
    <m/>
    <m/>
    <m/>
    <m/>
    <m/>
    <m/>
    <m/>
    <m/>
    <m/>
    <m/>
    <m/>
    <m/>
    <n v="7.2065331250123563"/>
    <x v="4"/>
    <x v="1"/>
    <x v="1"/>
    <n v="189"/>
    <n v="33"/>
    <n v="0.17460317460317459"/>
    <n v="0.17460317460317459"/>
    <n v="1"/>
  </r>
  <r>
    <n v="1300427524"/>
    <s v="37.765.981/0001-78"/>
    <s v="E-Markett"/>
    <x v="7"/>
    <s v="Pipebot"/>
    <x v="408"/>
    <m/>
    <m/>
    <m/>
    <m/>
    <m/>
    <m/>
    <m/>
    <m/>
    <m/>
    <m/>
    <m/>
    <m/>
    <m/>
    <m/>
    <m/>
    <m/>
    <m/>
    <m/>
    <m/>
    <m/>
    <m/>
    <m/>
    <n v="6.2036329050897621"/>
    <x v="4"/>
    <x v="1"/>
    <x v="1"/>
    <n v="189"/>
    <n v="33"/>
    <n v="0.17460317460317459"/>
    <n v="0.17460317460317459"/>
    <n v="1"/>
  </r>
  <r>
    <n v="1304129595"/>
    <s v="37.765.981/0001-78"/>
    <s v="E-markett Produtos alimenticios ltda"/>
    <x v="7"/>
    <s v="Pipebot"/>
    <x v="409"/>
    <m/>
    <m/>
    <m/>
    <m/>
    <m/>
    <m/>
    <m/>
    <m/>
    <m/>
    <m/>
    <m/>
    <m/>
    <m/>
    <m/>
    <m/>
    <m/>
    <m/>
    <m/>
    <m/>
    <m/>
    <m/>
    <m/>
    <n v="1.2032222453708528"/>
    <x v="4"/>
    <x v="1"/>
    <x v="1"/>
    <n v="189"/>
    <n v="33"/>
    <n v="0.17460317460317459"/>
    <n v="0.17460317460317459"/>
    <n v="1"/>
  </r>
  <r>
    <n v="1295985100"/>
    <s v="37.765.981/0001-78"/>
    <s v="E-markett Produtos alimenticios ltda"/>
    <x v="3"/>
    <s v="Pipebot"/>
    <x v="410"/>
    <m/>
    <m/>
    <m/>
    <m/>
    <m/>
    <m/>
    <m/>
    <m/>
    <m/>
    <m/>
    <m/>
    <m/>
    <m/>
    <m/>
    <m/>
    <m/>
    <m/>
    <m/>
    <m/>
    <m/>
    <m/>
    <m/>
    <n v="16.203358761573327"/>
    <x v="1"/>
    <x v="1"/>
    <x v="1"/>
    <n v="189"/>
    <n v="33"/>
    <n v="0.17460317460317459"/>
    <n v="0.17460317460317459"/>
    <n v="1"/>
  </r>
  <r>
    <n v="1279347481"/>
    <s v="46.872.442/0001-29"/>
    <s v="Easy Market - Macaé LTDA"/>
    <x v="0"/>
    <s v="Pipebot"/>
    <x v="411"/>
    <m/>
    <m/>
    <m/>
    <m/>
    <m/>
    <m/>
    <m/>
    <m/>
    <m/>
    <m/>
    <m/>
    <m/>
    <m/>
    <m/>
    <m/>
    <m/>
    <m/>
    <m/>
    <m/>
    <m/>
    <m/>
    <m/>
    <n v="48.452496990743384"/>
    <x v="2"/>
    <x v="3"/>
    <x v="1"/>
    <n v="223"/>
    <n v="147"/>
    <n v="0.65919282511210764"/>
    <n v="0.65919282511210764"/>
    <n v="1"/>
  </r>
  <r>
    <n v="1221263983"/>
    <s v="33.334.495/0001-44"/>
    <s v="Easy Peasy Comercio de Alimentos LTDA"/>
    <x v="0"/>
    <s v="Pipebot"/>
    <x v="412"/>
    <m/>
    <m/>
    <d v="2025-10-09T15:28:30"/>
    <d v="2025-10-10T15:28:38"/>
    <n v="1.000081"/>
    <d v="2025-10-14T15:29:43"/>
    <d v="2025-10-27T17:38:38"/>
    <n v="13.089525"/>
    <m/>
    <m/>
    <m/>
    <d v="2025-10-10T15:28:38"/>
    <d v="2025-10-12T15:28:58"/>
    <n v="2.0002309999999999"/>
    <d v="2025-10-12T15:28:58"/>
    <d v="2025-10-14T15:29:43"/>
    <n v="2.0005090000000001"/>
    <m/>
    <m/>
    <m/>
    <m/>
    <m/>
    <n v="154.35593087961752"/>
    <x v="0"/>
    <x v="4"/>
    <x v="0"/>
    <n v="197"/>
    <n v="149"/>
    <n v="0.75634517766497467"/>
    <n v="0.75634517766497467"/>
    <n v="1"/>
  </r>
  <r>
    <n v="1269000366"/>
    <s v="33.334.495/0001-44"/>
    <s v="EasyPeasy Comércio de Alimentos "/>
    <x v="2"/>
    <s v="Pipebot"/>
    <x v="413"/>
    <m/>
    <m/>
    <d v="2025-12-30T15:07:59"/>
    <d v="2026-02-19T12:35:06"/>
    <n v="1.9647570000000001"/>
    <d v="2026-01-04T15:10:02"/>
    <d v="2026-02-18T13:26:07"/>
    <n v="44.927835999999999"/>
    <d v="2026-02-25T21:10:08"/>
    <m/>
    <n v="1.0080560000000001"/>
    <d v="2025-12-31T15:08:16"/>
    <d v="2026-02-20T12:58:47"/>
    <n v="3.0168520000000001"/>
    <d v="2026-01-02T15:08:51"/>
    <d v="2026-02-25T21:10:08"/>
    <n v="7.3420370000000004"/>
    <m/>
    <m/>
    <m/>
    <m/>
    <m/>
    <n v="72.369956354159513"/>
    <x v="0"/>
    <x v="7"/>
    <x v="0"/>
    <n v="207"/>
    <n v="140"/>
    <n v="0.67632850241545894"/>
    <n v="0.67632850241545894"/>
    <n v="1"/>
  </r>
  <r>
    <n v="1288876704"/>
    <s v="33.334.495/0001-44"/>
    <s v="EasyPeasy Comércio de Alimentos "/>
    <x v="0"/>
    <s v="Pipebot"/>
    <x v="414"/>
    <m/>
    <m/>
    <m/>
    <m/>
    <m/>
    <m/>
    <m/>
    <m/>
    <m/>
    <m/>
    <m/>
    <m/>
    <m/>
    <m/>
    <m/>
    <m/>
    <m/>
    <m/>
    <m/>
    <m/>
    <m/>
    <m/>
    <n v="30.246670763888687"/>
    <x v="2"/>
    <x v="3"/>
    <x v="1"/>
    <n v="223"/>
    <n v="147"/>
    <n v="0.65919282511210764"/>
    <n v="0.65919282511210764"/>
    <n v="1"/>
  </r>
  <r>
    <n v="1270229956"/>
    <s v="36.543.978/0001-47"/>
    <s v="Ed Carlo Alves Parente - Feito"/>
    <x v="5"/>
    <s v="Pipebot"/>
    <x v="415"/>
    <m/>
    <m/>
    <d v="2026-01-01T20:19:37"/>
    <d v="2026-02-19T12:35:17"/>
    <n v="1.96485"/>
    <d v="2026-01-06T20:21:53"/>
    <d v="2026-02-18T13:26:20"/>
    <n v="42.711412000000003"/>
    <m/>
    <m/>
    <m/>
    <d v="2026-01-02T20:20:03"/>
    <d v="2026-02-20T13:02:50"/>
    <n v="3.0197690000000001"/>
    <d v="2026-01-04T20:20:58"/>
    <d v="2026-01-06T20:21:53"/>
    <n v="8.3470949999999995"/>
    <m/>
    <m/>
    <m/>
    <m/>
    <m/>
    <n v="70.1535095486106"/>
    <x v="0"/>
    <x v="7"/>
    <x v="0"/>
    <n v="207"/>
    <n v="140"/>
    <n v="0.67632850241545894"/>
    <n v="0.67632850241545894"/>
    <n v="1"/>
  </r>
  <r>
    <n v="1268639654"/>
    <s v="34.614.239/0001-73"/>
    <s v="Edrielly Caroline Melo de Oliveira - Feito"/>
    <x v="5"/>
    <s v="Pipebot"/>
    <x v="416"/>
    <m/>
    <m/>
    <d v="2025-12-29T19:03:49"/>
    <d v="2026-02-19T12:35:02"/>
    <n v="1.9646760000000001"/>
    <d v="2026-01-03T19:05:12"/>
    <d v="2026-02-18T13:26:05"/>
    <n v="45.764491"/>
    <m/>
    <m/>
    <m/>
    <d v="2025-12-30T19:04:00"/>
    <d v="2026-02-20T12:58:43"/>
    <n v="3.0168629999999999"/>
    <d v="2026-01-01T19:04:37"/>
    <d v="2026-01-03T19:05:12"/>
    <n v="8.3497339999999998"/>
    <m/>
    <m/>
    <m/>
    <m/>
    <m/>
    <n v="73.206535104167415"/>
    <x v="0"/>
    <x v="7"/>
    <x v="0"/>
    <n v="207"/>
    <n v="140"/>
    <n v="0.67632850241545894"/>
    <n v="0.67632850241545894"/>
    <n v="1"/>
  </r>
  <r>
    <n v="1182151282"/>
    <s v="54.342.018/0001-09"/>
    <s v="Ed. The garden"/>
    <x v="0"/>
    <s v="Pipebot"/>
    <x v="417"/>
    <m/>
    <m/>
    <m/>
    <m/>
    <m/>
    <m/>
    <m/>
    <m/>
    <m/>
    <m/>
    <m/>
    <m/>
    <m/>
    <m/>
    <m/>
    <m/>
    <m/>
    <m/>
    <m/>
    <m/>
    <m/>
    <m/>
    <n v="218.14793077546346"/>
    <x v="0"/>
    <x v="5"/>
    <x v="0"/>
    <n v="177"/>
    <n v="130"/>
    <n v="0.7344632768361582"/>
    <n v="0.7344632768361582"/>
    <n v="1"/>
  </r>
  <r>
    <n v="1280610829"/>
    <s v="48.068.257/0001-01"/>
    <s v="Eder Santos de Carvalho "/>
    <x v="0"/>
    <s v="Pipebot"/>
    <x v="418"/>
    <m/>
    <m/>
    <m/>
    <m/>
    <m/>
    <m/>
    <m/>
    <m/>
    <m/>
    <m/>
    <m/>
    <m/>
    <m/>
    <m/>
    <m/>
    <m/>
    <m/>
    <m/>
    <m/>
    <m/>
    <m/>
    <m/>
    <n v="45.202770162039087"/>
    <x v="2"/>
    <x v="3"/>
    <x v="1"/>
    <n v="223"/>
    <n v="147"/>
    <n v="0.65919282511210764"/>
    <n v="0.65919282511210764"/>
    <n v="1"/>
  </r>
  <r>
    <n v="1256482967"/>
    <s v="32.284.466/0001-52"/>
    <s v="Edilson Vieira Salles "/>
    <x v="0"/>
    <s v="Pipebot"/>
    <x v="419"/>
    <m/>
    <m/>
    <d v="2025-12-02T19:05:39"/>
    <d v="2025-12-03T19:06:11"/>
    <n v="1.000359"/>
    <d v="2025-12-07T19:06:56"/>
    <d v="2025-12-10T17:55:16"/>
    <n v="2.9496410000000002"/>
    <m/>
    <m/>
    <m/>
    <d v="2025-12-03T19:06:11"/>
    <d v="2025-12-05T19:06:48"/>
    <n v="2.0004279999999999"/>
    <d v="2025-12-05T19:06:48"/>
    <d v="2025-12-07T19:06:56"/>
    <n v="2.0000810000000002"/>
    <m/>
    <m/>
    <m/>
    <m/>
    <m/>
    <n v="100.20483958333352"/>
    <x v="0"/>
    <x v="0"/>
    <x v="0"/>
    <n v="131"/>
    <n v="87"/>
    <n v="0.66412213740458015"/>
    <n v="0.66412213740458015"/>
    <n v="1"/>
  </r>
  <r>
    <n v="1174283351"/>
    <s v="60.489.621/0001-02"/>
    <s v="Edmar Santos"/>
    <x v="0"/>
    <s v="Pipebot"/>
    <x v="420"/>
    <m/>
    <m/>
    <m/>
    <m/>
    <m/>
    <m/>
    <m/>
    <m/>
    <m/>
    <m/>
    <m/>
    <m/>
    <m/>
    <m/>
    <m/>
    <m/>
    <m/>
    <m/>
    <m/>
    <m/>
    <m/>
    <m/>
    <n v="231.14840754628676"/>
    <x v="0"/>
    <x v="5"/>
    <x v="0"/>
    <n v="177"/>
    <n v="130"/>
    <n v="0.7344632768361582"/>
    <n v="0.7344632768361582"/>
    <n v="1"/>
  </r>
  <r>
    <n v="1270228564"/>
    <s v="51.794.578/0001-06"/>
    <s v="Edson Evangelista de Paula"/>
    <x v="0"/>
    <s v="Pipebot"/>
    <x v="421"/>
    <m/>
    <m/>
    <m/>
    <m/>
    <m/>
    <m/>
    <m/>
    <m/>
    <m/>
    <m/>
    <m/>
    <m/>
    <m/>
    <m/>
    <m/>
    <m/>
    <m/>
    <m/>
    <m/>
    <m/>
    <m/>
    <m/>
    <n v="70.155336134252138"/>
    <x v="0"/>
    <x v="7"/>
    <x v="0"/>
    <n v="207"/>
    <n v="140"/>
    <n v="0.67632850241545894"/>
    <n v="0.67632850241545894"/>
    <n v="1"/>
  </r>
  <r>
    <n v="1229141819"/>
    <s v="15.070.270/0001-46"/>
    <s v="Edson de Matos Moreira "/>
    <x v="0"/>
    <s v="Pipebot"/>
    <x v="422"/>
    <m/>
    <m/>
    <m/>
    <m/>
    <m/>
    <m/>
    <m/>
    <m/>
    <m/>
    <m/>
    <m/>
    <m/>
    <m/>
    <m/>
    <m/>
    <m/>
    <m/>
    <m/>
    <m/>
    <m/>
    <m/>
    <m/>
    <n v="143.14867968750332"/>
    <x v="0"/>
    <x v="6"/>
    <x v="0"/>
    <n v="195"/>
    <n v="132"/>
    <n v="0.67692307692307696"/>
    <n v="0.67692307692307696"/>
    <n v="1"/>
  </r>
  <r>
    <n v="1269670416"/>
    <s v="59.785.111/0001-01"/>
    <s v="Eduardo de Paula Ozório"/>
    <x v="0"/>
    <s v="Pipebot"/>
    <x v="423"/>
    <m/>
    <m/>
    <d v="2025-12-31T19:09:16"/>
    <d v="2026-01-01T19:09:37"/>
    <n v="1.000243"/>
    <d v="2026-01-05T19:11:06"/>
    <d v="2026-01-15T16:44:54"/>
    <n v="9.8984719999999999"/>
    <m/>
    <m/>
    <m/>
    <d v="2026-01-01T19:09:37"/>
    <d v="2026-01-03T19:10:13"/>
    <n v="2.0004050000000002"/>
    <d v="2026-01-03T19:10:13"/>
    <d v="2026-01-05T19:11:06"/>
    <n v="2.0006020000000002"/>
    <m/>
    <m/>
    <m/>
    <m/>
    <m/>
    <n v="71.202754074067343"/>
    <x v="0"/>
    <x v="7"/>
    <x v="0"/>
    <n v="207"/>
    <n v="140"/>
    <n v="0.67632850241545894"/>
    <n v="0.67632850241545894"/>
    <n v="1"/>
  </r>
  <r>
    <n v="1197313902"/>
    <s v="51.794.578/0001-06"/>
    <s v="Edson Evangelista de Paula"/>
    <x v="0"/>
    <s v="Pipebot"/>
    <x v="424"/>
    <m/>
    <m/>
    <d v="2025-09-01T20:25:22"/>
    <d v="2025-09-02T20:26:00"/>
    <n v="1.0004280000000001"/>
    <m/>
    <m/>
    <m/>
    <m/>
    <m/>
    <m/>
    <d v="2025-09-02T20:26:00"/>
    <d v="2025-09-02T20:31:35"/>
    <n v="3.8769999999999998E-3"/>
    <m/>
    <m/>
    <m/>
    <m/>
    <m/>
    <m/>
    <m/>
    <m/>
    <n v="192.14953636575228"/>
    <x v="0"/>
    <x v="2"/>
    <x v="0"/>
    <n v="146"/>
    <n v="112"/>
    <n v="0.76712328767123283"/>
    <n v="0.76712328767123283"/>
    <n v="1"/>
  </r>
  <r>
    <n v="1285964783"/>
    <s v="50.647.067/0001-90"/>
    <s v="EDSON EVANGELISTA DE PAULAJUNIOR"/>
    <x v="2"/>
    <s v="Pipebot"/>
    <x v="425"/>
    <m/>
    <m/>
    <d v="2026-02-05T19:07:16"/>
    <d v="2026-02-19T17:50:22"/>
    <n v="1.2141090000000001"/>
    <d v="2026-02-10T13:05:45"/>
    <d v="2026-02-19T12:42:13"/>
    <n v="8.9836460000000002"/>
    <d v="2026-02-19T17:50:22"/>
    <m/>
    <n v="7.146782"/>
    <d v="2026-02-06T19:07:27"/>
    <d v="2026-02-08T19:08:04"/>
    <n v="2.0004279999999999"/>
    <d v="2026-02-08T19:08:04"/>
    <d v="2026-02-10T13:05:45"/>
    <n v="1.748391"/>
    <m/>
    <m/>
    <m/>
    <m/>
    <m/>
    <n v="35.203602222216432"/>
    <x v="2"/>
    <x v="3"/>
    <x v="1"/>
    <n v="223"/>
    <n v="147"/>
    <n v="0.65919282511210764"/>
    <n v="0.65919282511210764"/>
    <n v="1"/>
  </r>
  <r>
    <n v="1280609412"/>
    <s v="50.647.067/0001-90"/>
    <s v="EDSON EVANGELISTA DE PAULAJUNIOR (máquina) - acionado sofia 03/02"/>
    <x v="4"/>
    <s v="Pipebot"/>
    <x v="426"/>
    <m/>
    <m/>
    <d v="2026-01-26T19:07:28"/>
    <d v="2026-02-20T16:51:29"/>
    <n v="2.1763430000000001"/>
    <d v="2026-01-31T19:09:57"/>
    <d v="2026-02-19T12:37:50"/>
    <n v="18.727696999999999"/>
    <d v="2026-02-24T19:14:33"/>
    <d v="2026-02-24T19:54:03"/>
    <n v="2.7418999999999999E-2"/>
    <d v="2026-01-27T19:07:45"/>
    <d v="2026-02-23T13:32:47"/>
    <n v="4.8634139999999997"/>
    <d v="2026-01-29T19:09:46"/>
    <d v="2026-02-24T19:14:33"/>
    <n v="3.2374420000000002"/>
    <m/>
    <m/>
    <m/>
    <m/>
    <m/>
    <n v="45.203622268520121"/>
    <x v="2"/>
    <x v="3"/>
    <x v="1"/>
    <n v="223"/>
    <n v="147"/>
    <n v="0.65919282511210764"/>
    <n v="0.65919282511210764"/>
    <n v="1"/>
  </r>
  <r>
    <n v="1208427565"/>
    <s v="53.856.924/0001-50"/>
    <s v="Edson Geraldo Fruchi"/>
    <x v="0"/>
    <s v="Pipebot"/>
    <x v="427"/>
    <m/>
    <m/>
    <d v="2025-09-18T20:27:41"/>
    <d v="2025-09-19T20:27:47"/>
    <n v="1.0000690000000001"/>
    <d v="2025-09-23T20:28:14"/>
    <d v="2025-12-20T12:59:05"/>
    <n v="87.685556000000005"/>
    <m/>
    <m/>
    <m/>
    <d v="2025-09-19T20:27:47"/>
    <d v="2025-09-21T20:27:54"/>
    <n v="2.0000689999999999"/>
    <d v="2025-09-21T20:27:54"/>
    <d v="2025-09-23T20:28:14"/>
    <n v="2.0002309999999999"/>
    <m/>
    <m/>
    <m/>
    <m/>
    <m/>
    <n v="175.14809702546336"/>
    <x v="0"/>
    <x v="4"/>
    <x v="0"/>
    <n v="197"/>
    <n v="149"/>
    <n v="0.75634517766497467"/>
    <n v="0.75634517766497467"/>
    <n v="1"/>
  </r>
  <r>
    <n v="1179016160"/>
    <s v="42.487.115/0001-00"/>
    <s v="Édson Gomes de Lima"/>
    <x v="0"/>
    <s v="Pipebot"/>
    <x v="428"/>
    <m/>
    <m/>
    <d v="2025-08-01T20:27:32"/>
    <d v="2025-08-02T20:28:06"/>
    <n v="1.0003820000000001"/>
    <d v="2025-08-06T20:28:46"/>
    <d v="2025-09-05T18:15:20"/>
    <n v="29.907337999999999"/>
    <m/>
    <m/>
    <m/>
    <d v="2025-08-02T20:28:06"/>
    <d v="2025-08-04T20:28:43"/>
    <n v="2.0004170000000001"/>
    <d v="2025-08-04T20:28:43"/>
    <d v="2025-08-06T20:28:46"/>
    <n v="2.000035"/>
    <m/>
    <m/>
    <m/>
    <m/>
    <m/>
    <n v="223.14789886574727"/>
    <x v="0"/>
    <x v="5"/>
    <x v="0"/>
    <n v="177"/>
    <n v="130"/>
    <n v="0.7344632768361582"/>
    <n v="0.7344632768361582"/>
    <n v="1"/>
  </r>
  <r>
    <n v="1174960494"/>
    <s v="42.487.115/0001-00"/>
    <s v="Édson Gomes de Lima"/>
    <x v="0"/>
    <s v="Pipebot"/>
    <x v="429"/>
    <m/>
    <m/>
    <d v="2025-07-25T20:27:07"/>
    <d v="2025-07-26T20:27:15"/>
    <n v="1.000081"/>
    <d v="2025-07-30T20:28:07"/>
    <d v="2025-08-05T12:22:31"/>
    <n v="5.6627780000000003"/>
    <d v="2025-08-05T12:22:31"/>
    <d v="2025-08-05T12:22:39"/>
    <n v="8.1000000000000004E-5"/>
    <d v="2025-07-26T20:27:15"/>
    <d v="2025-07-28T20:27:40"/>
    <n v="2.000289"/>
    <d v="2025-07-28T20:27:40"/>
    <d v="2025-07-30T20:28:06"/>
    <n v="2.0003009999999999"/>
    <m/>
    <m/>
    <m/>
    <m/>
    <m/>
    <n v="230.14853827546176"/>
    <x v="0"/>
    <x v="5"/>
    <x v="0"/>
    <n v="177"/>
    <n v="130"/>
    <n v="0.7344632768361582"/>
    <n v="0.7344632768361582"/>
    <n v="1"/>
  </r>
  <r>
    <n v="1182149699"/>
    <s v="42.487.115/0001-00"/>
    <s v="Édson Gomes de Lima "/>
    <x v="0"/>
    <s v="Pipebot"/>
    <x v="430"/>
    <m/>
    <m/>
    <d v="2025-08-06T20:26:49"/>
    <d v="2025-08-07T20:27:11"/>
    <n v="1.000243"/>
    <d v="2025-08-11T20:28:39"/>
    <d v="2025-09-05T18:15:04"/>
    <n v="24.907233999999999"/>
    <m/>
    <m/>
    <m/>
    <d v="2025-08-07T20:27:11"/>
    <d v="2025-08-09T20:27:39"/>
    <n v="2.000324"/>
    <d v="2025-08-09T20:27:39"/>
    <d v="2025-08-11T20:28:39"/>
    <n v="2.0006940000000002"/>
    <m/>
    <m/>
    <m/>
    <m/>
    <m/>
    <n v="218.14866549769067"/>
    <x v="0"/>
    <x v="5"/>
    <x v="0"/>
    <n v="177"/>
    <n v="130"/>
    <n v="0.7344632768361582"/>
    <n v="0.7344632768361582"/>
    <n v="1"/>
  </r>
  <r>
    <n v="1238634042"/>
    <s v="55.132.409/0001-53"/>
    <s v="Edson Rodrigo Bonfanfi"/>
    <x v="5"/>
    <s v="Pipebot"/>
    <x v="431"/>
    <m/>
    <m/>
    <d v="2025-10-31T22:07:04"/>
    <d v="2026-02-13T16:01:09"/>
    <n v="2.147211"/>
    <d v="2025-11-05T22:08:35"/>
    <d v="2026-02-12T12:30:02"/>
    <n v="98.598218000000003"/>
    <m/>
    <m/>
    <m/>
    <d v="2025-11-01T22:07:57"/>
    <d v="2026-02-16T12:50:18"/>
    <n v="4.8677780000000004"/>
    <d v="2025-11-03T22:08:25"/>
    <d v="2025-11-05T22:08:35"/>
    <n v="12.355289000000001"/>
    <m/>
    <m/>
    <m/>
    <m/>
    <m/>
    <n v="132.07898230323917"/>
    <x v="0"/>
    <x v="6"/>
    <x v="0"/>
    <n v="195"/>
    <n v="132"/>
    <n v="0.67692307692307696"/>
    <n v="0.67692307692307696"/>
    <n v="1"/>
  </r>
  <r>
    <n v="1248047406"/>
    <s v="55.132.409/0001-53"/>
    <s v="Edson Rodrigo Bonfanfi"/>
    <x v="5"/>
    <s v="Pipebot"/>
    <x v="432"/>
    <m/>
    <m/>
    <d v="2025-11-14T15:04:09"/>
    <d v="2026-02-16T12:51:18"/>
    <n v="3.8679860000000001"/>
    <d v="2025-11-19T15:06:24"/>
    <d v="2026-02-13T16:02:14"/>
    <n v="86.038762000000006"/>
    <m/>
    <m/>
    <m/>
    <d v="2025-11-15T15:04:59"/>
    <d v="2026-02-18T13:21:12"/>
    <n v="4.0211110000000003"/>
    <d v="2025-11-17T15:05:31"/>
    <d v="2025-11-19T15:06:24"/>
    <n v="10.334329"/>
    <m/>
    <m/>
    <m/>
    <m/>
    <m/>
    <n v="118.37258534722787"/>
    <x v="0"/>
    <x v="6"/>
    <x v="0"/>
    <n v="195"/>
    <n v="132"/>
    <n v="0.67692307692307696"/>
    <n v="0.67692307692307696"/>
    <n v="1"/>
  </r>
  <r>
    <n v="1282778798"/>
    <s v="44.367.366/0001-79"/>
    <s v="Eduarda Castro Tatsuguchi"/>
    <x v="0"/>
    <s v="Pipebot"/>
    <x v="433"/>
    <m/>
    <m/>
    <m/>
    <m/>
    <m/>
    <m/>
    <m/>
    <m/>
    <m/>
    <m/>
    <m/>
    <m/>
    <m/>
    <m/>
    <m/>
    <m/>
    <m/>
    <m/>
    <m/>
    <m/>
    <m/>
    <m/>
    <n v="41.452371782397677"/>
    <x v="2"/>
    <x v="3"/>
    <x v="1"/>
    <n v="223"/>
    <n v="147"/>
    <n v="0.65919282511210764"/>
    <n v="0.65919282511210764"/>
    <n v="1"/>
  </r>
  <r>
    <n v="1217728349"/>
    <s v="44.367.366/0001-79"/>
    <s v="Eduarda Castro Tatsuguchi "/>
    <x v="0"/>
    <s v="Pipebot"/>
    <x v="434"/>
    <m/>
    <m/>
    <d v="2025-10-04T15:27:30"/>
    <d v="2025-10-05T15:27:39"/>
    <n v="1.0000929999999999"/>
    <d v="2025-10-09T15:29:31"/>
    <d v="2025-10-20T20:43:33"/>
    <n v="11.218067"/>
    <m/>
    <m/>
    <m/>
    <d v="2025-10-05T15:27:39"/>
    <d v="2025-10-07T15:28:32"/>
    <n v="2.0006020000000002"/>
    <d v="2025-10-07T15:28:32"/>
    <d v="2025-10-09T15:29:31"/>
    <n v="2.000683"/>
    <m/>
    <m/>
    <m/>
    <m/>
    <m/>
    <n v="159.35650375000114"/>
    <x v="0"/>
    <x v="4"/>
    <x v="0"/>
    <n v="197"/>
    <n v="149"/>
    <n v="0.75634517766497467"/>
    <n v="0.75634517766497467"/>
    <n v="1"/>
  </r>
  <r>
    <n v="1238505763"/>
    <s v="51.883.188/0001-02"/>
    <s v="Eduardo"/>
    <x v="2"/>
    <s v="Pipebot"/>
    <x v="435"/>
    <m/>
    <m/>
    <d v="2026-02-12T12:29:59"/>
    <d v="2026-02-13T12:30:18"/>
    <n v="1.0002200000000001"/>
    <d v="2025-10-27T18:16:20"/>
    <d v="2026-02-12T12:29:59"/>
    <n v="107.75816"/>
    <d v="2026-02-19T16:47:23"/>
    <m/>
    <n v="7.1905210000000004"/>
    <d v="2026-02-13T12:30:18"/>
    <d v="2026-02-13T16:00:00"/>
    <n v="0.14561299999999999"/>
    <d v="2026-02-13T16:00:00"/>
    <d v="2026-02-19T16:47:23"/>
    <n v="6.0329050000000004"/>
    <m/>
    <m/>
    <m/>
    <m/>
    <m/>
    <n v="132.20374267361331"/>
    <x v="0"/>
    <x v="6"/>
    <x v="0"/>
    <n v="195"/>
    <n v="132"/>
    <n v="0.67692307692307696"/>
    <n v="0.67692307692307696"/>
    <n v="1"/>
  </r>
  <r>
    <n v="1294319343"/>
    <s v="42.104.598/0001-09"/>
    <s v="Eduardo"/>
    <x v="3"/>
    <s v="Pipebot"/>
    <x v="436"/>
    <m/>
    <m/>
    <m/>
    <m/>
    <m/>
    <m/>
    <m/>
    <m/>
    <m/>
    <m/>
    <m/>
    <m/>
    <m/>
    <m/>
    <m/>
    <m/>
    <m/>
    <m/>
    <m/>
    <m/>
    <m/>
    <m/>
    <n v="20.393407430558"/>
    <x v="3"/>
    <x v="1"/>
    <x v="1"/>
    <n v="189"/>
    <n v="33"/>
    <n v="0.17460317460317459"/>
    <n v="0.17460317460317459"/>
    <n v="1"/>
  </r>
  <r>
    <n v="1172114292"/>
    <s v="42.794.483/0001-93"/>
    <s v="Eduardo bosio "/>
    <x v="0"/>
    <s v="Pipebot"/>
    <x v="437"/>
    <m/>
    <m/>
    <d v="2025-07-19T15:27:48"/>
    <d v="2025-07-20T15:28:02"/>
    <n v="1.0001500000000001"/>
    <d v="2025-07-24T15:28:57"/>
    <d v="2025-07-24T16:05:38"/>
    <n v="2.5475000000000001E-2"/>
    <d v="2025-07-24T16:05:38"/>
    <d v="2025-07-24T16:05:57"/>
    <n v="2.0799999999999999E-4"/>
    <d v="2025-07-20T15:28:02"/>
    <d v="2025-07-22T15:28:32"/>
    <n v="2.0003359999999999"/>
    <d v="2025-07-22T15:28:32"/>
    <d v="2025-07-24T15:28:57"/>
    <n v="2.000289"/>
    <m/>
    <m/>
    <m/>
    <m/>
    <m/>
    <n v="236.35591983797349"/>
    <x v="0"/>
    <x v="5"/>
    <x v="0"/>
    <n v="177"/>
    <n v="130"/>
    <n v="0.7344632768361582"/>
    <n v="0.7344632768361582"/>
    <n v="1"/>
  </r>
  <r>
    <n v="1264271761"/>
    <s v="43.222.475/0001-35"/>
    <s v="Eduardo Marinho"/>
    <x v="5"/>
    <s v="Pipebot"/>
    <x v="438"/>
    <m/>
    <m/>
    <d v="2025-12-18T19:08:51"/>
    <d v="2026-02-18T13:25:03"/>
    <n v="3.0228359999999999"/>
    <d v="2025-12-23T19:11:16"/>
    <d v="2026-02-16T12:52:59"/>
    <n v="54.737302999999997"/>
    <m/>
    <m/>
    <m/>
    <d v="2025-12-19T19:09:40"/>
    <d v="2026-02-19T12:27:39"/>
    <n v="2.9605670000000002"/>
    <d v="2025-12-21T19:10:18"/>
    <d v="2025-12-23T19:11:16"/>
    <n v="9.3715740000000007"/>
    <m/>
    <m/>
    <m/>
    <m/>
    <m/>
    <n v="84.202842199083534"/>
    <x v="0"/>
    <x v="7"/>
    <x v="0"/>
    <n v="207"/>
    <n v="140"/>
    <n v="0.67632850241545894"/>
    <n v="0.67632850241545894"/>
    <n v="1"/>
  </r>
  <r>
    <n v="1203231807"/>
    <s v="43.222.475/0001-35"/>
    <s v="Eduardo Marinho"/>
    <x v="5"/>
    <s v="Pipebot"/>
    <x v="439"/>
    <m/>
    <m/>
    <d v="2025-09-10T20:25:51"/>
    <d v="2026-02-12T12:26:09"/>
    <n v="1.6444909999999999"/>
    <d v="2025-09-15T20:27:19"/>
    <d v="2026-02-11T20:58:08"/>
    <n v="149.020231"/>
    <m/>
    <m/>
    <m/>
    <d v="2025-09-11T20:25:55"/>
    <d v="2026-02-13T15:59:52"/>
    <n v="3.1488999999999998"/>
    <d v="2025-09-13T20:26:37"/>
    <d v="2025-09-15T20:27:19"/>
    <n v="15.224005"/>
    <m/>
    <m/>
    <m/>
    <m/>
    <m/>
    <n v="183.14923949074"/>
    <x v="0"/>
    <x v="2"/>
    <x v="0"/>
    <n v="146"/>
    <n v="112"/>
    <n v="0.76712328767123283"/>
    <n v="0.76712328767123283"/>
    <n v="1"/>
  </r>
  <r>
    <n v="1267755615"/>
    <s v="48.962.107/0001-47"/>
    <s v="Eduardo scheck "/>
    <x v="0"/>
    <s v="Pipebot"/>
    <x v="440"/>
    <m/>
    <m/>
    <m/>
    <m/>
    <m/>
    <m/>
    <m/>
    <m/>
    <m/>
    <m/>
    <m/>
    <m/>
    <m/>
    <m/>
    <m/>
    <m/>
    <m/>
    <m/>
    <m/>
    <m/>
    <m/>
    <m/>
    <n v="76.170406192126393"/>
    <x v="0"/>
    <x v="7"/>
    <x v="0"/>
    <n v="207"/>
    <n v="140"/>
    <n v="0.67632850241545894"/>
    <n v="0.67632850241545894"/>
    <n v="1"/>
  </r>
  <r>
    <n v="1267302956"/>
    <s v="57.259.937/0001-01"/>
    <s v="Empório e mercado Rca"/>
    <x v="5"/>
    <s v="Pipebot"/>
    <x v="441"/>
    <m/>
    <m/>
    <d v="2025-12-25T22:08:24"/>
    <d v="2026-02-18T13:25:27"/>
    <n v="3.0225689999999998"/>
    <d v="2025-12-30T22:10:00"/>
    <d v="2026-02-16T12:53:34"/>
    <n v="47.613588"/>
    <m/>
    <m/>
    <m/>
    <d v="2025-12-26T22:09:02"/>
    <d v="2026-02-19T12:28:08"/>
    <n v="2.9605090000000001"/>
    <d v="2025-12-28T22:09:29"/>
    <d v="2025-12-30T22:10:00"/>
    <n v="9.3709140000000009"/>
    <m/>
    <m/>
    <m/>
    <m/>
    <m/>
    <n v="77.077942835647264"/>
    <x v="0"/>
    <x v="7"/>
    <x v="0"/>
    <n v="207"/>
    <n v="140"/>
    <n v="0.67632850241545894"/>
    <n v="0.67632850241545894"/>
    <n v="1"/>
  </r>
  <r>
    <n v="1301746253"/>
    <s v="56.962.522/0001-29"/>
    <s v="Eduardo Vieira de Paiva "/>
    <x v="7"/>
    <s v="Pipebot"/>
    <x v="442"/>
    <m/>
    <m/>
    <m/>
    <m/>
    <m/>
    <m/>
    <m/>
    <m/>
    <m/>
    <m/>
    <m/>
    <m/>
    <m/>
    <m/>
    <m/>
    <m/>
    <m/>
    <m/>
    <m/>
    <m/>
    <m/>
    <m/>
    <n v="3.2040677314798813"/>
    <x v="4"/>
    <x v="1"/>
    <x v="1"/>
    <n v="189"/>
    <n v="33"/>
    <n v="0.17460317460317459"/>
    <n v="0.17460317460317459"/>
    <n v="1"/>
  </r>
  <r>
    <n v="1297689628"/>
    <s v="56.962.522/0001-29"/>
    <s v="Eduardo Vieira de Paiva "/>
    <x v="7"/>
    <s v="Pipebot"/>
    <x v="443"/>
    <m/>
    <m/>
    <m/>
    <m/>
    <m/>
    <m/>
    <m/>
    <m/>
    <m/>
    <m/>
    <m/>
    <m/>
    <m/>
    <m/>
    <m/>
    <m/>
    <m/>
    <m/>
    <m/>
    <m/>
    <m/>
    <m/>
    <n v="13.204624004632933"/>
    <x v="4"/>
    <x v="1"/>
    <x v="1"/>
    <n v="189"/>
    <n v="33"/>
    <n v="0.17460317460317459"/>
    <n v="0.17460317460317459"/>
    <n v="1"/>
  </r>
  <r>
    <n v="1203231763"/>
    <s v="56.962.522/0001-29"/>
    <s v="Eduardo Vieira de Paiva "/>
    <x v="0"/>
    <s v="Pipebot"/>
    <x v="444"/>
    <m/>
    <m/>
    <d v="2025-09-10T20:25:51"/>
    <d v="2025-09-11T20:25:55"/>
    <n v="1.000046"/>
    <m/>
    <m/>
    <m/>
    <m/>
    <m/>
    <m/>
    <d v="2025-09-11T20:25:55"/>
    <d v="2025-09-13T20:26:37"/>
    <n v="2.000486"/>
    <d v="2025-09-13T20:26:37"/>
    <d v="2025-09-15T19:44:55"/>
    <n v="1.9710300000000001"/>
    <m/>
    <m/>
    <m/>
    <m/>
    <m/>
    <n v="183.14929177083832"/>
    <x v="0"/>
    <x v="2"/>
    <x v="0"/>
    <n v="146"/>
    <n v="112"/>
    <n v="0.76712328767123283"/>
    <n v="0.76712328767123283"/>
    <n v="1"/>
  </r>
  <r>
    <n v="1187232044"/>
    <s v="11.191.031/0001-93"/>
    <s v="Effe Market 11.191.031/0001-93"/>
    <x v="8"/>
    <s v="Pipebot"/>
    <x v="445"/>
    <m/>
    <m/>
    <d v="2025-08-15T20:26:31"/>
    <d v="2025-08-16T20:27:04"/>
    <n v="1.0003820000000001"/>
    <d v="2025-08-20T20:29:02"/>
    <d v="2025-10-29T19:39:31"/>
    <n v="69.965613000000005"/>
    <m/>
    <m/>
    <m/>
    <d v="2025-08-16T20:27:04"/>
    <d v="2025-08-18T20:28:09"/>
    <n v="2.0007519999999999"/>
    <d v="2025-08-18T20:28:09"/>
    <d v="2025-08-20T20:29:02"/>
    <n v="2.0006020000000002"/>
    <m/>
    <m/>
    <m/>
    <m/>
    <m/>
    <n v="209.14892067128676"/>
    <x v="0"/>
    <x v="2"/>
    <x v="0"/>
    <n v="146"/>
    <n v="112"/>
    <n v="0.76712328767123283"/>
    <n v="0.76712328767123283"/>
    <n v="1"/>
  </r>
  <r>
    <n v="1184493392"/>
    <s v="58.123.637/0001-55"/>
    <s v="Elaine Braz Da Silva "/>
    <x v="0"/>
    <s v="Pipebot"/>
    <x v="446"/>
    <m/>
    <m/>
    <d v="2025-08-11T15:27:05"/>
    <d v="2025-08-11T19:38:10"/>
    <n v="0.17435200000000001"/>
    <m/>
    <m/>
    <m/>
    <m/>
    <m/>
    <m/>
    <m/>
    <m/>
    <m/>
    <m/>
    <m/>
    <m/>
    <m/>
    <m/>
    <m/>
    <m/>
    <m/>
    <n v="213.35659263889102"/>
    <x v="0"/>
    <x v="5"/>
    <x v="0"/>
    <n v="177"/>
    <n v="130"/>
    <n v="0.7344632768361582"/>
    <n v="0.7344632768361582"/>
    <n v="1"/>
  </r>
  <r>
    <n v="1300237456"/>
    <s v="45.364.776/0001-29"/>
    <s v="Elaine Cristina Rea Bardela "/>
    <x v="7"/>
    <s v="Pipebot"/>
    <x v="447"/>
    <m/>
    <m/>
    <m/>
    <m/>
    <m/>
    <m/>
    <m/>
    <m/>
    <m/>
    <m/>
    <m/>
    <m/>
    <m/>
    <m/>
    <m/>
    <m/>
    <m/>
    <m/>
    <m/>
    <m/>
    <m/>
    <m/>
    <n v="6.3711376967476099"/>
    <x v="4"/>
    <x v="1"/>
    <x v="1"/>
    <n v="189"/>
    <n v="33"/>
    <n v="0.17460317460317459"/>
    <n v="0.17460317460317459"/>
    <n v="1"/>
  </r>
  <r>
    <n v="1229898797"/>
    <s v="54.556.797/0001-37"/>
    <s v="Eliana Silva Oliveira"/>
    <x v="0"/>
    <s v="Pipebot"/>
    <x v="448"/>
    <m/>
    <m/>
    <m/>
    <m/>
    <m/>
    <m/>
    <m/>
    <m/>
    <m/>
    <m/>
    <m/>
    <m/>
    <m/>
    <m/>
    <m/>
    <m/>
    <m/>
    <m/>
    <m/>
    <m/>
    <m/>
    <m/>
    <n v="142.14848106481077"/>
    <x v="0"/>
    <x v="6"/>
    <x v="0"/>
    <n v="195"/>
    <n v="132"/>
    <n v="0.67692307692307696"/>
    <n v="0.67692307692307696"/>
    <n v="1"/>
  </r>
  <r>
    <n v="1284174396"/>
    <s v="45.132.553/0001-36"/>
    <s v="Eliane Regina Campos Martins "/>
    <x v="0"/>
    <s v="Pipebot"/>
    <x v="449"/>
    <m/>
    <m/>
    <m/>
    <m/>
    <m/>
    <m/>
    <m/>
    <m/>
    <m/>
    <m/>
    <m/>
    <m/>
    <m/>
    <m/>
    <m/>
    <m/>
    <m/>
    <m/>
    <m/>
    <m/>
    <m/>
    <m/>
    <n v="38.080369942130346"/>
    <x v="2"/>
    <x v="3"/>
    <x v="1"/>
    <n v="223"/>
    <n v="147"/>
    <n v="0.65919282511210764"/>
    <n v="0.65919282511210764"/>
    <n v="1"/>
  </r>
  <r>
    <n v="1245632562"/>
    <s v="41.612.142/0001-97"/>
    <s v="Elias Guilherme Câmara Dias"/>
    <x v="5"/>
    <s v="Pipebot"/>
    <x v="450"/>
    <m/>
    <m/>
    <d v="2025-11-10T19:06:24"/>
    <d v="2026-02-16T12:51:14"/>
    <n v="3.867801"/>
    <d v="2025-11-15T19:07:38"/>
    <d v="2026-02-13T16:02:09"/>
    <n v="89.871191999999994"/>
    <m/>
    <m/>
    <m/>
    <d v="2025-11-11T19:06:57"/>
    <d v="2026-02-18T13:21:06"/>
    <n v="4.02081"/>
    <d v="2025-11-13T19:07:04"/>
    <d v="2025-11-15T19:07:38"/>
    <n v="10.334167000000001"/>
    <m/>
    <m/>
    <m/>
    <m/>
    <m/>
    <n v="122.20446012732282"/>
    <x v="0"/>
    <x v="6"/>
    <x v="0"/>
    <n v="195"/>
    <n v="132"/>
    <n v="0.67692307692307696"/>
    <n v="0.67692307692307696"/>
    <n v="1"/>
  </r>
  <r>
    <n v="1193712574"/>
    <s v="55.486.643/0001-89"/>
    <s v="Elisangela Pereira"/>
    <x v="0"/>
    <s v="Pipebot"/>
    <x v="451"/>
    <m/>
    <m/>
    <m/>
    <m/>
    <m/>
    <m/>
    <m/>
    <m/>
    <m/>
    <m/>
    <m/>
    <m/>
    <m/>
    <m/>
    <m/>
    <m/>
    <m/>
    <m/>
    <m/>
    <m/>
    <m/>
    <m/>
    <n v="198.35853505787236"/>
    <x v="0"/>
    <x v="2"/>
    <x v="0"/>
    <n v="146"/>
    <n v="112"/>
    <n v="0.76712328767123283"/>
    <n v="0.76712328767123283"/>
    <n v="1"/>
  </r>
  <r>
    <n v="1201525603"/>
    <s v="55.486.643/0001-89"/>
    <s v="Elisangela Pereira"/>
    <x v="0"/>
    <s v="Pipebot"/>
    <x v="452"/>
    <m/>
    <m/>
    <m/>
    <m/>
    <m/>
    <m/>
    <m/>
    <m/>
    <m/>
    <m/>
    <m/>
    <m/>
    <m/>
    <m/>
    <m/>
    <m/>
    <m/>
    <m/>
    <m/>
    <m/>
    <m/>
    <m/>
    <n v="185.35885827546008"/>
    <x v="0"/>
    <x v="2"/>
    <x v="0"/>
    <n v="146"/>
    <n v="112"/>
    <n v="0.76712328767123283"/>
    <n v="0.76712328767123283"/>
    <n v="1"/>
  </r>
  <r>
    <n v="1256934542"/>
    <s v="62.813.973/0001-05"/>
    <s v="Eliseu Rodrigues Filho"/>
    <x v="0"/>
    <s v="Pipebot"/>
    <x v="453"/>
    <m/>
    <m/>
    <d v="2025-12-03T15:04:57"/>
    <d v="2025-12-04T15:05:30"/>
    <n v="1.00037"/>
    <d v="2025-12-08T15:06:45"/>
    <d v="2025-12-19T14:33:30"/>
    <n v="10.97691"/>
    <m/>
    <m/>
    <m/>
    <d v="2025-12-04T15:05:30"/>
    <d v="2025-12-06T15:06:29"/>
    <n v="2.000683"/>
    <d v="2025-12-06T15:06:29"/>
    <d v="2025-12-08T15:06:45"/>
    <n v="2.0001739999999999"/>
    <m/>
    <m/>
    <m/>
    <m/>
    <m/>
    <n v="99.371618217599462"/>
    <x v="0"/>
    <x v="0"/>
    <x v="0"/>
    <n v="131"/>
    <n v="87"/>
    <n v="0.66412213740458015"/>
    <n v="0.66412213740458015"/>
    <n v="1"/>
  </r>
  <r>
    <n v="1259469553"/>
    <s v="49.875.310/0001-49"/>
    <s v="Elissandra"/>
    <x v="0"/>
    <s v="Pipebot"/>
    <x v="454"/>
    <m/>
    <m/>
    <d v="2025-12-09T18:54:55"/>
    <d v="2026-02-18T13:24:54"/>
    <n v="3.0226039999999998"/>
    <d v="2025-12-14T18:57:02"/>
    <d v="2026-02-16T12:52:52"/>
    <n v="63.747095000000002"/>
    <m/>
    <m/>
    <m/>
    <d v="2025-12-10T18:55:26"/>
    <d v="2026-02-19T12:27:30"/>
    <n v="2.9607749999999999"/>
    <d v="2025-12-12T18:56:23"/>
    <d v="2026-02-23T17:08:48"/>
    <n v="6.1957990000000001"/>
    <m/>
    <m/>
    <m/>
    <m/>
    <m/>
    <n v="93.212365486113413"/>
    <x v="0"/>
    <x v="0"/>
    <x v="0"/>
    <n v="131"/>
    <n v="87"/>
    <n v="0.66412213740458015"/>
    <n v="0.66412213740458015"/>
    <n v="1"/>
  </r>
  <r>
    <n v="1298847305"/>
    <s v="36.635.659/0001-61"/>
    <s v="Elite Market"/>
    <x v="7"/>
    <s v="Pipebot"/>
    <x v="455"/>
    <m/>
    <m/>
    <m/>
    <m/>
    <m/>
    <m/>
    <m/>
    <m/>
    <m/>
    <m/>
    <m/>
    <m/>
    <m/>
    <m/>
    <m/>
    <m/>
    <m/>
    <m/>
    <m/>
    <m/>
    <m/>
    <m/>
    <n v="8.371428645827109"/>
    <x v="4"/>
    <x v="1"/>
    <x v="1"/>
    <n v="189"/>
    <n v="33"/>
    <n v="0.17460317460317459"/>
    <n v="0.17460317460317459"/>
    <n v="1"/>
  </r>
  <r>
    <n v="1295383367"/>
    <s v="36.635.659/0001-61"/>
    <s v="Elite Market "/>
    <x v="5"/>
    <s v="Pipebot"/>
    <x v="456"/>
    <m/>
    <m/>
    <d v="2026-02-23T19:06:13"/>
    <d v="2026-02-24T19:07:05"/>
    <n v="1.000602"/>
    <m/>
    <m/>
    <m/>
    <m/>
    <m/>
    <m/>
    <d v="2026-02-24T19:07:05"/>
    <d v="2026-02-26T19:07:37"/>
    <n v="2.000359"/>
    <d v="2026-02-26T19:07:37"/>
    <m/>
    <n v="9.3136999999999998E-2"/>
    <m/>
    <m/>
    <m/>
    <m/>
    <m/>
    <n v="17.204736111110833"/>
    <x v="1"/>
    <x v="1"/>
    <x v="1"/>
    <n v="189"/>
    <n v="33"/>
    <n v="0.17460317460317459"/>
    <n v="0.17460317460317459"/>
    <n v="1"/>
  </r>
  <r>
    <n v="1284993548"/>
    <s v="58.501.916/0001-05"/>
    <s v="ELITON BEZERRA - upgrade de totem"/>
    <x v="0"/>
    <s v="Pipebot"/>
    <x v="457"/>
    <m/>
    <m/>
    <m/>
    <m/>
    <m/>
    <m/>
    <m/>
    <m/>
    <m/>
    <m/>
    <m/>
    <m/>
    <m/>
    <m/>
    <m/>
    <m/>
    <m/>
    <m/>
    <m/>
    <m/>
    <m/>
    <m/>
    <n v="36.447656770833419"/>
    <x v="2"/>
    <x v="3"/>
    <x v="1"/>
    <n v="223"/>
    <n v="147"/>
    <n v="0.65919282511210764"/>
    <n v="0.65919282511210764"/>
    <n v="1"/>
  </r>
  <r>
    <n v="1246331375"/>
    <s v="62.137.820/0001-87"/>
    <s v="Elizabeth Cristina Silva da Costa"/>
    <x v="0"/>
    <s v="Pipebot"/>
    <x v="458"/>
    <m/>
    <m/>
    <m/>
    <m/>
    <m/>
    <m/>
    <m/>
    <m/>
    <m/>
    <m/>
    <m/>
    <m/>
    <m/>
    <m/>
    <m/>
    <m/>
    <m/>
    <m/>
    <m/>
    <m/>
    <m/>
    <m/>
    <n v="121.20585004630266"/>
    <x v="0"/>
    <x v="6"/>
    <x v="0"/>
    <n v="195"/>
    <n v="132"/>
    <n v="0.67692307692307696"/>
    <n v="0.67692307692307696"/>
    <n v="1"/>
  </r>
  <r>
    <n v="1182800751"/>
    <s v="60.718.759/0001-36"/>
    <s v="Elizângela Mourão Saraiva"/>
    <x v="0"/>
    <s v="Pipebot"/>
    <x v="459"/>
    <m/>
    <m/>
    <m/>
    <m/>
    <m/>
    <m/>
    <m/>
    <m/>
    <m/>
    <m/>
    <m/>
    <m/>
    <m/>
    <m/>
    <m/>
    <m/>
    <m/>
    <m/>
    <m/>
    <m/>
    <m/>
    <m/>
    <n v="217.14815753472794"/>
    <x v="0"/>
    <x v="5"/>
    <x v="0"/>
    <n v="177"/>
    <n v="130"/>
    <n v="0.7344632768361582"/>
    <n v="0.7344632768361582"/>
    <n v="1"/>
  </r>
  <r>
    <n v="1260496157"/>
    <s v="45.459.887/0001-19"/>
    <s v="Ellen Diana De Freitas "/>
    <x v="0"/>
    <s v="Pipebot"/>
    <x v="460"/>
    <m/>
    <m/>
    <m/>
    <m/>
    <m/>
    <m/>
    <m/>
    <m/>
    <m/>
    <m/>
    <m/>
    <m/>
    <m/>
    <m/>
    <m/>
    <m/>
    <m/>
    <m/>
    <m/>
    <m/>
    <m/>
    <m/>
    <n v="91.203302141213499"/>
    <x v="0"/>
    <x v="0"/>
    <x v="0"/>
    <n v="131"/>
    <n v="87"/>
    <n v="0.66412213740458015"/>
    <n v="0.66412213740458015"/>
    <n v="1"/>
  </r>
  <r>
    <n v="1205877718"/>
    <s v="43.680.661/0001-18"/>
    <s v="ELTON DOUGLAS ROCHA SILVA"/>
    <x v="5"/>
    <s v="Pipebot"/>
    <x v="461"/>
    <m/>
    <m/>
    <d v="2025-09-15T15:25:58"/>
    <d v="2026-02-12T12:26:12"/>
    <n v="1.6447449999999999"/>
    <d v="2025-09-20T15:27:52"/>
    <d v="2026-02-11T20:58:12"/>
    <n v="144.229398"/>
    <m/>
    <m/>
    <m/>
    <d v="2025-09-16T15:26:25"/>
    <d v="2026-02-13T15:59:54"/>
    <n v="3.1489579999999999"/>
    <d v="2025-09-18T15:27:13"/>
    <d v="2025-09-20T15:27:52"/>
    <n v="15.223947000000001"/>
    <m/>
    <m/>
    <m/>
    <m/>
    <m/>
    <n v="178.35704206018272"/>
    <x v="0"/>
    <x v="4"/>
    <x v="0"/>
    <n v="197"/>
    <n v="149"/>
    <n v="0.75634517766497467"/>
    <n v="0.75634517766497467"/>
    <n v="1"/>
  </r>
  <r>
    <n v="1247641167"/>
    <s v="62.860.219/0001-18"/>
    <s v="Elton Souza Viana "/>
    <x v="5"/>
    <s v="Pipebot"/>
    <x v="462"/>
    <m/>
    <m/>
    <d v="2025-11-13T19:05:04"/>
    <d v="2026-02-16T12:51:18"/>
    <n v="3.8675229999999998"/>
    <d v="2025-11-18T19:06:41"/>
    <d v="2026-02-13T16:02:13"/>
    <n v="86.871898000000002"/>
    <m/>
    <m/>
    <m/>
    <d v="2025-11-14T19:05:15"/>
    <d v="2026-02-18T13:21:11"/>
    <n v="4.0214350000000003"/>
    <d v="2025-11-16T19:06:13"/>
    <d v="2025-11-18T19:06:41"/>
    <n v="10.334039000000001"/>
    <m/>
    <m/>
    <m/>
    <m/>
    <m/>
    <n v="119.2053905439825"/>
    <x v="0"/>
    <x v="6"/>
    <x v="0"/>
    <n v="195"/>
    <n v="132"/>
    <n v="0.67692307692307696"/>
    <n v="0.67692307692307696"/>
    <n v="1"/>
  </r>
  <r>
    <n v="1258054900"/>
    <s v="34.515.695/0001-66"/>
    <s v="Elyson Sotti Panhan"/>
    <x v="0"/>
    <s v="Pipebot"/>
    <x v="463"/>
    <m/>
    <m/>
    <d v="2025-12-05T22:06:36"/>
    <d v="2025-12-06T22:07:28"/>
    <n v="1.0005900000000001"/>
    <d v="2025-12-10T22:08:44"/>
    <d v="2026-01-09T13:34:27"/>
    <n v="29.642847"/>
    <m/>
    <m/>
    <m/>
    <d v="2025-12-06T22:07:28"/>
    <d v="2025-12-08T22:08:01"/>
    <n v="2.0003700000000002"/>
    <d v="2025-12-08T22:08:01"/>
    <d v="2025-12-10T22:08:44"/>
    <n v="2.0004979999999999"/>
    <m/>
    <m/>
    <m/>
    <m/>
    <m/>
    <n v="97.079438599539571"/>
    <x v="0"/>
    <x v="0"/>
    <x v="0"/>
    <n v="131"/>
    <n v="87"/>
    <n v="0.66412213740458015"/>
    <n v="0.66412213740458015"/>
    <n v="1"/>
  </r>
  <r>
    <n v="1216567854"/>
    <s v="52.650.057/0001-30"/>
    <s v="Emerson D'Aveiro"/>
    <x v="0"/>
    <s v="Pipebot"/>
    <x v="464"/>
    <m/>
    <m/>
    <m/>
    <m/>
    <m/>
    <m/>
    <m/>
    <m/>
    <m/>
    <m/>
    <m/>
    <m/>
    <m/>
    <m/>
    <m/>
    <m/>
    <m/>
    <m/>
    <m/>
    <m/>
    <m/>
    <m/>
    <n v="161.39524701389018"/>
    <x v="0"/>
    <x v="4"/>
    <x v="0"/>
    <n v="197"/>
    <n v="149"/>
    <n v="0.75634517766497467"/>
    <n v="0.75634517766497467"/>
    <n v="1"/>
  </r>
  <r>
    <n v="1286720114"/>
    <s v="51.828.104/0001-20"/>
    <s v="Emerson de Melo Santos - moderninha V3"/>
    <x v="5"/>
    <s v="Pipebot"/>
    <x v="465"/>
    <m/>
    <m/>
    <d v="2026-02-06T19:05:32"/>
    <d v="2026-02-20T16:52:34"/>
    <n v="2.1743169999999998"/>
    <d v="2026-02-10T13:05:50"/>
    <d v="2026-02-19T12:42:18"/>
    <n v="8.9836569999999991"/>
    <m/>
    <m/>
    <m/>
    <d v="2026-02-07T19:06:18"/>
    <d v="2026-02-23T13:32:47"/>
    <n v="4.8618870000000003"/>
    <d v="2026-02-09T19:07:13"/>
    <d v="2026-02-10T13:05:50"/>
    <n v="4.0746989999999998"/>
    <m/>
    <m/>
    <m/>
    <m/>
    <m/>
    <n v="34.204814409720711"/>
    <x v="2"/>
    <x v="3"/>
    <x v="1"/>
    <n v="223"/>
    <n v="147"/>
    <n v="0.65919282511210764"/>
    <n v="0.65919282511210764"/>
    <n v="1"/>
  </r>
  <r>
    <n v="1282981661"/>
    <s v="58.861.065/0001-01"/>
    <s v="Emerson Gonçalves Parente (Três travas e módulo) - acionado sofia 05/02"/>
    <x v="3"/>
    <s v="Pipebot"/>
    <x v="466"/>
    <m/>
    <m/>
    <d v="2026-01-30T19:04:20"/>
    <d v="2026-01-31T19:04:55"/>
    <n v="1.000394"/>
    <d v="2026-02-04T19:06:38"/>
    <d v="2026-02-18T16:59:10"/>
    <n v="13.911481"/>
    <m/>
    <m/>
    <m/>
    <d v="2026-01-31T19:04:55"/>
    <d v="2026-02-02T19:05:42"/>
    <n v="2.0005320000000002"/>
    <d v="2026-02-02T19:05:42"/>
    <d v="2026-02-04T19:06:38"/>
    <n v="2.000648"/>
    <m/>
    <m/>
    <m/>
    <m/>
    <m/>
    <n v="41.205679467588197"/>
    <x v="2"/>
    <x v="3"/>
    <x v="1"/>
    <n v="223"/>
    <n v="147"/>
    <n v="0.65919282511210764"/>
    <n v="0.65919282511210764"/>
    <n v="1"/>
  </r>
  <r>
    <n v="1190370174"/>
    <s v="54.793.501/0001-00"/>
    <s v="Empório D’Rita"/>
    <x v="0"/>
    <s v="Pipebot"/>
    <x v="467"/>
    <m/>
    <m/>
    <m/>
    <m/>
    <m/>
    <m/>
    <m/>
    <m/>
    <m/>
    <m/>
    <m/>
    <m/>
    <m/>
    <m/>
    <m/>
    <m/>
    <m/>
    <m/>
    <m/>
    <m/>
    <m/>
    <m/>
    <n v="203.26774131944694"/>
    <x v="0"/>
    <x v="2"/>
    <x v="0"/>
    <n v="146"/>
    <n v="112"/>
    <n v="0.76712328767123283"/>
    <n v="0.76712328767123283"/>
    <n v="1"/>
  </r>
  <r>
    <n v="1271278297"/>
    <s v="57.259.937/0001-01"/>
    <s v="Empório rac - SEDEX 12"/>
    <x v="0"/>
    <s v="Pipebot"/>
    <x v="468"/>
    <m/>
    <m/>
    <d v="2026-01-05T13:11:26"/>
    <d v="2026-01-06T13:12:24"/>
    <n v="1.0006600000000001"/>
    <m/>
    <m/>
    <m/>
    <m/>
    <m/>
    <m/>
    <d v="2026-01-06T13:12:24"/>
    <d v="2026-01-08T13:12:52"/>
    <n v="2.0003129999999998"/>
    <d v="2026-01-08T13:12:52"/>
    <d v="2026-01-09T13:19:57"/>
    <n v="1.004907"/>
    <m/>
    <m/>
    <m/>
    <m/>
    <m/>
    <n v="66.451071793977462"/>
    <x v="0"/>
    <x v="7"/>
    <x v="0"/>
    <n v="207"/>
    <n v="140"/>
    <n v="0.67632850241545894"/>
    <n v="0.67632850241545894"/>
    <n v="1"/>
  </r>
  <r>
    <n v="1267729278"/>
    <s v="62.045.039/0001-82"/>
    <s v="Erika Costa"/>
    <x v="0"/>
    <s v="Pipebot"/>
    <x v="469"/>
    <m/>
    <m/>
    <d v="2025-12-26T19:11:04"/>
    <d v="2025-12-27T19:11:49"/>
    <n v="1.000521"/>
    <d v="2025-12-31T19:13:15"/>
    <d v="2026-01-16T13:06:19"/>
    <n v="15.745174"/>
    <m/>
    <m/>
    <m/>
    <d v="2025-12-27T19:11:50"/>
    <d v="2025-12-29T19:12:20"/>
    <n v="2.0003470000000001"/>
    <d v="2025-12-29T19:12:20"/>
    <d v="2025-12-31T19:13:15"/>
    <n v="2.0006370000000002"/>
    <m/>
    <m/>
    <m/>
    <m/>
    <m/>
    <n v="76.201179085648619"/>
    <x v="0"/>
    <x v="7"/>
    <x v="0"/>
    <n v="207"/>
    <n v="140"/>
    <n v="0.67632850241545894"/>
    <n v="0.67632850241545894"/>
    <n v="1"/>
  </r>
  <r>
    <n v="1280350802"/>
    <s v="57.259.937/0001-01"/>
    <s v="Empório rac - Urgente, loja aberta, Sedex 12"/>
    <x v="0"/>
    <s v="Pipebot"/>
    <x v="470"/>
    <m/>
    <m/>
    <m/>
    <m/>
    <m/>
    <m/>
    <m/>
    <m/>
    <m/>
    <m/>
    <m/>
    <m/>
    <m/>
    <m/>
    <m/>
    <m/>
    <m/>
    <m/>
    <m/>
    <m/>
    <m/>
    <m/>
    <n v="45.431355960652581"/>
    <x v="2"/>
    <x v="3"/>
    <x v="1"/>
    <n v="223"/>
    <n v="147"/>
    <n v="0.65919282511210764"/>
    <n v="0.65919282511210764"/>
    <n v="1"/>
  </r>
  <r>
    <n v="1207657251"/>
    <s v="46.618.249/0001-66"/>
    <s v="empreendimentos bonini"/>
    <x v="0"/>
    <s v="Pipebot"/>
    <x v="471"/>
    <m/>
    <m/>
    <d v="2025-09-17T20:28:03"/>
    <d v="2025-09-18T20:28:41"/>
    <n v="1.0004280000000001"/>
    <d v="2025-09-22T20:29:51"/>
    <d v="2025-09-24T20:49:28"/>
    <n v="2.013611"/>
    <m/>
    <m/>
    <m/>
    <d v="2025-09-18T20:28:41"/>
    <d v="2025-09-20T20:28:52"/>
    <n v="2.000127"/>
    <d v="2025-09-20T20:28:53"/>
    <d v="2025-09-22T20:29:51"/>
    <n v="2.0006710000000001"/>
    <m/>
    <m/>
    <m/>
    <m/>
    <m/>
    <n v="176.14786372685194"/>
    <x v="0"/>
    <x v="4"/>
    <x v="0"/>
    <n v="197"/>
    <n v="149"/>
    <n v="0.75634517766497467"/>
    <n v="0.75634517766497467"/>
    <n v="1"/>
  </r>
  <r>
    <n v="1234611406"/>
    <s v="39.575.110/0001-17"/>
    <s v="Eriberto"/>
    <x v="5"/>
    <s v="Pipebot"/>
    <x v="472"/>
    <m/>
    <m/>
    <d v="2025-10-27T22:04:59"/>
    <d v="2026-02-13T16:01:05"/>
    <n v="2.1471179999999999"/>
    <d v="2025-11-01T22:06:57"/>
    <d v="2026-02-12T12:29:57"/>
    <n v="102.599294"/>
    <m/>
    <m/>
    <m/>
    <d v="2025-10-28T22:05:43"/>
    <d v="2026-02-16T12:50:15"/>
    <n v="4.8682059999999998"/>
    <d v="2025-10-30T22:06:47"/>
    <d v="2025-11-01T22:06:57"/>
    <n v="12.355324"/>
    <m/>
    <m/>
    <m/>
    <m/>
    <m/>
    <n v="136.08061063657806"/>
    <x v="0"/>
    <x v="6"/>
    <x v="0"/>
    <n v="195"/>
    <n v="132"/>
    <n v="0.67692307692307696"/>
    <n v="0.67692307692307696"/>
    <n v="1"/>
  </r>
  <r>
    <n v="1229140466"/>
    <s v="39.575.110/0001-17"/>
    <s v="Eriberto Frozza"/>
    <x v="5"/>
    <s v="Pipebot"/>
    <x v="473"/>
    <m/>
    <m/>
    <d v="2025-10-20T20:24:56"/>
    <d v="2026-02-13T16:00:51"/>
    <n v="2.146944"/>
    <d v="2025-10-25T20:26:49"/>
    <d v="2026-02-12T12:29:50"/>
    <n v="109.66875"/>
    <m/>
    <m/>
    <m/>
    <d v="2025-10-21T20:25:32"/>
    <d v="2026-02-16T12:49:12"/>
    <n v="4.8671639999999998"/>
    <d v="2025-10-23T20:25:54"/>
    <d v="2025-10-25T20:26:49"/>
    <n v="12.356563"/>
    <m/>
    <m/>
    <m/>
    <m/>
    <m/>
    <n v="143.14943466435216"/>
    <x v="0"/>
    <x v="6"/>
    <x v="0"/>
    <n v="195"/>
    <n v="132"/>
    <n v="0.67692307692307696"/>
    <n v="0.67692307692307696"/>
    <n v="1"/>
  </r>
  <r>
    <n v="1217451618"/>
    <s v="48.561.795/0001-33"/>
    <s v="Erico Umezu"/>
    <x v="8"/>
    <s v="Pipebot"/>
    <x v="474"/>
    <m/>
    <m/>
    <d v="2025-10-03T20:26:47"/>
    <d v="2025-10-04T20:27:30"/>
    <n v="1.000486"/>
    <d v="2025-10-08T20:28:18"/>
    <d v="2025-11-03T18:44:30"/>
    <n v="25.927904999999999"/>
    <m/>
    <m/>
    <m/>
    <d v="2025-10-04T20:27:30"/>
    <d v="2025-10-06T20:27:38"/>
    <n v="2.0000930000000001"/>
    <d v="2025-10-06T20:27:39"/>
    <d v="2025-10-08T20:28:18"/>
    <n v="2.000451"/>
    <m/>
    <m/>
    <m/>
    <m/>
    <m/>
    <n v="160.14824526620214"/>
    <x v="0"/>
    <x v="4"/>
    <x v="0"/>
    <n v="197"/>
    <n v="149"/>
    <n v="0.75634517766497467"/>
    <n v="0.75634517766497467"/>
    <n v="1"/>
  </r>
  <r>
    <n v="1266538773"/>
    <s v="58.804.552/0001-32"/>
    <s v="Everlin Aparecida de Oliveira "/>
    <x v="0"/>
    <s v="Pipebot"/>
    <x v="475"/>
    <m/>
    <m/>
    <d v="2025-12-24T15:05:52"/>
    <d v="2025-12-25T15:06:44"/>
    <n v="1.0005900000000001"/>
    <d v="2025-12-29T15:06:59"/>
    <d v="2026-01-09T12:00:42"/>
    <n v="10.870637"/>
    <m/>
    <m/>
    <m/>
    <d v="2025-12-25T15:06:44"/>
    <d v="2025-12-27T15:06:51"/>
    <n v="2.0000689999999999"/>
    <d v="2025-12-27T15:06:51"/>
    <d v="2025-12-29T15:06:59"/>
    <n v="2.0000810000000002"/>
    <m/>
    <m/>
    <m/>
    <m/>
    <m/>
    <n v="78.37158287037164"/>
    <x v="0"/>
    <x v="7"/>
    <x v="0"/>
    <n v="207"/>
    <n v="140"/>
    <n v="0.67632850241545894"/>
    <n v="0.67632850241545894"/>
    <n v="1"/>
  </r>
  <r>
    <n v="1278476623"/>
    <s v="62.045.039/0001-82"/>
    <s v="Erika Costa"/>
    <x v="0"/>
    <s v="Pipebot"/>
    <x v="476"/>
    <m/>
    <m/>
    <d v="2026-01-21T22:06:10"/>
    <d v="2026-01-22T22:06:36"/>
    <n v="1.000289"/>
    <d v="2026-01-26T22:07:23"/>
    <d v="2026-02-05T16:01:11"/>
    <n v="9.7456829999999997"/>
    <m/>
    <m/>
    <m/>
    <d v="2026-01-22T22:06:36"/>
    <d v="2026-01-24T22:07:15"/>
    <n v="2.000451"/>
    <d v="2026-01-24T22:07:15"/>
    <d v="2026-01-26T22:07:23"/>
    <n v="2.0000930000000001"/>
    <m/>
    <m/>
    <m/>
    <m/>
    <m/>
    <n v="50.079174293976394"/>
    <x v="2"/>
    <x v="3"/>
    <x v="1"/>
    <n v="223"/>
    <n v="147"/>
    <n v="0.65919282511210764"/>
    <n v="0.65919282511210764"/>
    <n v="1"/>
  </r>
  <r>
    <n v="1299909020"/>
    <s v="54.795.435/0001-07"/>
    <s v="Erisvaldo Peixoto dos Santos "/>
    <x v="7"/>
    <s v="Pipebot"/>
    <x v="477"/>
    <m/>
    <m/>
    <m/>
    <m/>
    <m/>
    <m/>
    <m/>
    <m/>
    <m/>
    <m/>
    <m/>
    <m/>
    <m/>
    <m/>
    <m/>
    <m/>
    <m/>
    <m/>
    <m/>
    <m/>
    <m/>
    <m/>
    <n v="7.0792083449123311"/>
    <x v="4"/>
    <x v="1"/>
    <x v="1"/>
    <n v="189"/>
    <n v="33"/>
    <n v="0.17460317460317459"/>
    <n v="0.17460317460317459"/>
    <n v="1"/>
  </r>
  <r>
    <n v="1246141180"/>
    <s v="55.016.568/0001-92"/>
    <s v="ESTHER FILOMENA ISRAEL SANTANA ROSÁRIO "/>
    <x v="0"/>
    <s v="Pipebot"/>
    <x v="478"/>
    <m/>
    <m/>
    <d v="2025-11-11T15:03:20"/>
    <d v="2025-11-12T15:04:14"/>
    <n v="1.0006250000000001"/>
    <d v="2025-11-16T15:06:18"/>
    <d v="2025-12-10T18:02:19"/>
    <n v="24.122233999999999"/>
    <m/>
    <m/>
    <m/>
    <d v="2025-11-12T15:04:14"/>
    <d v="2025-11-14T15:05:17"/>
    <n v="2.0007290000000002"/>
    <d v="2025-11-14T15:05:17"/>
    <d v="2025-11-16T15:06:18"/>
    <n v="2.0006940000000002"/>
    <m/>
    <m/>
    <m/>
    <m/>
    <m/>
    <n v="121.37317357638676"/>
    <x v="0"/>
    <x v="6"/>
    <x v="0"/>
    <n v="195"/>
    <n v="132"/>
    <n v="0.67692307692307696"/>
    <n v="0.67692307692307696"/>
    <n v="1"/>
  </r>
  <r>
    <n v="1171784043"/>
    <s v="29.756.300/0001-87"/>
    <s v="Euna Rodrigues Monteiro Andrade"/>
    <x v="0"/>
    <s v="Pipebot"/>
    <x v="479"/>
    <m/>
    <m/>
    <d v="2025-07-18T15:26:42"/>
    <d v="2025-07-19T15:26:48"/>
    <n v="1.0000579999999999"/>
    <m/>
    <m/>
    <m/>
    <m/>
    <m/>
    <m/>
    <d v="2025-07-19T15:26:48"/>
    <d v="2025-07-21T15:27:09"/>
    <n v="2.0002430000000002"/>
    <d v="2025-07-21T15:27:09"/>
    <d v="2025-07-21T20:19:43"/>
    <n v="0.20316000000000001"/>
    <m/>
    <m/>
    <m/>
    <m/>
    <m/>
    <n v="237.35708704860735"/>
    <x v="0"/>
    <x v="5"/>
    <x v="0"/>
    <n v="177"/>
    <n v="130"/>
    <n v="0.7344632768361582"/>
    <n v="0.7344632768361582"/>
    <n v="1"/>
  </r>
  <r>
    <n v="1172781311"/>
    <s v="29.756.300/0001-87"/>
    <s v="Euna Rodrigues Monteiro Andrade"/>
    <x v="0"/>
    <s v="Pipebot"/>
    <x v="480"/>
    <m/>
    <m/>
    <m/>
    <m/>
    <m/>
    <m/>
    <m/>
    <m/>
    <m/>
    <m/>
    <m/>
    <m/>
    <m/>
    <m/>
    <m/>
    <m/>
    <m/>
    <m/>
    <m/>
    <m/>
    <m/>
    <m/>
    <n v="234.14845706018241"/>
    <x v="0"/>
    <x v="5"/>
    <x v="0"/>
    <n v="177"/>
    <n v="130"/>
    <n v="0.7344632768361582"/>
    <n v="0.7344632768361582"/>
    <n v="1"/>
  </r>
  <r>
    <n v="1237689948"/>
    <s v="26.855.008/0001-23"/>
    <s v="Evandro Nunes da Costa "/>
    <x v="0"/>
    <s v="Pipebot"/>
    <x v="481"/>
    <m/>
    <m/>
    <m/>
    <m/>
    <m/>
    <m/>
    <m/>
    <m/>
    <m/>
    <m/>
    <m/>
    <m/>
    <m/>
    <m/>
    <m/>
    <m/>
    <m/>
    <m/>
    <m/>
    <m/>
    <m/>
    <m/>
    <n v="133.20469061342737"/>
    <x v="0"/>
    <x v="6"/>
    <x v="0"/>
    <n v="195"/>
    <n v="132"/>
    <n v="0.67692307692307696"/>
    <n v="0.67692307692307696"/>
    <n v="1"/>
  </r>
  <r>
    <n v="1271278533"/>
    <s v="57.123.012/0001-20"/>
    <s v="Fábio Rogerio Cardoso "/>
    <x v="0"/>
    <s v="Pipebot"/>
    <x v="482"/>
    <m/>
    <m/>
    <d v="2026-01-05T13:11:28"/>
    <d v="2026-01-06T13:12:24"/>
    <n v="1.000637"/>
    <d v="2026-01-10T13:13:12"/>
    <d v="2026-01-15T16:53:13"/>
    <n v="5.1527779999999996"/>
    <m/>
    <m/>
    <m/>
    <d v="2026-01-06T13:12:24"/>
    <d v="2026-01-08T13:12:50"/>
    <n v="2.0003009999999999"/>
    <d v="2026-01-08T13:12:50"/>
    <d v="2026-01-10T13:13:12"/>
    <n v="2.0002430000000002"/>
    <m/>
    <m/>
    <m/>
    <m/>
    <m/>
    <n v="66.450723634261522"/>
    <x v="0"/>
    <x v="7"/>
    <x v="0"/>
    <n v="207"/>
    <n v="140"/>
    <n v="0.67632850241545894"/>
    <n v="0.67632850241545894"/>
    <n v="1"/>
  </r>
  <r>
    <n v="1276525041"/>
    <s v="38.210.452/0001-70"/>
    <s v="F H SANCHEZ MINIMERCADO"/>
    <x v="0"/>
    <s v="Pipebot"/>
    <x v="483"/>
    <m/>
    <m/>
    <d v="2026-01-19T19:05:14"/>
    <d v="2026-01-20T19:05:50"/>
    <n v="1.0004169999999999"/>
    <m/>
    <m/>
    <m/>
    <m/>
    <m/>
    <m/>
    <d v="2026-01-20T19:05:50"/>
    <d v="2026-01-21T16:01:00"/>
    <n v="0.87163199999999996"/>
    <m/>
    <m/>
    <m/>
    <m/>
    <m/>
    <m/>
    <m/>
    <m/>
    <n v="52.205274768522941"/>
    <x v="2"/>
    <x v="3"/>
    <x v="1"/>
    <n v="223"/>
    <n v="147"/>
    <n v="0.65919282511210764"/>
    <n v="0.65919282511210764"/>
    <n v="1"/>
  </r>
  <r>
    <n v="1216186053"/>
    <s v="38.210.452/0001-70"/>
    <s v="F H SANCHEZ MINIMERCADO"/>
    <x v="0"/>
    <s v="Pipebot"/>
    <x v="484"/>
    <m/>
    <m/>
    <d v="2025-10-01T20:26:54"/>
    <d v="2025-10-02T20:27:43"/>
    <n v="1.000556"/>
    <m/>
    <m/>
    <m/>
    <m/>
    <m/>
    <m/>
    <d v="2025-10-02T20:27:43"/>
    <d v="2025-10-04T20:28:30"/>
    <n v="2.0005320000000002"/>
    <d v="2025-10-04T20:28:30"/>
    <d v="2025-10-06T20:24:12"/>
    <n v="1.9970140000000001"/>
    <m/>
    <m/>
    <m/>
    <m/>
    <m/>
    <n v="162.14826975693722"/>
    <x v="0"/>
    <x v="4"/>
    <x v="0"/>
    <n v="197"/>
    <n v="149"/>
    <n v="0.75634517766497467"/>
    <n v="0.75634517766497467"/>
    <n v="1"/>
  </r>
  <r>
    <n v="1201803816"/>
    <s v="38.210.452/0001-70"/>
    <s v="F H SANCHEZ MINIMERCADO"/>
    <x v="0"/>
    <s v="Pipebot"/>
    <x v="485"/>
    <m/>
    <m/>
    <m/>
    <m/>
    <m/>
    <m/>
    <m/>
    <m/>
    <m/>
    <m/>
    <m/>
    <m/>
    <m/>
    <m/>
    <m/>
    <m/>
    <m/>
    <m/>
    <m/>
    <m/>
    <m/>
    <m/>
    <n v="185.14930745369929"/>
    <x v="0"/>
    <x v="2"/>
    <x v="0"/>
    <n v="146"/>
    <n v="112"/>
    <n v="0.76712328767123283"/>
    <n v="0.76712328767123283"/>
    <n v="1"/>
  </r>
  <r>
    <n v="1293443360"/>
    <s v="38.210.452/0001-70"/>
    <s v="F H SANCHEZ MINIMERCADO "/>
    <x v="5"/>
    <s v="Pipebot"/>
    <x v="486"/>
    <m/>
    <m/>
    <d v="2026-02-18T22:04:39"/>
    <d v="2026-02-19T12:36:10"/>
    <n v="0.60521999999999998"/>
    <m/>
    <m/>
    <m/>
    <m/>
    <m/>
    <m/>
    <d v="2026-02-19T12:36:11"/>
    <d v="2026-02-20T16:50:28"/>
    <n v="1.1765859999999999"/>
    <d v="2026-02-20T16:50:28"/>
    <m/>
    <n v="6.1883910000000002"/>
    <m/>
    <m/>
    <m/>
    <m/>
    <m/>
    <n v="22.080388726863021"/>
    <x v="3"/>
    <x v="1"/>
    <x v="1"/>
    <n v="189"/>
    <n v="33"/>
    <n v="0.17460317460317459"/>
    <n v="0.17460317460317459"/>
    <n v="1"/>
  </r>
  <r>
    <n v="1182151464"/>
    <s v="38.210.452/0001-70"/>
    <s v="F H SANCHEZ MINIMERCADO "/>
    <x v="0"/>
    <s v="Pipebot"/>
    <x v="487"/>
    <m/>
    <m/>
    <m/>
    <m/>
    <m/>
    <m/>
    <m/>
    <m/>
    <m/>
    <m/>
    <m/>
    <m/>
    <m/>
    <m/>
    <m/>
    <m/>
    <m/>
    <m/>
    <m/>
    <m/>
    <m/>
    <m/>
    <n v="218.14785223379295"/>
    <x v="0"/>
    <x v="5"/>
    <x v="0"/>
    <n v="177"/>
    <n v="130"/>
    <n v="0.7344632768361582"/>
    <n v="0.7344632768361582"/>
    <n v="1"/>
  </r>
  <r>
    <n v="1223941996"/>
    <s v="38.210.452/0001-70"/>
    <s v="F H SANCHEZ MINIMERCADO "/>
    <x v="8"/>
    <s v="Pipebot"/>
    <x v="488"/>
    <m/>
    <m/>
    <d v="2025-10-13T20:27:41"/>
    <d v="2025-10-14T20:28:19"/>
    <n v="1.0004280000000001"/>
    <d v="2025-10-18T20:29:52"/>
    <d v="2025-10-29T19:39:48"/>
    <n v="10.96522"/>
    <m/>
    <m/>
    <m/>
    <d v="2025-10-14T20:28:19"/>
    <d v="2025-10-16T20:28:53"/>
    <n v="2.0003820000000001"/>
    <d v="2025-10-16T20:28:53"/>
    <d v="2025-10-18T20:29:52"/>
    <n v="2.000683"/>
    <m/>
    <m/>
    <m/>
    <m/>
    <m/>
    <n v="150.14818998841656"/>
    <x v="0"/>
    <x v="4"/>
    <x v="0"/>
    <n v="197"/>
    <n v="149"/>
    <n v="0.75634517766497467"/>
    <n v="0.75634517766497467"/>
    <n v="1"/>
  </r>
  <r>
    <n v="1293188768"/>
    <s v="38.210.452/0001-70"/>
    <s v="F H SANCHEZ MINIMERCADO "/>
    <x v="0"/>
    <s v="Pipebot"/>
    <x v="489"/>
    <m/>
    <m/>
    <m/>
    <m/>
    <m/>
    <m/>
    <m/>
    <m/>
    <m/>
    <m/>
    <m/>
    <m/>
    <m/>
    <m/>
    <m/>
    <m/>
    <m/>
    <m/>
    <m/>
    <m/>
    <m/>
    <m/>
    <n v="22.321102766196418"/>
    <x v="3"/>
    <x v="1"/>
    <x v="1"/>
    <n v="189"/>
    <n v="33"/>
    <n v="0.17460317460317459"/>
    <n v="0.17460317460317459"/>
    <n v="1"/>
  </r>
  <r>
    <n v="1237845146"/>
    <s v="38.210.452/0001-70"/>
    <s v="F H SANCHEZ MINIMERCADO  INOVA SANCHEZ "/>
    <x v="0"/>
    <s v="Pipebot"/>
    <x v="490"/>
    <m/>
    <m/>
    <m/>
    <m/>
    <m/>
    <m/>
    <m/>
    <m/>
    <m/>
    <m/>
    <m/>
    <m/>
    <m/>
    <m/>
    <m/>
    <m/>
    <m/>
    <m/>
    <m/>
    <m/>
    <m/>
    <m/>
    <n v="133.07932775463269"/>
    <x v="0"/>
    <x v="6"/>
    <x v="0"/>
    <n v="195"/>
    <n v="132"/>
    <n v="0.67692307692307696"/>
    <n v="0.67692307692307696"/>
    <n v="1"/>
  </r>
  <r>
    <n v="1282564402"/>
    <s v="38.210.452/0001-70"/>
    <s v="F H SANCHEZ MINIMERCADO (máquina) - acionado Sofia 04/02"/>
    <x v="5"/>
    <s v="Pipebot"/>
    <x v="491"/>
    <m/>
    <m/>
    <d v="2026-01-29T22:07:10"/>
    <d v="2026-02-20T16:51:38"/>
    <n v="2.17625"/>
    <d v="2026-02-03T22:08:05"/>
    <d v="2026-02-19T12:37:57"/>
    <n v="15.604074000000001"/>
    <m/>
    <m/>
    <m/>
    <d v="2026-01-30T22:07:18"/>
    <d v="2026-02-23T13:32:47"/>
    <n v="4.8623960000000004"/>
    <d v="2026-02-01T22:08:00"/>
    <d v="2026-02-03T22:08:04"/>
    <n v="5.3256940000000004"/>
    <m/>
    <m/>
    <m/>
    <m/>
    <m/>
    <n v="42.078721932870394"/>
    <x v="2"/>
    <x v="3"/>
    <x v="1"/>
    <n v="223"/>
    <n v="147"/>
    <n v="0.65919282511210764"/>
    <n v="0.65919282511210764"/>
    <n v="1"/>
  </r>
  <r>
    <n v="1182801442"/>
    <s v="60.519.943/0001-57"/>
    <s v="Fabiana da Silva"/>
    <x v="5"/>
    <s v="Pipebot"/>
    <x v="492"/>
    <m/>
    <m/>
    <d v="2025-08-07T20:28:09"/>
    <d v="2026-02-12T12:25:33"/>
    <n v="1.646725"/>
    <d v="2025-08-12T20:31:21"/>
    <d v="2026-02-11T20:56:06"/>
    <n v="183.017188"/>
    <m/>
    <m/>
    <m/>
    <d v="2025-08-08T20:29:59"/>
    <d v="2026-02-13T15:59:27"/>
    <n v="3.1487959999999999"/>
    <d v="2025-08-10T20:30:23"/>
    <d v="2025-08-12T20:31:21"/>
    <n v="15.224479000000001"/>
    <m/>
    <m/>
    <m/>
    <m/>
    <m/>
    <n v="217.14768065972021"/>
    <x v="0"/>
    <x v="5"/>
    <x v="0"/>
    <n v="177"/>
    <n v="130"/>
    <n v="0.7344632768361582"/>
    <n v="0.7344632768361582"/>
    <n v="1"/>
  </r>
  <r>
    <n v="1181276543"/>
    <s v="60.519.943/0001-57"/>
    <s v="Fabiana da Silva"/>
    <x v="5"/>
    <s v="Pipebot"/>
    <x v="493"/>
    <m/>
    <m/>
    <d v="2025-08-05T20:28:00"/>
    <d v="2026-02-12T12:25:32"/>
    <n v="1.6459950000000001"/>
    <d v="2025-08-10T20:30:23"/>
    <d v="2026-02-11T20:56:05"/>
    <n v="185.01783599999999"/>
    <m/>
    <m/>
    <m/>
    <d v="2025-08-06T20:28:47"/>
    <d v="2026-02-13T15:59:26"/>
    <n v="3.1493869999999999"/>
    <d v="2025-08-08T20:30:01"/>
    <d v="2025-08-10T20:30:23"/>
    <n v="15.224086"/>
    <m/>
    <m/>
    <m/>
    <m/>
    <m/>
    <n v="219.14779576389265"/>
    <x v="0"/>
    <x v="5"/>
    <x v="0"/>
    <n v="177"/>
    <n v="130"/>
    <n v="0.7344632768361582"/>
    <n v="0.7344632768361582"/>
    <n v="1"/>
  </r>
  <r>
    <n v="1277617693"/>
    <s v="46.261.557/0001-87"/>
    <s v="Fabiane Ribeiro Martins"/>
    <x v="0"/>
    <s v="Pipebot"/>
    <x v="494"/>
    <m/>
    <m/>
    <m/>
    <m/>
    <m/>
    <m/>
    <m/>
    <m/>
    <m/>
    <m/>
    <m/>
    <m/>
    <m/>
    <m/>
    <m/>
    <m/>
    <m/>
    <m/>
    <m/>
    <m/>
    <m/>
    <m/>
    <n v="51.205430405098014"/>
    <x v="2"/>
    <x v="3"/>
    <x v="1"/>
    <n v="223"/>
    <n v="147"/>
    <n v="0.65919282511210764"/>
    <n v="0.65919282511210764"/>
    <n v="1"/>
  </r>
  <r>
    <n v="1288941538"/>
    <s v="61.964.792/0001-09"/>
    <s v="Fabiane Soares da Silva Alves "/>
    <x v="5"/>
    <s v="Pipebot"/>
    <x v="495"/>
    <m/>
    <m/>
    <d v="2026-02-10T19:05:24"/>
    <d v="2026-02-23T13:37:13"/>
    <n v="3.8606829999999999"/>
    <d v="2026-02-11T20:50:20"/>
    <d v="2026-02-20T16:58:24"/>
    <n v="8.8389349999999993"/>
    <m/>
    <m/>
    <m/>
    <d v="2026-02-11T19:05:58"/>
    <d v="2026-02-25T11:53:34"/>
    <n v="2.000486"/>
    <d v="2026-02-25T11:53:34"/>
    <m/>
    <n v="1.3945719999999999"/>
    <m/>
    <m/>
    <m/>
    <m/>
    <m/>
    <n v="30.205557395842334"/>
    <x v="2"/>
    <x v="3"/>
    <x v="1"/>
    <n v="223"/>
    <n v="147"/>
    <n v="0.65919282511210764"/>
    <n v="0.65919282511210764"/>
    <n v="1"/>
  </r>
  <r>
    <n v="1222239089"/>
    <s v="45.909.970/0001-42"/>
    <s v="Fabiano Favoretto Soares "/>
    <x v="0"/>
    <s v="Pipebot"/>
    <x v="496"/>
    <m/>
    <m/>
    <m/>
    <m/>
    <m/>
    <m/>
    <m/>
    <m/>
    <m/>
    <m/>
    <m/>
    <m/>
    <m/>
    <m/>
    <m/>
    <m/>
    <m/>
    <m/>
    <m/>
    <m/>
    <m/>
    <m/>
    <n v="153.14925199074059"/>
    <x v="0"/>
    <x v="4"/>
    <x v="0"/>
    <n v="197"/>
    <n v="149"/>
    <n v="0.75634517766497467"/>
    <n v="0.75634517766497467"/>
    <n v="1"/>
  </r>
  <r>
    <n v="1180443623"/>
    <s v="37.651.012/0001-96"/>
    <s v="Fábio Alves Fernandes"/>
    <x v="0"/>
    <s v="Pipebot"/>
    <x v="497"/>
    <m/>
    <m/>
    <d v="2025-08-04T20:27:43"/>
    <d v="2025-08-05T20:07:30"/>
    <n v="0.98596099999999998"/>
    <m/>
    <m/>
    <m/>
    <m/>
    <m/>
    <m/>
    <m/>
    <m/>
    <m/>
    <m/>
    <m/>
    <m/>
    <m/>
    <m/>
    <m/>
    <m/>
    <m/>
    <n v="220.1478012152802"/>
    <x v="0"/>
    <x v="5"/>
    <x v="0"/>
    <n v="177"/>
    <n v="130"/>
    <n v="0.7344632768361582"/>
    <n v="0.7344632768361582"/>
    <n v="1"/>
  </r>
  <r>
    <n v="1183425762"/>
    <s v="37.651.012/0001-96"/>
    <s v="Fábio Alves Fernandes "/>
    <x v="0"/>
    <s v="Pipebot"/>
    <x v="498"/>
    <m/>
    <m/>
    <m/>
    <m/>
    <m/>
    <m/>
    <m/>
    <m/>
    <m/>
    <m/>
    <m/>
    <m/>
    <m/>
    <m/>
    <m/>
    <m/>
    <m/>
    <m/>
    <m/>
    <m/>
    <m/>
    <m/>
    <n v="216.14676328703354"/>
    <x v="0"/>
    <x v="5"/>
    <x v="0"/>
    <n v="177"/>
    <n v="130"/>
    <n v="0.7344632768361582"/>
    <n v="0.7344632768361582"/>
    <n v="1"/>
  </r>
  <r>
    <n v="1221400150"/>
    <s v="52.732.639/0001-65"/>
    <s v="Fabio Aparecido Boffe"/>
    <x v="0"/>
    <s v="Pipebot"/>
    <x v="499"/>
    <m/>
    <m/>
    <m/>
    <m/>
    <m/>
    <m/>
    <m/>
    <m/>
    <m/>
    <m/>
    <m/>
    <m/>
    <m/>
    <m/>
    <m/>
    <m/>
    <m/>
    <m/>
    <m/>
    <m/>
    <m/>
    <m/>
    <n v="154.23598729167134"/>
    <x v="0"/>
    <x v="4"/>
    <x v="0"/>
    <n v="197"/>
    <n v="149"/>
    <n v="0.75634517766497467"/>
    <n v="0.75634517766497467"/>
    <n v="1"/>
  </r>
  <r>
    <n v="1205983652"/>
    <s v="52.732.639/0001-65"/>
    <s v="Fabio Aparecido Boffe "/>
    <x v="0"/>
    <s v="Pipebot"/>
    <x v="500"/>
    <m/>
    <m/>
    <m/>
    <m/>
    <m/>
    <m/>
    <m/>
    <m/>
    <m/>
    <m/>
    <m/>
    <m/>
    <m/>
    <m/>
    <m/>
    <m/>
    <m/>
    <m/>
    <m/>
    <m/>
    <m/>
    <m/>
    <n v="178.2547167708326"/>
    <x v="0"/>
    <x v="4"/>
    <x v="0"/>
    <n v="197"/>
    <n v="149"/>
    <n v="0.75634517766497467"/>
    <n v="0.75634517766497467"/>
    <n v="1"/>
  </r>
  <r>
    <n v="1241441037"/>
    <s v="52.732.639/0001-65"/>
    <s v="Fabio Aparecido Boffe - recebido"/>
    <x v="8"/>
    <s v="Pipebot"/>
    <x v="501"/>
    <m/>
    <m/>
    <m/>
    <m/>
    <m/>
    <m/>
    <m/>
    <m/>
    <m/>
    <m/>
    <m/>
    <m/>
    <m/>
    <m/>
    <m/>
    <m/>
    <m/>
    <m/>
    <m/>
    <m/>
    <m/>
    <m/>
    <n v="127.24520946759003"/>
    <x v="0"/>
    <x v="6"/>
    <x v="0"/>
    <n v="195"/>
    <n v="132"/>
    <n v="0.67692307692307696"/>
    <n v="0.67692307692307696"/>
    <n v="1"/>
  </r>
  <r>
    <n v="1285761103"/>
    <s v="52.732.639/0001-65"/>
    <s v="Fabio Aparecido Boffe -devolvido presencial evidencia anexa de comporvante"/>
    <x v="4"/>
    <s v="Pipebot"/>
    <x v="502"/>
    <m/>
    <m/>
    <d v="2026-02-05T15:06:47"/>
    <d v="2026-02-20T16:52:20"/>
    <n v="2.1738430000000002"/>
    <d v="2026-02-10T13:05:41"/>
    <d v="2026-02-19T12:42:09"/>
    <n v="8.9836569999999991"/>
    <d v="2026-02-24T18:57:25"/>
    <d v="2026-02-24T20:02:41"/>
    <n v="4.5312999999999999E-2"/>
    <d v="2026-02-06T15:06:57"/>
    <d v="2026-02-23T13:32:47"/>
    <n v="4.8614579999999998"/>
    <d v="2026-02-08T15:07:00"/>
    <d v="2026-02-24T18:57:25"/>
    <n v="3.141181"/>
    <m/>
    <m/>
    <m/>
    <m/>
    <m/>
    <n v="35.370432326388254"/>
    <x v="2"/>
    <x v="3"/>
    <x v="1"/>
    <n v="223"/>
    <n v="147"/>
    <n v="0.65919282511210764"/>
    <n v="0.65919282511210764"/>
    <n v="1"/>
  </r>
  <r>
    <n v="1270839971"/>
    <s v="46.865.793/0001-02"/>
    <s v="Fagundes Sena Sobral Ltda "/>
    <x v="0"/>
    <s v="Pipebot"/>
    <x v="503"/>
    <m/>
    <m/>
    <d v="2026-01-02T22:11:27"/>
    <d v="2026-01-03T22:11:46"/>
    <n v="1.000208"/>
    <d v="2026-01-07T22:12:17"/>
    <d v="2026-01-14T17:19:08"/>
    <n v="6.796424"/>
    <m/>
    <m/>
    <m/>
    <d v="2026-01-03T22:11:46"/>
    <d v="2026-01-05T22:12:02"/>
    <n v="2.0001850000000001"/>
    <d v="2026-01-05T22:12:02"/>
    <d v="2026-01-07T22:12:17"/>
    <n v="2.000162"/>
    <m/>
    <m/>
    <m/>
    <m/>
    <m/>
    <n v="69.076179872688954"/>
    <x v="0"/>
    <x v="7"/>
    <x v="0"/>
    <n v="207"/>
    <n v="140"/>
    <n v="0.67632850241545894"/>
    <n v="0.67632850241545894"/>
    <n v="1"/>
  </r>
  <r>
    <n v="1279373108"/>
    <s v="38.210.452/0001-70"/>
    <s v="Fabio Sanchez - card duplicado"/>
    <x v="3"/>
    <s v="Pipebot"/>
    <x v="504"/>
    <m/>
    <m/>
    <m/>
    <m/>
    <m/>
    <d v="2026-01-09T13:30:46"/>
    <d v="2026-01-09T13:30:51"/>
    <n v="4.6E-5"/>
    <d v="2026-01-09T13:30:42"/>
    <d v="2026-01-09T13:30:46"/>
    <n v="4.6E-5"/>
    <m/>
    <m/>
    <m/>
    <m/>
    <m/>
    <m/>
    <m/>
    <m/>
    <m/>
    <m/>
    <m/>
    <n v="48.437452372687403"/>
    <x v="2"/>
    <x v="3"/>
    <x v="1"/>
    <n v="223"/>
    <n v="147"/>
    <n v="0.65919282511210764"/>
    <n v="0.65919282511210764"/>
    <n v="1"/>
  </r>
  <r>
    <n v="1279373116"/>
    <s v="38.210.452/0001-70"/>
    <s v="Fabio Sanchez - máquina bloqueada"/>
    <x v="0"/>
    <s v="Pipebot"/>
    <x v="504"/>
    <m/>
    <m/>
    <m/>
    <m/>
    <m/>
    <m/>
    <m/>
    <m/>
    <m/>
    <m/>
    <m/>
    <m/>
    <m/>
    <m/>
    <m/>
    <m/>
    <m/>
    <m/>
    <m/>
    <m/>
    <m/>
    <m/>
    <n v="48.437448321761622"/>
    <x v="2"/>
    <x v="3"/>
    <x v="1"/>
    <n v="223"/>
    <n v="147"/>
    <n v="0.65919282511210764"/>
    <n v="0.65919282511210764"/>
    <n v="1"/>
  </r>
  <r>
    <n v="1184493497"/>
    <s v="45.463.127/0001-85"/>
    <s v="FACILIT STORE LTDA (SMART STORE)"/>
    <x v="0"/>
    <s v="Pipebot"/>
    <x v="505"/>
    <m/>
    <m/>
    <m/>
    <m/>
    <m/>
    <m/>
    <m/>
    <m/>
    <m/>
    <m/>
    <m/>
    <m/>
    <m/>
    <m/>
    <m/>
    <m/>
    <m/>
    <m/>
    <m/>
    <m/>
    <m/>
    <m/>
    <n v="213.35649097221904"/>
    <x v="0"/>
    <x v="5"/>
    <x v="0"/>
    <n v="177"/>
    <n v="130"/>
    <n v="0.7344632768361582"/>
    <n v="0.7344632768361582"/>
    <n v="1"/>
  </r>
  <r>
    <n v="1219993092"/>
    <s v="47.992.388/0001-18"/>
    <s v="Facilitar  Minimercado Ltda"/>
    <x v="5"/>
    <s v="Pipebot"/>
    <x v="506"/>
    <m/>
    <m/>
    <d v="2025-10-07T15:25:33"/>
    <d v="2026-02-13T16:00:44"/>
    <n v="2.1477889999999999"/>
    <d v="2025-10-12T15:27:00"/>
    <d v="2026-02-12T12:28:22"/>
    <n v="122.87594900000001"/>
    <m/>
    <m/>
    <m/>
    <d v="2025-10-08T15:26:01"/>
    <d v="2026-02-16T12:49:07"/>
    <n v="4.8673500000000001"/>
    <d v="2025-10-10T15:26:38"/>
    <d v="2025-10-12T15:27:00"/>
    <n v="12.356249999999999"/>
    <m/>
    <m/>
    <m/>
    <m/>
    <m/>
    <n v="156.35800075231236"/>
    <x v="0"/>
    <x v="4"/>
    <x v="0"/>
    <n v="197"/>
    <n v="149"/>
    <n v="0.75634517766497467"/>
    <n v="0.75634517766497467"/>
    <n v="1"/>
  </r>
  <r>
    <n v="1284754436"/>
    <s v="47.992.388/0001-18"/>
    <s v="FACILITAR MINIMERCADO LTDA (adaptador e leitor) - acionado sofia 09/02"/>
    <x v="5"/>
    <s v="Pipebot"/>
    <x v="507"/>
    <m/>
    <m/>
    <d v="2026-02-03T22:06:02"/>
    <d v="2026-02-20T16:51:53"/>
    <n v="2.1767940000000001"/>
    <d v="2026-02-08T22:08:03"/>
    <d v="2026-02-19T12:38:07"/>
    <n v="10.604201"/>
    <m/>
    <m/>
    <m/>
    <d v="2026-02-04T22:06:52"/>
    <d v="2026-02-23T13:32:47"/>
    <n v="4.862025"/>
    <d v="2026-02-06T22:07:18"/>
    <d v="2026-02-08T22:08:03"/>
    <n v="5.3261919999999998"/>
    <m/>
    <m/>
    <m/>
    <m/>
    <m/>
    <n v="37.07951457175659"/>
    <x v="2"/>
    <x v="3"/>
    <x v="1"/>
    <n v="223"/>
    <n v="147"/>
    <n v="0.65919282511210764"/>
    <n v="0.65919282511210764"/>
    <n v="1"/>
  </r>
  <r>
    <n v="1281735018"/>
    <s v="46.865.793/0001-02"/>
    <s v="Fagundes Sena Sobral Ltda"/>
    <x v="0"/>
    <s v="Pipebot"/>
    <x v="508"/>
    <m/>
    <m/>
    <m/>
    <m/>
    <m/>
    <m/>
    <m/>
    <m/>
    <m/>
    <m/>
    <m/>
    <m/>
    <m/>
    <m/>
    <m/>
    <m/>
    <m/>
    <m/>
    <m/>
    <m/>
    <m/>
    <m/>
    <n v="43.369646712963004"/>
    <x v="2"/>
    <x v="3"/>
    <x v="1"/>
    <n v="223"/>
    <n v="147"/>
    <n v="0.65919282511210764"/>
    <n v="0.65919282511210764"/>
    <n v="1"/>
  </r>
  <r>
    <n v="1264758997"/>
    <s v="61.422.726/0001-07"/>
    <s v="Fátima Marchesano Marchê minimercado "/>
    <x v="0"/>
    <s v="Pipebot"/>
    <x v="509"/>
    <m/>
    <m/>
    <d v="2025-12-19T19:11:44"/>
    <d v="2025-12-20T19:12:08"/>
    <n v="1.0002660000000001"/>
    <d v="2025-12-24T19:12:54"/>
    <d v="2026-01-14T19:52:23"/>
    <n v="21.027418999999998"/>
    <m/>
    <m/>
    <m/>
    <d v="2025-12-20T19:12:08"/>
    <d v="2025-12-22T19:12:12"/>
    <n v="2.000035"/>
    <d v="2025-12-22T19:12:12"/>
    <d v="2025-12-24T19:12:54"/>
    <n v="2.0004749999999998"/>
    <m/>
    <m/>
    <m/>
    <m/>
    <m/>
    <n v="83.200615775473125"/>
    <x v="0"/>
    <x v="7"/>
    <x v="0"/>
    <n v="207"/>
    <n v="140"/>
    <n v="0.67632850241545894"/>
    <n v="0.67632850241545894"/>
    <n v="1"/>
  </r>
  <r>
    <n v="1261830546"/>
    <s v="46.661.909/0001-91"/>
    <s v="Felipe Bianchini?"/>
    <x v="0"/>
    <s v="Pipebot"/>
    <x v="510"/>
    <m/>
    <m/>
    <d v="2025-12-15T15:06:48"/>
    <d v="2025-12-16T15:07:44"/>
    <n v="1.000648"/>
    <d v="2025-12-20T15:08:12"/>
    <d v="2026-01-21T12:43:46"/>
    <n v="31.899698999999998"/>
    <m/>
    <m/>
    <m/>
    <d v="2025-12-16T15:07:44"/>
    <d v="2025-12-18T15:07:52"/>
    <n v="2.0000810000000002"/>
    <d v="2025-12-18T15:07:52"/>
    <d v="2025-12-20T15:08:12"/>
    <n v="2.0002200000000001"/>
    <m/>
    <m/>
    <m/>
    <m/>
    <m/>
    <n v="87.370604317133257"/>
    <x v="0"/>
    <x v="7"/>
    <x v="0"/>
    <n v="207"/>
    <n v="140"/>
    <n v="0.67632850241545894"/>
    <n v="0.67632850241545894"/>
    <n v="1"/>
  </r>
  <r>
    <n v="1210539895"/>
    <s v="47.633.352/0001-48"/>
    <s v="FASTMARKET COMÉRCIO LTDA"/>
    <x v="0"/>
    <s v="Pipebot"/>
    <x v="511"/>
    <m/>
    <m/>
    <d v="2025-09-22T20:26:51"/>
    <d v="2025-09-23T20:27:11"/>
    <n v="1.0002310000000001"/>
    <d v="2025-09-27T20:27:55"/>
    <d v="2025-10-09T18:12:34"/>
    <n v="11.905995000000001"/>
    <m/>
    <m/>
    <m/>
    <d v="2025-09-23T20:27:11"/>
    <d v="2025-09-25T20:27:29"/>
    <n v="2.000197"/>
    <d v="2025-09-25T20:27:29"/>
    <d v="2025-09-27T20:27:55"/>
    <n v="2.0003009999999999"/>
    <m/>
    <m/>
    <m/>
    <m/>
    <m/>
    <n v="171.14832635415951"/>
    <x v="0"/>
    <x v="4"/>
    <x v="0"/>
    <n v="197"/>
    <n v="149"/>
    <n v="0.75634517766497467"/>
    <n v="0.75634517766497467"/>
    <n v="1"/>
  </r>
  <r>
    <n v="1270230056"/>
    <s v="52.667.527/0001-78"/>
    <s v="FELIPPE SANTOS SCALZILLI "/>
    <x v="0"/>
    <s v="Pipebot"/>
    <x v="512"/>
    <m/>
    <m/>
    <d v="2026-01-01T20:19:37"/>
    <d v="2026-01-02T20:20:03"/>
    <n v="1.000289"/>
    <d v="2026-01-06T20:21:54"/>
    <d v="2026-01-09T14:01:38"/>
    <n v="2.7359140000000002"/>
    <m/>
    <m/>
    <m/>
    <d v="2026-01-02T20:20:03"/>
    <d v="2026-01-04T20:20:58"/>
    <n v="2.0006370000000002"/>
    <d v="2026-01-04T20:20:59"/>
    <d v="2026-01-06T20:21:54"/>
    <n v="2.0006370000000002"/>
    <m/>
    <m/>
    <m/>
    <m/>
    <m/>
    <n v="70.153429618047085"/>
    <x v="0"/>
    <x v="7"/>
    <x v="0"/>
    <n v="207"/>
    <n v="140"/>
    <n v="0.67632850241545894"/>
    <n v="0.67632850241545894"/>
    <n v="1"/>
  </r>
  <r>
    <n v="1297488336"/>
    <s v="49.723.590/0001-70"/>
    <s v="Felipe Angelo Manrique"/>
    <x v="3"/>
    <s v="Pipebot"/>
    <x v="513"/>
    <m/>
    <m/>
    <m/>
    <m/>
    <m/>
    <m/>
    <m/>
    <m/>
    <m/>
    <m/>
    <m/>
    <m/>
    <m/>
    <m/>
    <m/>
    <m/>
    <m/>
    <m/>
    <m/>
    <m/>
    <m/>
    <m/>
    <n v="13.370155555559904"/>
    <x v="4"/>
    <x v="1"/>
    <x v="1"/>
    <n v="189"/>
    <n v="33"/>
    <n v="0.17460317460317459"/>
    <n v="0.17460317460317459"/>
    <n v="1"/>
  </r>
  <r>
    <n v="1280373595"/>
    <s v="49.723.590/0001-70"/>
    <s v="FELIPE ANGELO MANRIQUE "/>
    <x v="0"/>
    <s v="Pipebot"/>
    <x v="514"/>
    <m/>
    <m/>
    <m/>
    <m/>
    <m/>
    <m/>
    <m/>
    <m/>
    <m/>
    <m/>
    <m/>
    <m/>
    <m/>
    <m/>
    <m/>
    <m/>
    <m/>
    <m/>
    <m/>
    <m/>
    <m/>
    <m/>
    <n v="45.409302430547541"/>
    <x v="2"/>
    <x v="3"/>
    <x v="1"/>
    <n v="223"/>
    <n v="147"/>
    <n v="0.65919282511210764"/>
    <n v="0.65919282511210764"/>
    <n v="1"/>
  </r>
  <r>
    <n v="1273097605"/>
    <s v="52.153.552/0001-33"/>
    <s v="Fernando Gustavo nora da silva "/>
    <x v="0"/>
    <s v="Pipebot"/>
    <x v="515"/>
    <m/>
    <m/>
    <d v="2026-01-09T12:41:54"/>
    <d v="2026-01-10T12:42:11"/>
    <n v="1.0001850000000001"/>
    <d v="2026-01-14T12:43:10"/>
    <d v="2026-01-21T13:17:22"/>
    <n v="7.0237499999999997"/>
    <m/>
    <m/>
    <m/>
    <d v="2026-01-10T12:42:11"/>
    <d v="2026-01-12T12:42:35"/>
    <n v="2.0002779999999998"/>
    <d v="2026-01-12T12:42:35"/>
    <d v="2026-01-14T12:43:10"/>
    <n v="2.000394"/>
    <m/>
    <m/>
    <m/>
    <m/>
    <m/>
    <n v="62.471223472217389"/>
    <x v="0"/>
    <x v="7"/>
    <x v="0"/>
    <n v="207"/>
    <n v="140"/>
    <n v="0.67632850241545894"/>
    <n v="0.67632850241545894"/>
    <n v="1"/>
  </r>
  <r>
    <n v="1195440570"/>
    <s v="38.010.098/0001-30"/>
    <s v="Felipe Botega"/>
    <x v="0"/>
    <s v="Pipebot"/>
    <x v="516"/>
    <m/>
    <m/>
    <d v="2025-08-28T20:26:00"/>
    <d v="2025-08-29T20:26:49"/>
    <n v="1.000567"/>
    <d v="2025-09-02T20:27:59"/>
    <d v="2025-09-05T18:34:54"/>
    <n v="2.9214579999999999"/>
    <d v="2025-09-05T18:34:54"/>
    <d v="2025-09-05T18:34:59"/>
    <n v="5.8E-5"/>
    <d v="2025-08-29T20:26:49"/>
    <d v="2025-08-31T20:27:01"/>
    <n v="2.0001389999999999"/>
    <d v="2025-08-31T20:27:01"/>
    <d v="2025-09-02T20:27:59"/>
    <n v="2.0006599999999999"/>
    <m/>
    <m/>
    <m/>
    <m/>
    <m/>
    <n v="196.14912253472721"/>
    <x v="0"/>
    <x v="2"/>
    <x v="0"/>
    <n v="146"/>
    <n v="112"/>
    <n v="0.76712328767123283"/>
    <n v="0.76712328767123283"/>
    <n v="1"/>
  </r>
  <r>
    <n v="1200311361"/>
    <s v="61.473.805/0001-47"/>
    <s v="Felipe Copetti Mustafá "/>
    <x v="0"/>
    <s v="Pipebot"/>
    <x v="517"/>
    <m/>
    <m/>
    <d v="2025-09-05T20:27:42"/>
    <d v="2025-09-06T20:28:23"/>
    <n v="1.000475"/>
    <d v="2025-09-10T20:30:10"/>
    <d v="2025-09-15T20:37:03"/>
    <n v="5.0047689999999996"/>
    <m/>
    <m/>
    <m/>
    <d v="2025-09-06T20:28:23"/>
    <d v="2025-09-08T20:28:54"/>
    <n v="2.0003470000000001"/>
    <d v="2025-09-08T20:28:54"/>
    <d v="2025-09-10T20:30:10"/>
    <n v="2.00088"/>
    <m/>
    <m/>
    <m/>
    <m/>
    <m/>
    <n v="188.14807480324089"/>
    <x v="0"/>
    <x v="2"/>
    <x v="0"/>
    <n v="146"/>
    <n v="112"/>
    <n v="0.76712328767123283"/>
    <n v="0.76712328767123283"/>
    <n v="1"/>
  </r>
  <r>
    <n v="1200311280"/>
    <s v="61.473.805/0001-47"/>
    <s v="Felipe Copetti Mustafá "/>
    <x v="0"/>
    <s v="Pipebot"/>
    <x v="518"/>
    <m/>
    <m/>
    <d v="2025-09-05T20:27:43"/>
    <d v="2025-09-06T20:28:23"/>
    <n v="1.0004630000000001"/>
    <d v="2025-09-10T20:30:10"/>
    <d v="2025-09-15T20:21:54"/>
    <n v="4.9942479999999998"/>
    <m/>
    <m/>
    <m/>
    <d v="2025-09-06T20:28:23"/>
    <d v="2025-09-08T20:28:54"/>
    <n v="2.0003470000000001"/>
    <d v="2025-09-08T20:28:54"/>
    <d v="2025-09-10T20:30:10"/>
    <n v="2.00088"/>
    <m/>
    <m/>
    <m/>
    <m/>
    <m/>
    <n v="188.1481330902825"/>
    <x v="0"/>
    <x v="2"/>
    <x v="0"/>
    <n v="146"/>
    <n v="112"/>
    <n v="0.76712328767123283"/>
    <n v="0.76712328767123283"/>
    <n v="1"/>
  </r>
  <r>
    <n v="1182775623"/>
    <s v="44.232.092/0001-00"/>
    <s v="Felipe Henrique Kostka "/>
    <x v="0"/>
    <s v="Pipebot"/>
    <x v="519"/>
    <m/>
    <m/>
    <m/>
    <m/>
    <m/>
    <m/>
    <m/>
    <m/>
    <m/>
    <m/>
    <m/>
    <m/>
    <m/>
    <m/>
    <m/>
    <m/>
    <m/>
    <m/>
    <m/>
    <m/>
    <m/>
    <m/>
    <n v="217.16770336806076"/>
    <x v="0"/>
    <x v="5"/>
    <x v="0"/>
    <n v="177"/>
    <n v="130"/>
    <n v="0.7344632768361582"/>
    <n v="0.7344632768361582"/>
    <n v="1"/>
  </r>
  <r>
    <n v="1251209409"/>
    <s v="55.722.455/0001-02"/>
    <s v="Felipe Jesus Pimentel Feitosa"/>
    <x v="0"/>
    <s v="Pipebot"/>
    <x v="520"/>
    <m/>
    <m/>
    <m/>
    <m/>
    <m/>
    <m/>
    <m/>
    <m/>
    <m/>
    <m/>
    <m/>
    <m/>
    <m/>
    <m/>
    <m/>
    <m/>
    <m/>
    <m/>
    <m/>
    <m/>
    <m/>
    <m/>
    <n v="112.20532462962728"/>
    <x v="0"/>
    <x v="0"/>
    <x v="0"/>
    <n v="131"/>
    <n v="87"/>
    <n v="0.66412213740458015"/>
    <n v="0.66412213740458015"/>
    <n v="1"/>
  </r>
  <r>
    <n v="1268340847"/>
    <s v="50.902.265/0001-53"/>
    <s v="Francine rosatti felix"/>
    <x v="0"/>
    <s v="Pipebot"/>
    <x v="521"/>
    <m/>
    <m/>
    <d v="2025-12-29T13:09:03"/>
    <d v="2025-12-30T13:09:12"/>
    <n v="1.0001040000000001"/>
    <d v="2026-01-03T13:10:13"/>
    <d v="2026-01-09T13:10:34"/>
    <n v="6.0002430000000002"/>
    <m/>
    <m/>
    <m/>
    <d v="2025-12-30T13:09:12"/>
    <d v="2026-01-01T13:09:50"/>
    <n v="2.0004400000000002"/>
    <d v="2026-01-01T13:09:50"/>
    <d v="2026-01-03T13:10:13"/>
    <n v="2.0002550000000001"/>
    <m/>
    <m/>
    <m/>
    <m/>
    <m/>
    <n v="73.452332256936643"/>
    <x v="0"/>
    <x v="7"/>
    <x v="0"/>
    <n v="207"/>
    <n v="140"/>
    <n v="0.67632850241545894"/>
    <n v="0.67632850241545894"/>
    <n v="1"/>
  </r>
  <r>
    <n v="1193960039"/>
    <s v="48.023.092/0001-51"/>
    <s v="Fernanda Juan Teixeira"/>
    <x v="8"/>
    <s v="Pipebot"/>
    <x v="522"/>
    <m/>
    <m/>
    <d v="2025-08-26T20:25:59"/>
    <d v="2025-08-27T20:26:52"/>
    <n v="1.000602"/>
    <d v="2025-08-31T20:28:00"/>
    <d v="2025-10-29T19:40:13"/>
    <n v="58.966805999999998"/>
    <m/>
    <m/>
    <m/>
    <d v="2025-08-27T20:26:52"/>
    <d v="2025-08-29T20:27:49"/>
    <n v="2.000648"/>
    <d v="2025-08-29T20:27:49"/>
    <d v="2025-08-31T20:28:00"/>
    <n v="2.000127"/>
    <m/>
    <m/>
    <m/>
    <m/>
    <m/>
    <n v="198.14928159722331"/>
    <x v="0"/>
    <x v="2"/>
    <x v="0"/>
    <n v="146"/>
    <n v="112"/>
    <n v="0.76712328767123283"/>
    <n v="0.76712328767123283"/>
    <n v="1"/>
  </r>
  <r>
    <n v="1284621891"/>
    <s v="50.438.537/0001-06"/>
    <s v="Fernanda Rodrigues (máquina) - acionado Sofia 09/02 (comentários)"/>
    <x v="0"/>
    <s v="Pipebot"/>
    <x v="523"/>
    <m/>
    <m/>
    <d v="2026-02-03T19:07:45"/>
    <d v="2026-02-04T19:08:38"/>
    <n v="1.000602"/>
    <d v="2026-02-08T19:10:03"/>
    <d v="2026-02-16T11:32:26"/>
    <n v="7.6821989999999998"/>
    <d v="2026-02-16T11:32:26"/>
    <d v="2026-02-16T11:34:50"/>
    <n v="1.6670000000000001E-3"/>
    <d v="2026-02-04T19:08:38"/>
    <d v="2026-02-06T19:09:32"/>
    <n v="2.0006249999999999"/>
    <d v="2026-02-06T19:09:32"/>
    <d v="2026-02-08T19:10:03"/>
    <n v="2.0003470000000001"/>
    <m/>
    <m/>
    <m/>
    <m/>
    <m/>
    <n v="37.203558321773016"/>
    <x v="2"/>
    <x v="3"/>
    <x v="1"/>
    <n v="223"/>
    <n v="147"/>
    <n v="0.65919282511210764"/>
    <n v="0.65919282511210764"/>
    <n v="1"/>
  </r>
  <r>
    <n v="1279611944"/>
    <s v="37.721.285/0001-60"/>
    <s v="Fernando Carlos Balbino "/>
    <x v="0"/>
    <s v="Pipebot"/>
    <x v="524"/>
    <m/>
    <m/>
    <m/>
    <m/>
    <m/>
    <m/>
    <m/>
    <m/>
    <m/>
    <m/>
    <m/>
    <m/>
    <m/>
    <m/>
    <m/>
    <m/>
    <m/>
    <m/>
    <m/>
    <m/>
    <m/>
    <m/>
    <n v="48.202151249999588"/>
    <x v="2"/>
    <x v="3"/>
    <x v="1"/>
    <n v="223"/>
    <n v="147"/>
    <n v="0.65919282511210764"/>
    <n v="0.65919282511210764"/>
    <n v="1"/>
  </r>
  <r>
    <n v="1282439579"/>
    <s v="62.736.807/0001-44"/>
    <s v="Fernando de Jesus Ramos  (adaptador e módulo) - acionado Sofia 04/02"/>
    <x v="0"/>
    <s v="Pipebot"/>
    <x v="525"/>
    <m/>
    <m/>
    <d v="2026-01-29T19:05:54"/>
    <d v="2026-01-30T19:06:17"/>
    <n v="1.0002660000000001"/>
    <d v="2026-02-03T19:07:45"/>
    <d v="2026-02-06T20:15:59"/>
    <n v="3.0473840000000001"/>
    <m/>
    <m/>
    <m/>
    <d v="2026-01-30T19:06:17"/>
    <d v="2026-02-01T19:07:02"/>
    <n v="2.0005090000000001"/>
    <d v="2026-02-01T19:07:02"/>
    <d v="2026-02-03T19:07:45"/>
    <n v="2.0004979999999999"/>
    <m/>
    <m/>
    <m/>
    <m/>
    <m/>
    <n v="42.204309884262329"/>
    <x v="2"/>
    <x v="3"/>
    <x v="1"/>
    <n v="223"/>
    <n v="147"/>
    <n v="0.65919282511210764"/>
    <n v="0.65919282511210764"/>
    <n v="1"/>
  </r>
  <r>
    <n v="1267818543"/>
    <s v="49.546.993/0001-90"/>
    <s v="Frank Fonseca Santos"/>
    <x v="5"/>
    <s v="Pipebot"/>
    <x v="526"/>
    <m/>
    <m/>
    <d v="2025-12-26T22:09:00"/>
    <d v="2026-02-19T12:34:59"/>
    <n v="1.965104"/>
    <d v="2025-12-31T22:11:16"/>
    <d v="2026-02-18T13:26:01"/>
    <n v="48.635230999999997"/>
    <m/>
    <m/>
    <m/>
    <d v="2025-12-27T22:09:49"/>
    <d v="2026-02-20T12:58:39"/>
    <n v="3.016794"/>
    <d v="2025-12-29T22:10:20"/>
    <d v="2025-12-31T22:11:16"/>
    <n v="8.3500350000000001"/>
    <m/>
    <m/>
    <m/>
    <m/>
    <m/>
    <n v="76.077276979172893"/>
    <x v="0"/>
    <x v="7"/>
    <x v="0"/>
    <n v="207"/>
    <n v="140"/>
    <n v="0.67632850241545894"/>
    <n v="0.67632850241545894"/>
    <n v="1"/>
  </r>
  <r>
    <n v="1195440658"/>
    <s v="46.979.526/0001-66"/>
    <s v="Fernando Macedo"/>
    <x v="0"/>
    <s v="Pipebot"/>
    <x v="527"/>
    <m/>
    <m/>
    <m/>
    <m/>
    <m/>
    <m/>
    <m/>
    <m/>
    <m/>
    <m/>
    <m/>
    <m/>
    <m/>
    <m/>
    <m/>
    <m/>
    <m/>
    <m/>
    <m/>
    <m/>
    <m/>
    <m/>
    <n v="196.14901980324066"/>
    <x v="0"/>
    <x v="2"/>
    <x v="0"/>
    <n v="146"/>
    <n v="112"/>
    <n v="0.76712328767123283"/>
    <n v="0.76712328767123283"/>
    <n v="1"/>
  </r>
  <r>
    <n v="1190508566"/>
    <s v="56.302.841/0001-08"/>
    <s v="FERNANDO MACEDO PIVA"/>
    <x v="5"/>
    <s v="Pipebot"/>
    <x v="528"/>
    <m/>
    <m/>
    <d v="2025-08-21T20:26:31"/>
    <d v="2026-02-12T12:26:04"/>
    <n v="1.6452199999999999"/>
    <d v="2025-08-26T20:28:41"/>
    <d v="2026-02-11T20:57:59"/>
    <n v="169.02033599999999"/>
    <m/>
    <m/>
    <m/>
    <d v="2025-08-22T20:27:34"/>
    <d v="2026-02-13T15:59:46"/>
    <n v="3.148692"/>
    <d v="2025-08-24T20:27:59"/>
    <d v="2025-08-26T20:28:41"/>
    <n v="15.224086"/>
    <m/>
    <m/>
    <m/>
    <m/>
    <m/>
    <n v="203.14858554398234"/>
    <x v="0"/>
    <x v="2"/>
    <x v="0"/>
    <n v="146"/>
    <n v="112"/>
    <n v="0.76712328767123283"/>
    <n v="0.76712328767123283"/>
    <n v="1"/>
  </r>
  <r>
    <n v="1304258470"/>
    <s v="56.302.841/0001-08"/>
    <s v="FERNANDO MACEDO PIVA"/>
    <x v="7"/>
    <s v="Pipebot"/>
    <x v="529"/>
    <m/>
    <m/>
    <m/>
    <m/>
    <m/>
    <m/>
    <m/>
    <m/>
    <m/>
    <m/>
    <m/>
    <m/>
    <m/>
    <m/>
    <m/>
    <m/>
    <m/>
    <m/>
    <m/>
    <m/>
    <m/>
    <m/>
    <n v="1.0788946643515374"/>
    <x v="4"/>
    <x v="1"/>
    <x v="1"/>
    <n v="189"/>
    <n v="33"/>
    <n v="0.17460317460317459"/>
    <n v="0.17460317460317459"/>
    <n v="1"/>
  </r>
  <r>
    <n v="1201925752"/>
    <s v="40.734.161/0001-23"/>
    <s v="Fernando Morais"/>
    <x v="0"/>
    <s v="Pipebot"/>
    <x v="530"/>
    <m/>
    <m/>
    <d v="2025-09-09T00:25:27"/>
    <d v="2025-09-10T00:25:50"/>
    <n v="1.0002549999999999"/>
    <m/>
    <m/>
    <m/>
    <m/>
    <m/>
    <m/>
    <d v="2025-09-10T00:25:50"/>
    <d v="2025-09-11T19:35:39"/>
    <n v="1.7984720000000001"/>
    <m/>
    <m/>
    <m/>
    <m/>
    <m/>
    <m/>
    <m/>
    <m/>
    <n v="184.9829238888924"/>
    <x v="0"/>
    <x v="2"/>
    <x v="0"/>
    <n v="146"/>
    <n v="112"/>
    <n v="0.76712328767123283"/>
    <n v="0.76712328767123283"/>
    <n v="1"/>
  </r>
  <r>
    <n v="1279428849"/>
    <s v="45.912.624/0001-13"/>
    <s v="Ferrari e Nogueira Mini Market Ltda"/>
    <x v="0"/>
    <s v="Pipebot"/>
    <x v="531"/>
    <m/>
    <m/>
    <m/>
    <m/>
    <m/>
    <m/>
    <m/>
    <m/>
    <m/>
    <m/>
    <m/>
    <m/>
    <m/>
    <m/>
    <m/>
    <m/>
    <m/>
    <m/>
    <m/>
    <m/>
    <m/>
    <m/>
    <n v="48.398273055558093"/>
    <x v="2"/>
    <x v="3"/>
    <x v="1"/>
    <n v="223"/>
    <n v="147"/>
    <n v="0.65919282511210764"/>
    <n v="0.65919282511210764"/>
    <n v="1"/>
  </r>
  <r>
    <n v="1256934100"/>
    <s v="62.666.509/0001-25"/>
    <s v="Filipe Pimentel Povoa"/>
    <x v="0"/>
    <s v="Pipebot"/>
    <x v="532"/>
    <m/>
    <m/>
    <d v="2025-12-03T15:04:58"/>
    <d v="2025-12-04T15:05:29"/>
    <n v="1.000359"/>
    <d v="2025-12-08T15:06:45"/>
    <d v="2025-12-10T16:44:54"/>
    <n v="2.0681600000000002"/>
    <m/>
    <m/>
    <m/>
    <d v="2025-12-04T15:05:29"/>
    <d v="2025-12-06T15:06:29"/>
    <n v="2.000683"/>
    <d v="2025-12-06T15:06:29"/>
    <d v="2025-12-08T15:06:45"/>
    <n v="2.0001739999999999"/>
    <m/>
    <m/>
    <m/>
    <m/>
    <m/>
    <n v="99.372054629617196"/>
    <x v="0"/>
    <x v="0"/>
    <x v="0"/>
    <n v="131"/>
    <n v="87"/>
    <n v="0.66412213740458015"/>
    <n v="0.66412213740458015"/>
    <n v="1"/>
  </r>
  <r>
    <n v="1301744641"/>
    <s v="52.469.232/0001-97"/>
    <s v="FLASHBUY MERCADOS"/>
    <x v="7"/>
    <s v="Pipebot"/>
    <x v="533"/>
    <m/>
    <m/>
    <m/>
    <m/>
    <m/>
    <m/>
    <m/>
    <m/>
    <m/>
    <m/>
    <m/>
    <m/>
    <m/>
    <m/>
    <m/>
    <m/>
    <m/>
    <m/>
    <m/>
    <m/>
    <m/>
    <m/>
    <n v="3.2047823148168391"/>
    <x v="4"/>
    <x v="1"/>
    <x v="1"/>
    <n v="189"/>
    <n v="33"/>
    <n v="0.17460317460317459"/>
    <n v="0.17460317460317459"/>
    <n v="1"/>
  </r>
  <r>
    <n v="1278360278"/>
    <s v="50.032.100/0001-78"/>
    <s v="Flávia Aparecida Ferrari - Totem 30 para Smart V1"/>
    <x v="5"/>
    <s v="Pipebot"/>
    <x v="534"/>
    <m/>
    <m/>
    <d v="2026-01-21T19:05:51"/>
    <d v="2026-02-19T12:36:01"/>
    <n v="1.9646300000000001"/>
    <d v="2026-01-26T19:07:28"/>
    <d v="2026-02-18T13:27:44"/>
    <n v="22.764074000000001"/>
    <m/>
    <m/>
    <m/>
    <d v="2026-01-22T19:06:39"/>
    <d v="2026-02-20T16:50:15"/>
    <n v="3.1766779999999999"/>
    <d v="2026-01-24T19:06:51"/>
    <d v="2026-01-26T19:07:28"/>
    <n v="8.1889699999999994"/>
    <m/>
    <m/>
    <m/>
    <m/>
    <m/>
    <n v="50.2047489583274"/>
    <x v="2"/>
    <x v="3"/>
    <x v="1"/>
    <n v="223"/>
    <n v="147"/>
    <n v="0.65919282511210764"/>
    <n v="0.65919282511210764"/>
    <n v="1"/>
  </r>
  <r>
    <n v="1193629753"/>
    <s v="58.554.691/0001-55"/>
    <s v="Flaviano de Lima Costa"/>
    <x v="0"/>
    <s v="Pipebot"/>
    <x v="535"/>
    <m/>
    <m/>
    <m/>
    <m/>
    <m/>
    <m/>
    <m/>
    <m/>
    <m/>
    <m/>
    <m/>
    <m/>
    <m/>
    <m/>
    <m/>
    <m/>
    <m/>
    <m/>
    <m/>
    <m/>
    <m/>
    <m/>
    <n v="198.4333248032417"/>
    <x v="0"/>
    <x v="2"/>
    <x v="0"/>
    <n v="146"/>
    <n v="112"/>
    <n v="0.76712328767123283"/>
    <n v="0.76712328767123283"/>
    <n v="1"/>
  </r>
  <r>
    <n v="1294443903"/>
    <s v="62.581.183/0001-33"/>
    <s v="Flavio de Oliveira Pinheiro "/>
    <x v="0"/>
    <s v="Pipebot"/>
    <x v="536"/>
    <m/>
    <m/>
    <m/>
    <m/>
    <m/>
    <m/>
    <m/>
    <m/>
    <m/>
    <m/>
    <m/>
    <m/>
    <m/>
    <m/>
    <m/>
    <m/>
    <m/>
    <m/>
    <m/>
    <m/>
    <m/>
    <m/>
    <n v="20.243554409717035"/>
    <x v="3"/>
    <x v="1"/>
    <x v="1"/>
    <n v="189"/>
    <n v="33"/>
    <n v="0.17460317460317459"/>
    <n v="0.17460317460317459"/>
    <n v="1"/>
  </r>
  <r>
    <n v="1304763600"/>
    <s v="23.655.413/0001-00"/>
    <s v="FLAVIO DINIZ GONCALVES FARIA"/>
    <x v="7"/>
    <s v="Pipebot"/>
    <x v="537"/>
    <m/>
    <m/>
    <m/>
    <m/>
    <m/>
    <m/>
    <m/>
    <m/>
    <m/>
    <m/>
    <m/>
    <m/>
    <m/>
    <m/>
    <m/>
    <m/>
    <m/>
    <m/>
    <m/>
    <m/>
    <m/>
    <m/>
    <n v="0.20485445601661922"/>
    <x v="4"/>
    <x v="1"/>
    <x v="1"/>
    <n v="189"/>
    <n v="33"/>
    <n v="0.17460317460317459"/>
    <n v="0.17460317460317459"/>
    <n v="1"/>
  </r>
  <r>
    <n v="1281735278"/>
    <s v="60.896.394/0001-30"/>
    <s v="Flávio Prado de Oliveira - (máquina) acionado Sofia em 02/02"/>
    <x v="4"/>
    <s v="Pipebot"/>
    <x v="538"/>
    <m/>
    <m/>
    <d v="2026-01-28T15:08:32"/>
    <d v="2026-02-20T16:51:35"/>
    <n v="2.1767479999999999"/>
    <d v="2026-02-02T15:10:32"/>
    <d v="2026-02-19T12:37:55"/>
    <n v="16.894005"/>
    <m/>
    <m/>
    <m/>
    <d v="2026-01-29T15:09:24"/>
    <d v="2026-02-23T13:32:47"/>
    <n v="4.8623149999999997"/>
    <d v="2026-01-31T15:09:56"/>
    <d v="2026-02-24T17:53:14"/>
    <n v="3.1812619999999998"/>
    <m/>
    <m/>
    <m/>
    <m/>
    <m/>
    <n v="43.369492199082742"/>
    <x v="2"/>
    <x v="3"/>
    <x v="1"/>
    <n v="223"/>
    <n v="147"/>
    <n v="0.65919282511210764"/>
    <n v="0.65919282511210764"/>
    <n v="1"/>
  </r>
  <r>
    <n v="1188348687"/>
    <s v="61.272.474/0001-87"/>
    <s v="FLORENTIO JUNIOR GOMES MONREAL"/>
    <x v="0"/>
    <s v="Pipebot"/>
    <x v="539"/>
    <m/>
    <m/>
    <m/>
    <m/>
    <m/>
    <m/>
    <m/>
    <m/>
    <m/>
    <m/>
    <m/>
    <m/>
    <m/>
    <m/>
    <m/>
    <m/>
    <m/>
    <m/>
    <m/>
    <m/>
    <m/>
    <m/>
    <n v="206.17351416667225"/>
    <x v="0"/>
    <x v="2"/>
    <x v="0"/>
    <n v="146"/>
    <n v="112"/>
    <n v="0.76712328767123283"/>
    <n v="0.76712328767123283"/>
    <n v="1"/>
  </r>
  <r>
    <n v="1301348527"/>
    <s v="59.402.098/0001-56"/>
    <s v="FMK COMÉRCIO "/>
    <x v="7"/>
    <s v="Pipebot"/>
    <x v="540"/>
    <m/>
    <m/>
    <m/>
    <m/>
    <m/>
    <m/>
    <m/>
    <m/>
    <m/>
    <m/>
    <m/>
    <m/>
    <m/>
    <m/>
    <m/>
    <m/>
    <m/>
    <m/>
    <m/>
    <m/>
    <m/>
    <m/>
    <n v="3.4541229629612644"/>
    <x v="4"/>
    <x v="1"/>
    <x v="1"/>
    <n v="189"/>
    <n v="33"/>
    <n v="0.17460317460317459"/>
    <n v="0.17460317460317459"/>
    <n v="1"/>
  </r>
  <r>
    <n v="1278362197"/>
    <s v="48.358.843/0001-90"/>
    <s v="Francine Hingst Yates"/>
    <x v="0"/>
    <s v="Pipebot"/>
    <x v="541"/>
    <m/>
    <m/>
    <m/>
    <m/>
    <m/>
    <m/>
    <m/>
    <m/>
    <m/>
    <m/>
    <m/>
    <m/>
    <m/>
    <m/>
    <m/>
    <m/>
    <m/>
    <m/>
    <m/>
    <m/>
    <m/>
    <m/>
    <n v="50.202712175931083"/>
    <x v="2"/>
    <x v="3"/>
    <x v="1"/>
    <n v="223"/>
    <n v="147"/>
    <n v="0.65919282511210764"/>
    <n v="0.65919282511210764"/>
    <n v="1"/>
  </r>
  <r>
    <n v="1266078309"/>
    <s v="55.189.057/0001-72"/>
    <s v="FS Alimentos LTDA"/>
    <x v="5"/>
    <s v="Pipebot"/>
    <x v="542"/>
    <m/>
    <m/>
    <d v="2025-12-23T19:09:14"/>
    <d v="2026-02-18T13:25:11"/>
    <n v="3.022465"/>
    <d v="2025-12-28T19:10:29"/>
    <d v="2026-02-16T12:53:28"/>
    <n v="49.738182999999999"/>
    <m/>
    <m/>
    <m/>
    <d v="2025-12-24T19:09:52"/>
    <d v="2026-02-19T12:28:00"/>
    <n v="2.9604170000000001"/>
    <d v="2025-12-26T19:10:05"/>
    <d v="2025-12-28T19:10:29"/>
    <n v="9.3709489999999995"/>
    <m/>
    <m/>
    <m/>
    <m/>
    <m/>
    <n v="79.202603067133168"/>
    <x v="0"/>
    <x v="7"/>
    <x v="0"/>
    <n v="207"/>
    <n v="140"/>
    <n v="0.67632850241545894"/>
    <n v="0.67632850241545894"/>
    <n v="1"/>
  </r>
  <r>
    <n v="1301747292"/>
    <s v="48.358.843/0001-90"/>
    <s v="Francine Yates"/>
    <x v="7"/>
    <s v="Pipebot"/>
    <x v="543"/>
    <m/>
    <m/>
    <m/>
    <m/>
    <m/>
    <m/>
    <m/>
    <m/>
    <m/>
    <m/>
    <m/>
    <m/>
    <m/>
    <m/>
    <m/>
    <m/>
    <m/>
    <m/>
    <m/>
    <m/>
    <m/>
    <m/>
    <n v="3.2035428935196251"/>
    <x v="4"/>
    <x v="1"/>
    <x v="1"/>
    <n v="189"/>
    <n v="33"/>
    <n v="0.17460317460317459"/>
    <n v="0.17460317460317459"/>
    <n v="1"/>
  </r>
  <r>
    <n v="1231463651"/>
    <s v="41.141.999/0001-76"/>
    <s v="Francisco Henrique Balioni "/>
    <x v="0"/>
    <s v="Pipebot"/>
    <x v="544"/>
    <m/>
    <m/>
    <d v="2025-10-23T20:29:12"/>
    <d v="2025-10-24T20:30:09"/>
    <n v="1.0006600000000001"/>
    <m/>
    <m/>
    <m/>
    <m/>
    <m/>
    <m/>
    <d v="2025-10-24T20:30:09"/>
    <d v="2025-10-26T20:30:18"/>
    <n v="2.0000930000000001"/>
    <d v="2025-10-26T20:30:18"/>
    <d v="2025-10-27T17:40:54"/>
    <n v="0.88236099999999995"/>
    <m/>
    <m/>
    <m/>
    <m/>
    <m/>
    <n v="140.14703872684913"/>
    <x v="0"/>
    <x v="6"/>
    <x v="0"/>
    <n v="195"/>
    <n v="132"/>
    <n v="0.67692307692307696"/>
    <n v="0.67692307692307696"/>
    <n v="1"/>
  </r>
  <r>
    <n v="1273199203"/>
    <s v="44.518.356/0001-97"/>
    <s v="Gabriel Felipe Joaquim"/>
    <x v="5"/>
    <s v="Pipebot"/>
    <x v="545"/>
    <m/>
    <m/>
    <d v="2026-01-09T15:05:52"/>
    <d v="2026-02-19T12:35:52"/>
    <n v="1.964294"/>
    <d v="2026-01-14T15:07:47"/>
    <d v="2026-02-18T13:27:35"/>
    <n v="34.930416999999998"/>
    <m/>
    <m/>
    <m/>
    <d v="2026-01-10T15:06:11"/>
    <d v="2026-02-20T13:03:01"/>
    <n v="3.0193289999999999"/>
    <d v="2026-01-12T15:06:53"/>
    <d v="2026-01-14T15:07:47"/>
    <n v="8.3469789999999993"/>
    <m/>
    <m/>
    <m/>
    <m/>
    <m/>
    <n v="62.371306516201003"/>
    <x v="0"/>
    <x v="7"/>
    <x v="0"/>
    <n v="207"/>
    <n v="140"/>
    <n v="0.67632850241545894"/>
    <n v="0.67632850241545894"/>
    <n v="1"/>
  </r>
  <r>
    <n v="1247041831"/>
    <s v="50.446.955/0001-45"/>
    <s v="Freitas Comércio Varejista de Mercadorias Ltda / Fernanda Freitas - Recebido 06/11"/>
    <x v="8"/>
    <s v="Pipebot"/>
    <x v="546"/>
    <m/>
    <m/>
    <m/>
    <m/>
    <m/>
    <m/>
    <m/>
    <m/>
    <m/>
    <m/>
    <m/>
    <m/>
    <m/>
    <m/>
    <m/>
    <m/>
    <m/>
    <m/>
    <m/>
    <m/>
    <m/>
    <m/>
    <n v="120.20467087963334"/>
    <x v="0"/>
    <x v="6"/>
    <x v="0"/>
    <n v="195"/>
    <n v="132"/>
    <n v="0.67692307692307696"/>
    <n v="0.67692307692307696"/>
    <n v="1"/>
  </r>
  <r>
    <n v="1289705199"/>
    <s v="43.768.232/0001-05"/>
    <s v="Friends Smart Market"/>
    <x v="5"/>
    <s v="Pipebot"/>
    <x v="547"/>
    <m/>
    <m/>
    <d v="2026-02-11T19:05:59"/>
    <d v="2026-02-21T15:20:32"/>
    <n v="1.000694"/>
    <d v="2026-02-11T20:44:58"/>
    <d v="2026-02-20T16:58:30"/>
    <n v="8.8427199999999999"/>
    <m/>
    <m/>
    <m/>
    <d v="2026-02-21T15:20:32"/>
    <d v="2026-02-23T13:32:47"/>
    <n v="1.9251739999999999"/>
    <d v="2026-02-23T13:32:48"/>
    <m/>
    <n v="3.3256600000000001"/>
    <m/>
    <m/>
    <m/>
    <m/>
    <m/>
    <n v="29.204507997688779"/>
    <x v="5"/>
    <x v="3"/>
    <x v="1"/>
    <n v="223"/>
    <n v="147"/>
    <n v="0.65919282511210764"/>
    <n v="0.65919282511210764"/>
    <n v="1"/>
  </r>
  <r>
    <n v="1270229639"/>
    <s v="52.469.232/0001-97"/>
    <s v="Gabriel Tabosa"/>
    <x v="0"/>
    <s v="Pipebot"/>
    <x v="548"/>
    <m/>
    <m/>
    <d v="2026-01-01T20:18:38"/>
    <d v="2026-01-02T20:19:04"/>
    <n v="1.0003010000000001"/>
    <d v="2026-01-06T20:20:54"/>
    <d v="2026-01-12T16:42:05"/>
    <n v="5.8480319999999999"/>
    <m/>
    <m/>
    <m/>
    <d v="2026-01-02T20:19:04"/>
    <d v="2026-01-04T20:20:08"/>
    <n v="2.0007290000000002"/>
    <d v="2026-01-04T20:20:08"/>
    <d v="2026-01-06T20:20:54"/>
    <n v="2.0005320000000002"/>
    <m/>
    <m/>
    <m/>
    <m/>
    <m/>
    <n v="70.153878483790322"/>
    <x v="0"/>
    <x v="7"/>
    <x v="0"/>
    <n v="207"/>
    <n v="140"/>
    <n v="0.67632850241545894"/>
    <n v="0.67632850241545894"/>
    <n v="1"/>
  </r>
  <r>
    <n v="1198094288"/>
    <s v="31.462.233/0001-30"/>
    <s v="FVW Youse"/>
    <x v="0"/>
    <s v="Pipebot"/>
    <x v="549"/>
    <m/>
    <m/>
    <d v="2025-09-02T20:25:59"/>
    <d v="2025-09-03T20:26:22"/>
    <n v="1.0002549999999999"/>
    <m/>
    <m/>
    <m/>
    <m/>
    <m/>
    <m/>
    <d v="2025-09-03T20:26:22"/>
    <d v="2025-09-05T18:09:59"/>
    <n v="1.905289"/>
    <m/>
    <m/>
    <m/>
    <m/>
    <m/>
    <m/>
    <m/>
    <m/>
    <n v="191.14914856480755"/>
    <x v="0"/>
    <x v="2"/>
    <x v="0"/>
    <n v="146"/>
    <n v="112"/>
    <n v="0.76712328767123283"/>
    <n v="0.76712328767123283"/>
    <n v="1"/>
  </r>
  <r>
    <n v="1200310475"/>
    <s v="31.462.233/0001-30"/>
    <s v="FVW Youse"/>
    <x v="0"/>
    <s v="Pipebot"/>
    <x v="550"/>
    <m/>
    <m/>
    <m/>
    <m/>
    <m/>
    <m/>
    <m/>
    <m/>
    <m/>
    <m/>
    <m/>
    <m/>
    <m/>
    <m/>
    <m/>
    <m/>
    <m/>
    <m/>
    <m/>
    <m/>
    <m/>
    <m/>
    <n v="188.1486808333284"/>
    <x v="0"/>
    <x v="2"/>
    <x v="0"/>
    <n v="146"/>
    <n v="112"/>
    <n v="0.76712328767123283"/>
    <n v="0.76712328767123283"/>
    <n v="1"/>
  </r>
  <r>
    <n v="1213260702"/>
    <s v="31.462.233/0001-30"/>
    <s v="FVW Youse"/>
    <x v="0"/>
    <s v="Pipebot"/>
    <x v="551"/>
    <m/>
    <m/>
    <d v="2025-09-26T15:30:08"/>
    <d v="2025-09-27T15:30:48"/>
    <n v="1.0004630000000001"/>
    <d v="2025-10-01T15:32:36"/>
    <d v="2025-11-04T19:55:32"/>
    <n v="34.182592999999997"/>
    <m/>
    <m/>
    <m/>
    <d v="2025-09-27T15:30:48"/>
    <d v="2025-09-29T15:31:59"/>
    <n v="2.0008219999999999"/>
    <d v="2025-09-29T15:31:59"/>
    <d v="2025-10-01T15:32:36"/>
    <n v="2.0004170000000001"/>
    <m/>
    <m/>
    <m/>
    <m/>
    <m/>
    <n v="167.35479604166176"/>
    <x v="0"/>
    <x v="4"/>
    <x v="0"/>
    <n v="197"/>
    <n v="149"/>
    <n v="0.75634517766497467"/>
    <n v="0.75634517766497467"/>
    <n v="1"/>
  </r>
  <r>
    <n v="1216185518"/>
    <s v="53.215.626/0001-81"/>
    <s v="Gabriel Beti Cuchava Rocha "/>
    <x v="0"/>
    <s v="Pipebot"/>
    <x v="552"/>
    <m/>
    <m/>
    <d v="2025-10-01T20:25:56"/>
    <d v="2025-10-02T20:26:42"/>
    <n v="1.000532"/>
    <d v="2025-10-06T20:27:39"/>
    <d v="2025-10-14T19:56:52"/>
    <n v="7.9786229999999998"/>
    <m/>
    <m/>
    <m/>
    <d v="2025-10-02T20:26:42"/>
    <d v="2025-10-04T20:27:30"/>
    <n v="2.0005440000000001"/>
    <d v="2025-10-04T20:27:30"/>
    <d v="2025-10-06T20:27:39"/>
    <n v="2.0000930000000001"/>
    <m/>
    <m/>
    <m/>
    <m/>
    <m/>
    <n v="162.14905098378949"/>
    <x v="0"/>
    <x v="4"/>
    <x v="0"/>
    <n v="197"/>
    <n v="149"/>
    <n v="0.75634517766497467"/>
    <n v="0.75634517766497467"/>
    <n v="1"/>
  </r>
  <r>
    <n v="1229142130"/>
    <s v="54.485.174/0001-10"/>
    <s v="Gabriel dos Santos Rocha"/>
    <x v="0"/>
    <s v="Pipebot"/>
    <x v="553"/>
    <m/>
    <m/>
    <m/>
    <m/>
    <m/>
    <m/>
    <m/>
    <m/>
    <m/>
    <m/>
    <m/>
    <m/>
    <m/>
    <m/>
    <m/>
    <m/>
    <m/>
    <m/>
    <m/>
    <m/>
    <m/>
    <m/>
    <n v="143.14852444444841"/>
    <x v="0"/>
    <x v="6"/>
    <x v="0"/>
    <n v="195"/>
    <n v="132"/>
    <n v="0.67692307692307696"/>
    <n v="0.67692307692307696"/>
    <n v="1"/>
  </r>
  <r>
    <n v="1182152414"/>
    <s v="44.518.356/0001-97"/>
    <s v="Gabriel Felipe Joaquim"/>
    <x v="0"/>
    <s v="Pipebot"/>
    <x v="554"/>
    <m/>
    <m/>
    <d v="2025-08-06T20:27:46"/>
    <d v="2025-08-07T20:28:09"/>
    <n v="1.0002660000000001"/>
    <d v="2025-08-11T20:29:39"/>
    <d v="2025-08-19T20:20:17"/>
    <n v="7.9934950000000002"/>
    <m/>
    <m/>
    <m/>
    <d v="2025-08-07T20:28:09"/>
    <d v="2025-08-09T20:28:39"/>
    <n v="2.0003359999999999"/>
    <d v="2025-08-09T20:28:39"/>
    <d v="2025-08-11T20:29:39"/>
    <n v="2.0006940000000002"/>
    <m/>
    <m/>
    <m/>
    <m/>
    <m/>
    <n v="218.14752309027972"/>
    <x v="0"/>
    <x v="5"/>
    <x v="0"/>
    <n v="177"/>
    <n v="130"/>
    <n v="0.7344632768361582"/>
    <n v="0.7344632768361582"/>
    <n v="1"/>
  </r>
  <r>
    <n v="1274485958"/>
    <s v="59.985.940/0001-20"/>
    <s v="GERLANE CRISTINE DA SILVA E SOUZA"/>
    <x v="0"/>
    <s v="Pipebot"/>
    <x v="555"/>
    <m/>
    <m/>
    <d v="2026-01-12T19:05:39"/>
    <d v="2026-01-13T19:06:11"/>
    <n v="1.000359"/>
    <d v="2026-01-14T19:45:47"/>
    <d v="2026-01-14T19:45:52"/>
    <n v="4.6E-5"/>
    <m/>
    <m/>
    <m/>
    <d v="2026-01-13T19:06:11"/>
    <d v="2026-01-14T19:45:47"/>
    <n v="1.027488"/>
    <m/>
    <m/>
    <m/>
    <m/>
    <m/>
    <m/>
    <m/>
    <m/>
    <n v="59.204995636580861"/>
    <x v="2"/>
    <x v="7"/>
    <x v="0"/>
    <n v="207"/>
    <n v="140"/>
    <n v="0.67632850241545894"/>
    <n v="0.67632850241545894"/>
    <n v="1"/>
  </r>
  <r>
    <n v="1197256640"/>
    <s v="53.806.938/0001-60"/>
    <s v="Gabriel Felipe Kesslau "/>
    <x v="0"/>
    <s v="Pipebot"/>
    <x v="556"/>
    <m/>
    <m/>
    <d v="2025-09-01T19:15:23"/>
    <d v="2025-09-02T19:16:37"/>
    <n v="1.000856"/>
    <m/>
    <m/>
    <m/>
    <m/>
    <m/>
    <m/>
    <d v="2025-09-02T19:16:37"/>
    <d v="2025-09-04T19:17:11"/>
    <n v="2.0003820000000001"/>
    <d v="2025-09-04T19:17:11"/>
    <d v="2025-09-05T13:59:22"/>
    <n v="0.77928200000000003"/>
    <m/>
    <m/>
    <m/>
    <m/>
    <m/>
    <n v="192.19815633101825"/>
    <x v="0"/>
    <x v="2"/>
    <x v="0"/>
    <n v="146"/>
    <n v="112"/>
    <n v="0.76712328767123283"/>
    <n v="0.76712328767123283"/>
    <n v="1"/>
  </r>
  <r>
    <n v="1208937428"/>
    <s v="53.806.938/0001-60"/>
    <s v="Gabriel Felipe Kesslau "/>
    <x v="0"/>
    <s v="Pipebot"/>
    <x v="557"/>
    <m/>
    <m/>
    <m/>
    <m/>
    <m/>
    <m/>
    <m/>
    <m/>
    <m/>
    <m/>
    <m/>
    <m/>
    <m/>
    <m/>
    <m/>
    <m/>
    <m/>
    <m/>
    <m/>
    <m/>
    <m/>
    <m/>
    <n v="174.41581415508699"/>
    <x v="0"/>
    <x v="4"/>
    <x v="0"/>
    <n v="197"/>
    <n v="149"/>
    <n v="0.75634517766497467"/>
    <n v="0.75634517766497467"/>
    <n v="1"/>
  </r>
  <r>
    <n v="1186005372"/>
    <s v="53.258.843/0001-59"/>
    <s v="Gabriel Melo - 1 módulo de geladeira"/>
    <x v="5"/>
    <s v="Pipebot"/>
    <x v="558"/>
    <m/>
    <m/>
    <d v="2025-08-13T20:27:09"/>
    <d v="2026-02-12T12:25:39"/>
    <n v="1.6459379999999999"/>
    <d v="2025-08-18T20:29:06"/>
    <d v="2026-02-11T20:56:10"/>
    <n v="177.01879600000001"/>
    <m/>
    <m/>
    <m/>
    <d v="2025-08-14T20:27:51"/>
    <d v="2026-02-13T15:59:33"/>
    <n v="3.148692"/>
    <d v="2025-08-16T20:28:04"/>
    <d v="2025-08-18T20:29:06"/>
    <n v="15.224468"/>
    <m/>
    <m/>
    <m/>
    <m/>
    <m/>
    <n v="211.14825208333787"/>
    <x v="0"/>
    <x v="5"/>
    <x v="0"/>
    <n v="177"/>
    <n v="130"/>
    <n v="0.7344632768361582"/>
    <n v="0.7344632768361582"/>
    <n v="1"/>
  </r>
  <r>
    <n v="1222690438"/>
    <s v="60.930.239/0001-92"/>
    <s v="Gabriel Senibaldi"/>
    <x v="0"/>
    <s v="Pipebot"/>
    <x v="559"/>
    <m/>
    <m/>
    <m/>
    <m/>
    <m/>
    <m/>
    <m/>
    <m/>
    <m/>
    <m/>
    <m/>
    <m/>
    <m/>
    <m/>
    <m/>
    <m/>
    <m/>
    <m/>
    <m/>
    <m/>
    <m/>
    <m/>
    <n v="152.35711781249847"/>
    <x v="0"/>
    <x v="4"/>
    <x v="0"/>
    <n v="197"/>
    <n v="149"/>
    <n v="0.75634517766497467"/>
    <n v="0.75634517766497467"/>
    <n v="1"/>
  </r>
  <r>
    <n v="1264758246"/>
    <s v="43.440.242/0001-09"/>
    <s v="Helio Cardoso Coelho"/>
    <x v="5"/>
    <s v="Pipebot"/>
    <x v="560"/>
    <m/>
    <m/>
    <d v="2025-12-19T19:10:39"/>
    <d v="2026-02-18T13:25:07"/>
    <n v="3.0226039999999998"/>
    <d v="2025-12-24T19:11:53"/>
    <d v="2026-02-16T12:53:01"/>
    <n v="53.736897999999997"/>
    <m/>
    <m/>
    <m/>
    <d v="2025-12-20T19:11:07"/>
    <d v="2026-02-19T12:27:56"/>
    <n v="2.9603820000000001"/>
    <d v="2025-12-22T19:11:16"/>
    <d v="2025-12-24T19:11:53"/>
    <n v="9.3711459999999995"/>
    <m/>
    <m/>
    <m/>
    <m/>
    <m/>
    <n v="83.201538240740774"/>
    <x v="0"/>
    <x v="7"/>
    <x v="0"/>
    <n v="207"/>
    <n v="140"/>
    <n v="0.67632850241545894"/>
    <n v="0.67632850241545894"/>
    <n v="1"/>
  </r>
  <r>
    <n v="1224733735"/>
    <s v="40.013.281/0001-31"/>
    <s v="Gabriela Amélia Viviani de Oliveira - origem não identificada"/>
    <x v="0"/>
    <s v="Vinícius Melesque dos Santos"/>
    <x v="561"/>
    <m/>
    <m/>
    <m/>
    <m/>
    <m/>
    <m/>
    <m/>
    <m/>
    <m/>
    <m/>
    <m/>
    <m/>
    <m/>
    <m/>
    <m/>
    <m/>
    <m/>
    <m/>
    <m/>
    <m/>
    <m/>
    <m/>
    <n v="149.11211105324037"/>
    <x v="0"/>
    <x v="4"/>
    <x v="0"/>
    <n v="197"/>
    <n v="149"/>
    <n v="0.75634517766497467"/>
    <n v="0.75634517766497467"/>
    <n v="1"/>
  </r>
  <r>
    <n v="1276528150"/>
    <s v="53.450.911/0001-87"/>
    <s v="Gabriela Freitas De Oliveira"/>
    <x v="0"/>
    <s v="Pipebot"/>
    <x v="562"/>
    <m/>
    <m/>
    <d v="2026-01-19T19:08:14"/>
    <d v="2026-01-20T19:08:48"/>
    <n v="1.000394"/>
    <m/>
    <m/>
    <m/>
    <m/>
    <m/>
    <m/>
    <d v="2026-01-20T19:08:48"/>
    <d v="2026-01-21T16:01:01"/>
    <n v="0.86958299999999999"/>
    <m/>
    <m/>
    <m/>
    <m/>
    <m/>
    <m/>
    <m/>
    <m/>
    <n v="52.203331550932489"/>
    <x v="2"/>
    <x v="3"/>
    <x v="1"/>
    <n v="223"/>
    <n v="147"/>
    <n v="0.65919282511210764"/>
    <n v="0.65919282511210764"/>
    <n v="1"/>
  </r>
  <r>
    <n v="1278476738"/>
    <s v="60.963.797/0001-54"/>
    <s v="Gabriela Paranhos Chaves Camargos"/>
    <x v="0"/>
    <s v="Pipebot"/>
    <x v="563"/>
    <m/>
    <m/>
    <m/>
    <m/>
    <m/>
    <m/>
    <m/>
    <m/>
    <m/>
    <m/>
    <m/>
    <m/>
    <m/>
    <m/>
    <m/>
    <m/>
    <m/>
    <m/>
    <m/>
    <m/>
    <m/>
    <m/>
    <n v="50.078881423607527"/>
    <x v="2"/>
    <x v="3"/>
    <x v="1"/>
    <n v="223"/>
    <n v="147"/>
    <n v="0.65919282511210764"/>
    <n v="0.65919282511210764"/>
    <n v="1"/>
  </r>
  <r>
    <n v="1243425696"/>
    <s v="60.963.797/0001-54"/>
    <s v="Gabriela Paranhos Chaves Camargos (GW Brindes Personalizados)"/>
    <x v="0"/>
    <s v="Pipebot"/>
    <x v="564"/>
    <m/>
    <m/>
    <d v="2026-02-12T12:30:06"/>
    <d v="2026-02-13T12:30:14"/>
    <n v="1.0000929999999999"/>
    <d v="2025-10-31T20:24:36"/>
    <d v="2026-02-12T12:30:06"/>
    <n v="103.670475"/>
    <d v="2026-02-19T14:19:04"/>
    <d v="2026-02-19T14:19:10"/>
    <n v="6.8999999999999997E-5"/>
    <d v="2026-02-13T12:30:14"/>
    <d v="2026-02-13T16:00:01"/>
    <n v="0.14567099999999999"/>
    <d v="2026-02-13T16:00:01"/>
    <d v="2026-02-19T14:18:57"/>
    <n v="5.9298149999999996"/>
    <m/>
    <m/>
    <m/>
    <m/>
    <m/>
    <n v="125.20504759259347"/>
    <x v="0"/>
    <x v="6"/>
    <x v="0"/>
    <n v="195"/>
    <n v="132"/>
    <n v="0.67692307692307696"/>
    <n v="0.67692307692307696"/>
    <n v="1"/>
  </r>
  <r>
    <n v="1210992688"/>
    <s v="36.866.522/0001-18"/>
    <s v="Gabriela Paulino Brito"/>
    <x v="0"/>
    <s v="Pipebot"/>
    <x v="565"/>
    <m/>
    <m/>
    <m/>
    <m/>
    <m/>
    <m/>
    <m/>
    <m/>
    <m/>
    <m/>
    <m/>
    <m/>
    <m/>
    <m/>
    <m/>
    <m/>
    <m/>
    <m/>
    <m/>
    <m/>
    <m/>
    <m/>
    <n v="170.35728199074219"/>
    <x v="0"/>
    <x v="4"/>
    <x v="0"/>
    <n v="197"/>
    <n v="149"/>
    <n v="0.75634517766497467"/>
    <n v="0.75634517766497467"/>
    <n v="1"/>
  </r>
  <r>
    <n v="1238328448"/>
    <s v="40.347.008/0001-43"/>
    <s v="Genivalda Gois Oliveira de Lima"/>
    <x v="8"/>
    <s v="Pipebot"/>
    <x v="566"/>
    <m/>
    <m/>
    <m/>
    <m/>
    <m/>
    <m/>
    <m/>
    <m/>
    <m/>
    <m/>
    <m/>
    <m/>
    <m/>
    <m/>
    <m/>
    <m/>
    <m/>
    <m/>
    <m/>
    <m/>
    <m/>
    <m/>
    <n v="132.37333313657291"/>
    <x v="0"/>
    <x v="6"/>
    <x v="0"/>
    <n v="195"/>
    <n v="132"/>
    <n v="0.67692307692307696"/>
    <n v="0.67692307692307696"/>
    <n v="1"/>
  </r>
  <r>
    <n v="1210302053"/>
    <s v="40.347.008/0001-43"/>
    <s v="Genivalda Gois Oliveira de Lima"/>
    <x v="0"/>
    <s v="Pipebot"/>
    <x v="567"/>
    <m/>
    <m/>
    <m/>
    <m/>
    <m/>
    <m/>
    <m/>
    <m/>
    <m/>
    <m/>
    <m/>
    <m/>
    <m/>
    <m/>
    <m/>
    <m/>
    <m/>
    <m/>
    <m/>
    <m/>
    <m/>
    <m/>
    <n v="171.35822579861269"/>
    <x v="0"/>
    <x v="4"/>
    <x v="0"/>
    <n v="197"/>
    <n v="149"/>
    <n v="0.75634517766497467"/>
    <n v="0.75634517766497467"/>
    <n v="1"/>
  </r>
  <r>
    <n v="1277289982"/>
    <m/>
    <s v="Geovanny Garcia Alzate (Código de rastreio QN287611627BR)"/>
    <x v="0"/>
    <s v="Pipebot"/>
    <x v="568"/>
    <m/>
    <m/>
    <m/>
    <m/>
    <m/>
    <d v="2026-01-14T17:24:03"/>
    <d v="2026-01-14T17:24:09"/>
    <n v="6.8999999999999997E-5"/>
    <m/>
    <m/>
    <m/>
    <m/>
    <m/>
    <m/>
    <m/>
    <m/>
    <m/>
    <m/>
    <m/>
    <m/>
    <m/>
    <m/>
    <n v="51.442532129629399"/>
    <x v="2"/>
    <x v="3"/>
    <x v="1"/>
    <n v="223"/>
    <n v="147"/>
    <n v="0.65919282511210764"/>
    <n v="0.65919282511210764"/>
    <n v="1"/>
  </r>
  <r>
    <n v="1264342445"/>
    <s v="59.115.885/0001-17"/>
    <s v="Hemilly Felix da Silva - TOTEM COM ABA"/>
    <x v="0"/>
    <s v="Pipebot"/>
    <x v="569"/>
    <m/>
    <m/>
    <d v="2025-12-18T20:59:55"/>
    <d v="2026-02-18T13:25:04"/>
    <n v="3.0229400000000002"/>
    <d v="2025-12-23T21:01:49"/>
    <d v="2026-02-16T12:53:00"/>
    <n v="54.660532000000003"/>
    <d v="2026-02-20T22:09:11"/>
    <d v="2026-02-20T22:10:15"/>
    <n v="7.2900000000000005E-4"/>
    <d v="2025-12-19T21:00:54"/>
    <d v="2026-02-19T12:27:53"/>
    <n v="2.9605899999999998"/>
    <d v="2025-12-21T21:01:20"/>
    <d v="2026-02-20T22:09:11"/>
    <n v="3.4040159999999999"/>
    <m/>
    <m/>
    <m/>
    <m/>
    <m/>
    <n v="84.125417094910517"/>
    <x v="0"/>
    <x v="7"/>
    <x v="0"/>
    <n v="207"/>
    <n v="140"/>
    <n v="0.67632850241545894"/>
    <n v="0.67632850241545894"/>
    <n v="1"/>
  </r>
  <r>
    <n v="1284026130"/>
    <s v="50.063.496/0001-10"/>
    <s v="Gesiele"/>
    <x v="0"/>
    <s v="Pipebot"/>
    <x v="570"/>
    <m/>
    <m/>
    <m/>
    <m/>
    <m/>
    <m/>
    <m/>
    <m/>
    <m/>
    <m/>
    <m/>
    <m/>
    <m/>
    <m/>
    <m/>
    <m/>
    <m/>
    <m/>
    <m/>
    <m/>
    <m/>
    <m/>
    <n v="38.257567824068246"/>
    <x v="2"/>
    <x v="3"/>
    <x v="1"/>
    <n v="223"/>
    <n v="147"/>
    <n v="0.65919282511210764"/>
    <n v="0.65919282511210764"/>
    <n v="1"/>
  </r>
  <r>
    <n v="1257102276"/>
    <s v="60.590.309/0001-00"/>
    <s v="Gilberto jacomossi (boleto anexo)"/>
    <x v="9"/>
    <s v="Pipebot"/>
    <x v="571"/>
    <m/>
    <m/>
    <d v="2025-12-03T19:06:10"/>
    <d v="2026-02-18T13:24:47"/>
    <n v="3.0223260000000001"/>
    <d v="2025-12-08T19:07:23"/>
    <d v="2026-02-16T12:52:47"/>
    <n v="69.739861000000005"/>
    <d v="2026-02-20T20:51:51"/>
    <d v="2026-02-20T20:53:11"/>
    <n v="9.2599999999999996E-4"/>
    <d v="2025-12-04T19:06:19"/>
    <d v="2026-02-19T12:27:22"/>
    <n v="2.9602430000000002"/>
    <d v="2025-12-06T19:06:29"/>
    <d v="2026-02-20T20:51:51"/>
    <n v="3.3509380000000002"/>
    <m/>
    <m/>
    <m/>
    <m/>
    <m/>
    <n v="99.204679155096528"/>
    <x v="0"/>
    <x v="0"/>
    <x v="0"/>
    <n v="131"/>
    <n v="87"/>
    <n v="0.66412213740458015"/>
    <n v="0.66412213740458015"/>
    <n v="1"/>
  </r>
  <r>
    <n v="1258801819"/>
    <s v="60.907.465/0001-52"/>
    <s v="Giovanna"/>
    <x v="0"/>
    <s v="Pipebot"/>
    <x v="572"/>
    <m/>
    <m/>
    <m/>
    <m/>
    <m/>
    <m/>
    <m/>
    <m/>
    <m/>
    <m/>
    <m/>
    <m/>
    <m/>
    <m/>
    <m/>
    <m/>
    <m/>
    <m/>
    <m/>
    <m/>
    <m/>
    <m/>
    <n v="94.26252702545753"/>
    <x v="0"/>
    <x v="0"/>
    <x v="0"/>
    <n v="131"/>
    <n v="87"/>
    <n v="0.66412213740458015"/>
    <n v="0.66412213740458015"/>
    <n v="1"/>
  </r>
  <r>
    <n v="1258055122"/>
    <s v="56.911.529/0001-11"/>
    <s v="Gisele Aparecida Rodrigues Custódio "/>
    <x v="0"/>
    <s v="Pipebot"/>
    <x v="573"/>
    <m/>
    <m/>
    <d v="2025-12-05T22:06:37"/>
    <d v="2025-12-06T22:07:28"/>
    <n v="1.0005790000000001"/>
    <d v="2025-12-10T22:08:44"/>
    <d v="2025-12-20T13:06:39"/>
    <n v="9.6235420000000005"/>
    <m/>
    <m/>
    <m/>
    <d v="2025-12-06T22:07:28"/>
    <d v="2025-12-08T22:07:59"/>
    <n v="2.000359"/>
    <d v="2025-12-08T22:08:00"/>
    <d v="2025-12-10T22:08:44"/>
    <n v="2.0005090000000001"/>
    <m/>
    <m/>
    <m/>
    <m/>
    <m/>
    <n v="97.078876932871935"/>
    <x v="0"/>
    <x v="0"/>
    <x v="0"/>
    <n v="131"/>
    <n v="87"/>
    <n v="0.66412213740458015"/>
    <n v="0.66412213740458015"/>
    <n v="1"/>
  </r>
  <r>
    <n v="1294278589"/>
    <s v="55.247.626/0001-99"/>
    <s v="Glaucia Maria Silva Antunes Ferreira"/>
    <x v="5"/>
    <s v="Pipebot"/>
    <x v="574"/>
    <m/>
    <m/>
    <d v="2026-02-20T13:36:29"/>
    <d v="2026-02-20T16:52:52"/>
    <n v="0.13636599999999999"/>
    <m/>
    <m/>
    <m/>
    <m/>
    <m/>
    <m/>
    <d v="2026-02-20T16:52:52"/>
    <d v="2026-02-22T16:53:17"/>
    <n v="2.000289"/>
    <d v="2026-02-22T16:53:17"/>
    <m/>
    <n v="4.1864470000000003"/>
    <m/>
    <m/>
    <m/>
    <m/>
    <m/>
    <n v="20.433406041673152"/>
    <x v="3"/>
    <x v="1"/>
    <x v="1"/>
    <n v="189"/>
    <n v="33"/>
    <n v="0.17460317460317459"/>
    <n v="0.17460317460317459"/>
    <n v="1"/>
  </r>
  <r>
    <n v="1223632666"/>
    <s v="59.087.525/0001-59"/>
    <s v="Glaucineide de Brito Oliveira"/>
    <x v="0"/>
    <s v="Pipebot"/>
    <x v="575"/>
    <m/>
    <m/>
    <d v="2025-10-13T14:22:37"/>
    <d v="2025-10-14T14:23:06"/>
    <n v="1.000324"/>
    <m/>
    <m/>
    <m/>
    <m/>
    <m/>
    <m/>
    <d v="2025-10-14T14:23:06"/>
    <d v="2025-10-16T14:23:38"/>
    <n v="2.0003700000000002"/>
    <d v="2025-10-16T14:23:38"/>
    <d v="2025-10-17T19:47:33"/>
    <n v="1.224931"/>
    <m/>
    <m/>
    <m/>
    <m/>
    <m/>
    <n v="150.40171298610949"/>
    <x v="0"/>
    <x v="4"/>
    <x v="0"/>
    <n v="197"/>
    <n v="149"/>
    <n v="0.75634517766497467"/>
    <n v="0.75634517766497467"/>
    <n v="1"/>
  </r>
  <r>
    <n v="1249752290"/>
    <s v="43.471.949/0001-82"/>
    <s v="Glauco Roberto Cavalcanti dos Santos"/>
    <x v="0"/>
    <s v="Pipebot"/>
    <x v="576"/>
    <m/>
    <m/>
    <m/>
    <m/>
    <m/>
    <m/>
    <m/>
    <m/>
    <m/>
    <m/>
    <m/>
    <m/>
    <m/>
    <m/>
    <m/>
    <m/>
    <m/>
    <m/>
    <m/>
    <m/>
    <m/>
    <m/>
    <n v="114.20629663194995"/>
    <x v="0"/>
    <x v="0"/>
    <x v="0"/>
    <n v="131"/>
    <n v="87"/>
    <n v="0.66412213740458015"/>
    <n v="0.66412213740458015"/>
    <n v="1"/>
  </r>
  <r>
    <n v="1300569743"/>
    <s v="51.340.725/0001-60"/>
    <s v="Gleyder"/>
    <x v="7"/>
    <s v="Pipebot"/>
    <x v="577"/>
    <m/>
    <m/>
    <m/>
    <m/>
    <m/>
    <m/>
    <m/>
    <m/>
    <m/>
    <m/>
    <m/>
    <m/>
    <m/>
    <m/>
    <m/>
    <m/>
    <m/>
    <m/>
    <m/>
    <m/>
    <m/>
    <m/>
    <n v="6.0800464004569221"/>
    <x v="4"/>
    <x v="1"/>
    <x v="1"/>
    <n v="189"/>
    <n v="33"/>
    <n v="0.17460317460317459"/>
    <n v="0.17460317460317459"/>
    <n v="1"/>
  </r>
  <r>
    <n v="1242231831"/>
    <s v="59.593.207/0001-60"/>
    <s v="Glória Dias dos santos"/>
    <x v="5"/>
    <s v="Pipebot"/>
    <x v="578"/>
    <m/>
    <m/>
    <d v="2025-11-06T14:28:13"/>
    <d v="2026-02-13T16:01:12"/>
    <n v="2.1472220000000002"/>
    <d v="2025-11-11T14:29:59"/>
    <d v="2026-02-12T12:30:04"/>
    <n v="92.916713000000001"/>
    <m/>
    <m/>
    <m/>
    <d v="2025-11-07T14:29:06"/>
    <d v="2026-02-16T12:50:20"/>
    <n v="4.867801"/>
    <d v="2025-11-09T14:29:36"/>
    <d v="2025-11-11T14:29:59"/>
    <n v="12.355416999999999"/>
    <m/>
    <m/>
    <m/>
    <m/>
    <m/>
    <n v="126.39753972221661"/>
    <x v="0"/>
    <x v="6"/>
    <x v="0"/>
    <n v="195"/>
    <n v="132"/>
    <n v="0.67692307692307696"/>
    <n v="0.67692307692307696"/>
    <n v="1"/>
  </r>
  <r>
    <n v="1186003581"/>
    <s v="57.314.240/0001-88"/>
    <s v="Gloria Regina Pereira Dalle Crode"/>
    <x v="8"/>
    <s v="Pipebot"/>
    <x v="579"/>
    <m/>
    <m/>
    <d v="2025-08-13T20:24:08"/>
    <d v="2025-08-14T20:24:51"/>
    <n v="1.0004980000000001"/>
    <d v="2025-08-18T20:26:01"/>
    <d v="2025-10-29T19:40:37"/>
    <n v="71.968472000000006"/>
    <m/>
    <m/>
    <m/>
    <d v="2025-08-14T20:24:51"/>
    <d v="2025-08-16T20:25:05"/>
    <n v="2.0001500000000001"/>
    <d v="2025-08-16T20:25:05"/>
    <d v="2025-08-18T20:26:01"/>
    <n v="2.000648"/>
    <m/>
    <m/>
    <m/>
    <m/>
    <m/>
    <n v="211.15035703704052"/>
    <x v="0"/>
    <x v="5"/>
    <x v="0"/>
    <n v="177"/>
    <n v="130"/>
    <n v="0.7344632768361582"/>
    <n v="0.7344632768361582"/>
    <n v="1"/>
  </r>
  <r>
    <n v="1299908375"/>
    <s v="57.679.817/0001-55"/>
    <s v="GO!STORE"/>
    <x v="7"/>
    <s v="Pipebot"/>
    <x v="580"/>
    <m/>
    <m/>
    <m/>
    <m/>
    <m/>
    <m/>
    <m/>
    <m/>
    <m/>
    <m/>
    <m/>
    <m/>
    <m/>
    <m/>
    <m/>
    <m/>
    <m/>
    <m/>
    <m/>
    <m/>
    <m/>
    <m/>
    <n v="7.0800689583265921"/>
    <x v="4"/>
    <x v="1"/>
    <x v="1"/>
    <n v="189"/>
    <n v="33"/>
    <n v="0.17460317460317459"/>
    <n v="0.17460317460317459"/>
    <n v="1"/>
  </r>
  <r>
    <n v="1204766487"/>
    <s v="52.187.900/0001-93"/>
    <s v="Goin minimarket"/>
    <x v="0"/>
    <s v="Pipebot"/>
    <x v="581"/>
    <m/>
    <m/>
    <m/>
    <m/>
    <m/>
    <m/>
    <m/>
    <m/>
    <m/>
    <m/>
    <m/>
    <m/>
    <m/>
    <m/>
    <m/>
    <m/>
    <m/>
    <m/>
    <m/>
    <m/>
    <m/>
    <m/>
    <n v="181.1489128703688"/>
    <x v="0"/>
    <x v="2"/>
    <x v="0"/>
    <n v="146"/>
    <n v="112"/>
    <n v="0.76712328767123283"/>
    <n v="0.76712328767123283"/>
    <n v="1"/>
  </r>
  <r>
    <n v="1242499091"/>
    <s v="37.365.637/0001-91"/>
    <s v="GREEN BEER"/>
    <x v="5"/>
    <s v="Pipebot"/>
    <x v="582"/>
    <m/>
    <m/>
    <d v="2025-11-06T19:05:05"/>
    <d v="2026-02-13T16:01:12"/>
    <n v="2.147106"/>
    <d v="2025-11-11T19:06:57"/>
    <d v="2026-02-12T12:30:05"/>
    <n v="92.724386999999993"/>
    <m/>
    <m/>
    <m/>
    <d v="2025-11-07T19:05:48"/>
    <d v="2026-02-16T12:50:21"/>
    <n v="4.8679860000000001"/>
    <d v="2025-11-09T19:06:34"/>
    <d v="2025-11-11T19:06:57"/>
    <n v="12.355404999999999"/>
    <m/>
    <m/>
    <m/>
    <m/>
    <m/>
    <n v="126.20502120369929"/>
    <x v="0"/>
    <x v="6"/>
    <x v="0"/>
    <n v="195"/>
    <n v="132"/>
    <n v="0.67692307692307696"/>
    <n v="0.67692307692307696"/>
    <n v="1"/>
  </r>
  <r>
    <n v="1219402601"/>
    <s v="37.365.637/0001-91"/>
    <s v="GREEN BEER"/>
    <x v="5"/>
    <s v="Pipebot"/>
    <x v="583"/>
    <m/>
    <m/>
    <d v="2025-10-06T20:27:36"/>
    <d v="2026-02-13T16:00:43"/>
    <n v="2.1480670000000002"/>
    <d v="2025-10-11T20:29:46"/>
    <d v="2026-02-12T12:28:21"/>
    <n v="123.665671"/>
    <m/>
    <m/>
    <m/>
    <d v="2025-10-07T20:28:28"/>
    <d v="2026-02-16T12:49:06"/>
    <n v="4.8672570000000004"/>
    <d v="2025-10-09T20:28:57"/>
    <d v="2025-10-11T20:29:46"/>
    <n v="12.356586"/>
    <m/>
    <m/>
    <m/>
    <m/>
    <m/>
    <n v="157.14819561342301"/>
    <x v="0"/>
    <x v="4"/>
    <x v="0"/>
    <n v="197"/>
    <n v="149"/>
    <n v="0.75634517766497467"/>
    <n v="0.75634517766497467"/>
    <n v="1"/>
  </r>
  <r>
    <n v="1301742519"/>
    <s v="37.802.181/0001-80"/>
    <s v="GUERRA DISTRIBUIDORA"/>
    <x v="7"/>
    <s v="Pipebot"/>
    <x v="584"/>
    <m/>
    <m/>
    <m/>
    <m/>
    <m/>
    <m/>
    <m/>
    <m/>
    <m/>
    <m/>
    <m/>
    <m/>
    <m/>
    <m/>
    <m/>
    <m/>
    <m/>
    <m/>
    <m/>
    <m/>
    <m/>
    <m/>
    <n v="3.2056261574034579"/>
    <x v="4"/>
    <x v="1"/>
    <x v="1"/>
    <n v="189"/>
    <n v="33"/>
    <n v="0.17460317460317459"/>
    <n v="0.17460317460317459"/>
    <n v="1"/>
  </r>
  <r>
    <n v="1295882724"/>
    <s v="55.646.414/0001-84_x000a__x000a__x000a_"/>
    <s v="Guild - Tpflex 16"/>
    <x v="1"/>
    <s v="Pipebot"/>
    <x v="585"/>
    <m/>
    <m/>
    <d v="2026-02-24T17:15:15"/>
    <d v="2026-02-25T17:16:03"/>
    <n v="1.000556"/>
    <m/>
    <m/>
    <m/>
    <m/>
    <m/>
    <m/>
    <d v="2026-02-25T17:16:03"/>
    <m/>
    <n v="1.170625"/>
    <m/>
    <m/>
    <m/>
    <m/>
    <m/>
    <m/>
    <m/>
    <m/>
    <n v="16.281395821759361"/>
    <x v="1"/>
    <x v="1"/>
    <x v="1"/>
    <n v="189"/>
    <n v="33"/>
    <n v="0.17460317460317459"/>
    <n v="0.17460317460317459"/>
    <n v="1"/>
  </r>
  <r>
    <n v="1193056654"/>
    <s v="59.600.123/0001-06"/>
    <s v="Guilherme Marques."/>
    <x v="0"/>
    <s v="Pipebot"/>
    <x v="586"/>
    <m/>
    <m/>
    <m/>
    <m/>
    <m/>
    <m/>
    <m/>
    <m/>
    <m/>
    <m/>
    <m/>
    <m/>
    <m/>
    <m/>
    <m/>
    <m/>
    <m/>
    <m/>
    <m/>
    <m/>
    <m/>
    <m/>
    <n v="199.35777385415713"/>
    <x v="0"/>
    <x v="2"/>
    <x v="0"/>
    <n v="146"/>
    <n v="112"/>
    <n v="0.76712328767123283"/>
    <n v="0.76712328767123283"/>
    <n v="1"/>
  </r>
  <r>
    <n v="1283849611"/>
    <s v="53.190.051/0001-90"/>
    <s v="Guilherme Pimentel dos Santos"/>
    <x v="0"/>
    <s v="Pipebot"/>
    <x v="587"/>
    <m/>
    <m/>
    <d v="2026-02-02T13:04:45"/>
    <d v="2026-02-03T13:05:49"/>
    <n v="1.0007410000000001"/>
    <m/>
    <m/>
    <m/>
    <m/>
    <m/>
    <m/>
    <d v="2026-02-03T13:05:49"/>
    <d v="2026-02-05T13:06:47"/>
    <n v="2.0006599999999999"/>
    <d v="2026-02-05T13:06:47"/>
    <d v="2026-02-06T12:23:43"/>
    <n v="0.97008099999999997"/>
    <m/>
    <m/>
    <m/>
    <m/>
    <m/>
    <n v="38.455112476847717"/>
    <x v="2"/>
    <x v="3"/>
    <x v="1"/>
    <n v="223"/>
    <n v="147"/>
    <n v="0.65919282511210764"/>
    <n v="0.65919282511210764"/>
    <n v="1"/>
  </r>
  <r>
    <n v="1260496300"/>
    <s v="51.285.749/0001-63"/>
    <s v="GUILHERME RODRIGUES SPOLADOR"/>
    <x v="0"/>
    <s v="Pipebot"/>
    <x v="588"/>
    <m/>
    <m/>
    <d v="2025-12-11T19:08:20"/>
    <d v="2025-12-12T19:08:26"/>
    <n v="1.0000579999999999"/>
    <d v="2025-12-16T19:09:48"/>
    <d v="2025-12-19T14:08:48"/>
    <n v="2.7909609999999998"/>
    <m/>
    <m/>
    <m/>
    <d v="2025-12-12T19:08:26"/>
    <d v="2025-12-14T19:09:02"/>
    <n v="2.0004050000000002"/>
    <d v="2025-12-14T19:09:02"/>
    <d v="2025-12-16T19:09:48"/>
    <n v="2.000521"/>
    <m/>
    <m/>
    <m/>
    <m/>
    <m/>
    <n v="91.2031178356483"/>
    <x v="0"/>
    <x v="0"/>
    <x v="0"/>
    <n v="131"/>
    <n v="87"/>
    <n v="0.66412213740458015"/>
    <n v="0.66412213740458015"/>
    <n v="1"/>
  </r>
  <r>
    <n v="1297052881"/>
    <s v="41.778.194/0001-38"/>
    <s v="Guilherme Silva de Oliveira"/>
    <x v="0"/>
    <s v="Pipebot"/>
    <x v="589"/>
    <m/>
    <m/>
    <m/>
    <m/>
    <m/>
    <m/>
    <m/>
    <m/>
    <m/>
    <m/>
    <m/>
    <m/>
    <m/>
    <m/>
    <m/>
    <m/>
    <m/>
    <m/>
    <m/>
    <m/>
    <m/>
    <m/>
    <n v="14.205716956006654"/>
    <x v="1"/>
    <x v="1"/>
    <x v="1"/>
    <n v="189"/>
    <n v="33"/>
    <n v="0.17460317460317459"/>
    <n v="0.17460317460317459"/>
    <n v="1"/>
  </r>
  <r>
    <n v="1279610915"/>
    <s v="52.876.904/0001-89"/>
    <s v="Gustavo - Envio Suporte V3"/>
    <x v="5"/>
    <s v="Pipebot"/>
    <x v="590"/>
    <m/>
    <m/>
    <d v="2026-01-23T19:07:29"/>
    <d v="2026-02-20T16:51:26"/>
    <n v="2.176377"/>
    <d v="2026-01-28T19:08:53"/>
    <d v="2026-02-19T12:37:48"/>
    <n v="21.728414000000001"/>
    <m/>
    <m/>
    <m/>
    <d v="2026-01-24T19:07:50"/>
    <d v="2026-02-23T13:32:47"/>
    <n v="4.8624539999999996"/>
    <d v="2026-01-26T19:08:26"/>
    <d v="2026-01-28T19:08:53"/>
    <n v="5.3259840000000001"/>
    <m/>
    <m/>
    <m/>
    <m/>
    <m/>
    <n v="48.203499918978196"/>
    <x v="2"/>
    <x v="3"/>
    <x v="1"/>
    <n v="223"/>
    <n v="147"/>
    <n v="0.65919282511210764"/>
    <n v="0.65919282511210764"/>
    <n v="1"/>
  </r>
  <r>
    <n v="1236312308"/>
    <s v="50.291.942/0001-44"/>
    <s v="Gustavo Brandão Fontes"/>
    <x v="0"/>
    <s v="Pipebot"/>
    <x v="591"/>
    <m/>
    <m/>
    <m/>
    <m/>
    <m/>
    <m/>
    <m/>
    <m/>
    <m/>
    <m/>
    <m/>
    <m/>
    <m/>
    <m/>
    <m/>
    <m/>
    <m/>
    <m/>
    <m/>
    <m/>
    <m/>
    <m/>
    <n v="134.37109403935028"/>
    <x v="0"/>
    <x v="6"/>
    <x v="0"/>
    <n v="195"/>
    <n v="132"/>
    <n v="0.67692307692307696"/>
    <n v="0.67692307692307696"/>
    <n v="1"/>
  </r>
  <r>
    <n v="1197306025"/>
    <s v="54.228.772/0001-04"/>
    <s v="Gustavo Gonçalez"/>
    <x v="5"/>
    <s v="Pipebot"/>
    <x v="592"/>
    <m/>
    <m/>
    <d v="2025-09-01T20:14:23"/>
    <d v="2026-02-12T12:26:09"/>
    <n v="1.644873"/>
    <d v="2025-09-06T20:16:52"/>
    <d v="2026-02-11T20:58:07"/>
    <n v="158.02864600000001"/>
    <m/>
    <m/>
    <m/>
    <d v="2025-09-02T20:14:59"/>
    <d v="2026-02-13T15:59:52"/>
    <n v="3.1490969999999998"/>
    <d v="2025-09-04T20:15:58"/>
    <d v="2025-09-06T20:16:52"/>
    <n v="15.224167"/>
    <m/>
    <m/>
    <m/>
    <m/>
    <m/>
    <n v="192.157302662039"/>
    <x v="0"/>
    <x v="2"/>
    <x v="0"/>
    <n v="146"/>
    <n v="112"/>
    <n v="0.76712328767123283"/>
    <n v="0.76712328767123283"/>
    <n v="1"/>
  </r>
  <r>
    <n v="1257203179"/>
    <s v="56.904.957/0001-17"/>
    <s v="Gustavo Henrique Gondim Gabino"/>
    <x v="5"/>
    <s v="Pipebot"/>
    <x v="593"/>
    <m/>
    <m/>
    <d v="2025-12-03T22:04:56"/>
    <d v="2026-02-18T13:24:49"/>
    <n v="3.0226739999999999"/>
    <d v="2025-12-08T22:06:58"/>
    <d v="2026-02-16T12:52:48"/>
    <n v="69.615161999999998"/>
    <m/>
    <m/>
    <m/>
    <d v="2025-12-04T22:05:35"/>
    <d v="2026-02-19T12:27:24"/>
    <n v="2.9607290000000002"/>
    <d v="2025-12-06T22:06:28"/>
    <d v="2025-12-08T22:06:58"/>
    <n v="9.371435"/>
    <m/>
    <m/>
    <m/>
    <m/>
    <m/>
    <n v="99.080089363429579"/>
    <x v="0"/>
    <x v="0"/>
    <x v="0"/>
    <n v="131"/>
    <n v="87"/>
    <n v="0.66412213740458015"/>
    <n v="0.66412213740458015"/>
    <n v="1"/>
  </r>
  <r>
    <n v="1175343326"/>
    <s v="47.319.091/0001-96"/>
    <s v="Gustavo Menocci Cotes Dos Santos "/>
    <x v="0"/>
    <s v="Pipebot"/>
    <x v="594"/>
    <m/>
    <m/>
    <m/>
    <m/>
    <m/>
    <m/>
    <m/>
    <m/>
    <m/>
    <m/>
    <m/>
    <m/>
    <m/>
    <m/>
    <m/>
    <m/>
    <m/>
    <m/>
    <m/>
    <m/>
    <m/>
    <m/>
    <n v="229.14901151620143"/>
    <x v="0"/>
    <x v="5"/>
    <x v="0"/>
    <n v="177"/>
    <n v="130"/>
    <n v="0.7344632768361582"/>
    <n v="0.7344632768361582"/>
    <n v="1"/>
  </r>
  <r>
    <n v="1242498626"/>
    <s v="48.895.120/0001-20"/>
    <s v="H57 Store minimercado "/>
    <x v="0"/>
    <s v="Pipebot"/>
    <x v="595"/>
    <m/>
    <m/>
    <m/>
    <m/>
    <m/>
    <m/>
    <m/>
    <m/>
    <m/>
    <m/>
    <m/>
    <m/>
    <m/>
    <m/>
    <m/>
    <m/>
    <m/>
    <m/>
    <m/>
    <m/>
    <m/>
    <m/>
    <n v="126.20527430554648"/>
    <x v="0"/>
    <x v="6"/>
    <x v="0"/>
    <n v="195"/>
    <n v="132"/>
    <n v="0.67692307692307696"/>
    <n v="0.67692307692307696"/>
    <n v="1"/>
  </r>
  <r>
    <n v="1189128917"/>
    <s v="59.016.710/0001-52"/>
    <s v="Hallan Pinho de Macedo"/>
    <x v="0"/>
    <s v="Pipebot"/>
    <x v="596"/>
    <m/>
    <m/>
    <d v="2025-08-19T20:25:48"/>
    <d v="2025-08-19T20:35:15"/>
    <n v="6.5630000000000003E-3"/>
    <m/>
    <m/>
    <m/>
    <m/>
    <m/>
    <m/>
    <m/>
    <m/>
    <m/>
    <m/>
    <m/>
    <m/>
    <m/>
    <m/>
    <m/>
    <m/>
    <m/>
    <n v="205.14934546296718"/>
    <x v="0"/>
    <x v="2"/>
    <x v="0"/>
    <n v="146"/>
    <n v="112"/>
    <n v="0.76712328767123283"/>
    <n v="0.76712328767123283"/>
    <n v="1"/>
  </r>
  <r>
    <n v="1278989925"/>
    <s v="54.047.761/0001-28"/>
    <s v="HB Market (adaptador) -acionado sofia 06/02 (COMENTÁRIOS)"/>
    <x v="5"/>
    <s v="Pipebot"/>
    <x v="597"/>
    <m/>
    <m/>
    <d v="2026-01-22T19:05:53"/>
    <d v="2026-02-20T16:51:19"/>
    <n v="2.176539"/>
    <d v="2026-01-27T19:06:52"/>
    <d v="2026-02-19T12:37:41"/>
    <n v="22.729734000000001"/>
    <m/>
    <m/>
    <m/>
    <d v="2026-01-23T19:06:29"/>
    <d v="2026-02-23T13:32:47"/>
    <n v="4.8621990000000004"/>
    <d v="2026-01-25T19:06:35"/>
    <d v="2026-01-27T19:06:52"/>
    <n v="5.3258559999999999"/>
    <m/>
    <m/>
    <m/>
    <m/>
    <m/>
    <n v="49.205072638877027"/>
    <x v="2"/>
    <x v="3"/>
    <x v="1"/>
    <n v="223"/>
    <n v="147"/>
    <n v="0.65919282511210764"/>
    <n v="0.65919282511210764"/>
    <n v="1"/>
  </r>
  <r>
    <n v="1173353400"/>
    <s v="44.295.662/0001-01"/>
    <s v="Helen"/>
    <x v="5"/>
    <s v="Pipebot"/>
    <x v="598"/>
    <m/>
    <m/>
    <d v="2025-07-22T20:26:16"/>
    <d v="2026-02-12T12:25:22"/>
    <n v="1.6457059999999999"/>
    <d v="2025-07-27T20:28:04"/>
    <d v="2026-02-11T20:55:56"/>
    <n v="199.019352"/>
    <m/>
    <m/>
    <m/>
    <d v="2025-07-23T20:26:40"/>
    <d v="2026-02-13T15:59:16"/>
    <n v="3.1488429999999998"/>
    <d v="2025-07-25T20:27:07"/>
    <d v="2025-07-27T20:28:04"/>
    <n v="15.224606"/>
    <m/>
    <m/>
    <m/>
    <m/>
    <m/>
    <n v="233.14898824074044"/>
    <x v="0"/>
    <x v="5"/>
    <x v="0"/>
    <n v="177"/>
    <n v="130"/>
    <n v="0.7344632768361582"/>
    <n v="0.7344632768361582"/>
    <n v="1"/>
  </r>
  <r>
    <n v="1176336672"/>
    <s v="54.321.616/0001-93"/>
    <s v="Helen Marcia da Silva "/>
    <x v="0"/>
    <s v="Pipebot"/>
    <x v="599"/>
    <m/>
    <m/>
    <d v="2025-07-29T00:26:53"/>
    <d v="2025-07-29T12:19:58"/>
    <n v="0.495197"/>
    <m/>
    <m/>
    <m/>
    <m/>
    <m/>
    <m/>
    <m/>
    <m/>
    <m/>
    <m/>
    <m/>
    <m/>
    <m/>
    <m/>
    <m/>
    <m/>
    <m/>
    <n v="226.98203855323663"/>
    <x v="0"/>
    <x v="5"/>
    <x v="0"/>
    <n v="177"/>
    <n v="130"/>
    <n v="0.7344632768361582"/>
    <n v="0.7344632768361582"/>
    <n v="1"/>
  </r>
  <r>
    <n v="1297056672"/>
    <s v="26.062.145/0001-00"/>
    <s v="Helenita Maccari Francelino "/>
    <x v="6"/>
    <s v="Pipebot"/>
    <x v="600"/>
    <m/>
    <m/>
    <d v="2026-02-26T19:08:37"/>
    <m/>
    <n v="9.2465000000000006E-2"/>
    <m/>
    <m/>
    <m/>
    <m/>
    <m/>
    <m/>
    <m/>
    <m/>
    <m/>
    <m/>
    <m/>
    <m/>
    <m/>
    <m/>
    <m/>
    <m/>
    <m/>
    <n v="14.202760787040461"/>
    <x v="1"/>
    <x v="1"/>
    <x v="1"/>
    <n v="189"/>
    <n v="33"/>
    <n v="0.17460317460317459"/>
    <n v="0.17460317460317459"/>
    <n v="1"/>
  </r>
  <r>
    <n v="1264756683"/>
    <s v="43.965.867/0001-94"/>
    <s v="Henrique Santos Orsi"/>
    <x v="0"/>
    <s v="Pipebot"/>
    <x v="601"/>
    <m/>
    <m/>
    <d v="2025-12-19T19:08:00"/>
    <d v="2025-12-20T11:24:32"/>
    <n v="0.67813699999999999"/>
    <m/>
    <m/>
    <m/>
    <m/>
    <m/>
    <m/>
    <m/>
    <m/>
    <m/>
    <m/>
    <m/>
    <m/>
    <m/>
    <m/>
    <m/>
    <m/>
    <m/>
    <n v="83.203319837957679"/>
    <x v="0"/>
    <x v="7"/>
    <x v="0"/>
    <n v="207"/>
    <n v="140"/>
    <n v="0.67632850241545894"/>
    <n v="0.67632850241545894"/>
    <n v="1"/>
  </r>
  <r>
    <n v="1290572921"/>
    <s v="57.086.435/0001-18"/>
    <s v="Hellen Alves Lopes Farina"/>
    <x v="5"/>
    <s v="Pipebot"/>
    <x v="602"/>
    <m/>
    <m/>
    <d v="2026-02-12T19:07:18"/>
    <d v="2026-02-13T16:01:16"/>
    <n v="0.87080999999999997"/>
    <m/>
    <m/>
    <m/>
    <m/>
    <m/>
    <m/>
    <d v="2026-02-13T16:01:16"/>
    <d v="2026-02-15T16:01:53"/>
    <n v="2.0004170000000001"/>
    <d v="2026-02-15T16:01:53"/>
    <m/>
    <n v="11.222141000000001"/>
    <m/>
    <m/>
    <m/>
    <m/>
    <m/>
    <n v="28.203944826389488"/>
    <x v="5"/>
    <x v="3"/>
    <x v="1"/>
    <n v="223"/>
    <n v="147"/>
    <n v="0.65919282511210764"/>
    <n v="0.65919282511210764"/>
    <n v="1"/>
  </r>
  <r>
    <n v="1275238299"/>
    <s v="38.624.349/0001-77"/>
    <s v="Hiago Cortezini Hadid"/>
    <x v="5"/>
    <s v="Pipebot"/>
    <x v="603"/>
    <m/>
    <m/>
    <d v="2026-01-14T15:10:52"/>
    <d v="2026-02-19T12:35:55"/>
    <n v="1.9643630000000001"/>
    <d v="2026-01-19T15:12:53"/>
    <d v="2026-02-18T13:27:38"/>
    <n v="29.926909999999999"/>
    <m/>
    <m/>
    <m/>
    <d v="2026-01-15T15:11:16"/>
    <d v="2026-02-20T13:03:04"/>
    <n v="3.019444"/>
    <d v="2026-01-17T15:12:08"/>
    <d v="2026-01-19T15:12:53"/>
    <n v="8.3468289999999996"/>
    <m/>
    <m/>
    <m/>
    <m/>
    <m/>
    <n v="57.368033634258609"/>
    <x v="2"/>
    <x v="7"/>
    <x v="0"/>
    <n v="207"/>
    <n v="140"/>
    <n v="0.67632850241545894"/>
    <n v="0.67632850241545894"/>
    <n v="1"/>
  </r>
  <r>
    <n v="1266705070"/>
    <s v="57.486.875/0001-62"/>
    <s v="Iago Vinícius  de castro"/>
    <x v="0"/>
    <s v="Pipebot"/>
    <x v="604"/>
    <m/>
    <m/>
    <d v="2025-12-24T19:08:53"/>
    <d v="2025-12-25T19:09:26"/>
    <n v="1.00037"/>
    <d v="2025-12-29T19:10:21"/>
    <d v="2026-01-12T13:20:52"/>
    <n v="13.757292"/>
    <m/>
    <m/>
    <m/>
    <d v="2025-12-25T19:09:26"/>
    <d v="2025-12-27T19:09:50"/>
    <n v="2.0002779999999998"/>
    <d v="2025-12-27T19:09:50"/>
    <d v="2025-12-29T19:10:21"/>
    <n v="2.0003470000000001"/>
    <m/>
    <m/>
    <m/>
    <m/>
    <m/>
    <n v="78.202725486109557"/>
    <x v="0"/>
    <x v="7"/>
    <x v="0"/>
    <n v="207"/>
    <n v="140"/>
    <n v="0.67632850241545894"/>
    <n v="0.67632850241545894"/>
    <n v="1"/>
  </r>
  <r>
    <n v="1259930228"/>
    <s v="43.965.867/0001-94"/>
    <s v="Henrique Santos Orsi"/>
    <x v="0"/>
    <s v="Pipebot"/>
    <x v="605"/>
    <m/>
    <m/>
    <d v="2025-12-10T19:05:46"/>
    <d v="2025-12-11T19:06:17"/>
    <n v="1.0003470000000001"/>
    <d v="2025-12-15T19:06:57"/>
    <d v="2025-12-20T11:31:45"/>
    <n v="4.6838769999999998"/>
    <m/>
    <m/>
    <m/>
    <d v="2025-12-11T19:06:17"/>
    <d v="2025-12-13T19:06:37"/>
    <n v="2.0002309999999999"/>
    <d v="2025-12-13T19:06:37"/>
    <d v="2025-12-15T19:06:57"/>
    <n v="2.0002200000000001"/>
    <m/>
    <m/>
    <m/>
    <m/>
    <m/>
    <n v="92.20452542824205"/>
    <x v="0"/>
    <x v="0"/>
    <x v="0"/>
    <n v="131"/>
    <n v="87"/>
    <n v="0.66412213740458015"/>
    <n v="0.66412213740458015"/>
    <n v="1"/>
  </r>
  <r>
    <n v="1299038411"/>
    <s v="64.730.744/0001-44"/>
    <s v="Herick Ghenov"/>
    <x v="7"/>
    <s v="Pipebot"/>
    <x v="606"/>
    <m/>
    <m/>
    <m/>
    <m/>
    <m/>
    <m/>
    <m/>
    <m/>
    <m/>
    <m/>
    <m/>
    <m/>
    <m/>
    <m/>
    <m/>
    <m/>
    <m/>
    <m/>
    <m/>
    <m/>
    <m/>
    <m/>
    <n v="8.2058379050868098"/>
    <x v="4"/>
    <x v="1"/>
    <x v="1"/>
    <n v="189"/>
    <n v="33"/>
    <n v="0.17460317460317459"/>
    <n v="0.17460317460317459"/>
    <n v="1"/>
  </r>
  <r>
    <n v="1303237673"/>
    <s v="64.730.744/0001-44"/>
    <s v="Herick Ghenov"/>
    <x v="7"/>
    <s v="Pipebot"/>
    <x v="607"/>
    <m/>
    <m/>
    <m/>
    <m/>
    <m/>
    <m/>
    <m/>
    <m/>
    <m/>
    <m/>
    <m/>
    <m/>
    <m/>
    <m/>
    <m/>
    <m/>
    <m/>
    <m/>
    <m/>
    <m/>
    <m/>
    <m/>
    <n v="2.2045449421275407"/>
    <x v="4"/>
    <x v="1"/>
    <x v="1"/>
    <n v="189"/>
    <n v="33"/>
    <n v="0.17460317460317459"/>
    <n v="0.17460317460317459"/>
    <n v="1"/>
  </r>
  <r>
    <n v="1280607149"/>
    <s v="47.905.388/0001-33"/>
    <s v="Herivelto Lopes Correia"/>
    <x v="0"/>
    <s v="Pipebot"/>
    <x v="608"/>
    <m/>
    <m/>
    <d v="2026-01-26T19:05:22"/>
    <d v="2026-01-27T19:05:46"/>
    <n v="1.0002660000000001"/>
    <d v="2026-01-31T19:06:57"/>
    <d v="2026-02-03T18:04:10"/>
    <n v="2.9563999999999999"/>
    <d v="2026-02-03T18:04:10"/>
    <d v="2026-02-03T19:41:07"/>
    <n v="6.7325999999999997E-2"/>
    <d v="2026-01-27T19:05:46"/>
    <d v="2026-01-29T19:05:55"/>
    <n v="2.0001039999999999"/>
    <d v="2026-01-29T19:05:55"/>
    <d v="2026-01-31T19:06:57"/>
    <n v="2.0007060000000001"/>
    <m/>
    <m/>
    <m/>
    <m/>
    <m/>
    <n v="45.205189872693154"/>
    <x v="2"/>
    <x v="3"/>
    <x v="1"/>
    <n v="223"/>
    <n v="147"/>
    <n v="0.65919282511210764"/>
    <n v="0.65919282511210764"/>
    <n v="1"/>
  </r>
  <r>
    <n v="1190286736"/>
    <s v="47.905.009/0001-05"/>
    <s v="HEVERTON ODILON FRANCISCO NETTO"/>
    <x v="0"/>
    <s v="Pipebot"/>
    <x v="609"/>
    <m/>
    <m/>
    <m/>
    <m/>
    <m/>
    <m/>
    <m/>
    <m/>
    <m/>
    <m/>
    <m/>
    <m/>
    <m/>
    <m/>
    <m/>
    <m/>
    <m/>
    <m/>
    <m/>
    <m/>
    <m/>
    <m/>
    <n v="203.36974453702715"/>
    <x v="0"/>
    <x v="2"/>
    <x v="0"/>
    <n v="146"/>
    <n v="112"/>
    <n v="0.76712328767123283"/>
    <n v="0.76712328767123283"/>
    <n v="1"/>
  </r>
  <r>
    <n v="1178755772"/>
    <s v="38.624.349/0001-77"/>
    <s v="Hiago --&gt; Enviar Leitor BCR (NÃO ENVIAR BLE!)"/>
    <x v="0"/>
    <s v="Pipebot"/>
    <x v="610"/>
    <m/>
    <m/>
    <d v="2025-08-01T15:27:01"/>
    <d v="2025-08-02T15:27:41"/>
    <n v="1.000451"/>
    <d v="2025-08-06T15:28:39"/>
    <d v="2025-08-08T20:53:38"/>
    <n v="2.2256830000000001"/>
    <d v="2025-08-08T20:53:38"/>
    <d v="2025-08-08T20:53:56"/>
    <n v="1.9699999999999999E-4"/>
    <d v="2025-08-02T15:27:41"/>
    <d v="2025-08-04T15:28:32"/>
    <n v="2.0005899999999999"/>
    <d v="2025-08-04T15:28:32"/>
    <d v="2025-08-06T15:28:39"/>
    <n v="2.0000689999999999"/>
    <m/>
    <m/>
    <m/>
    <m/>
    <m/>
    <n v="223.35681545139232"/>
    <x v="0"/>
    <x v="5"/>
    <x v="0"/>
    <n v="177"/>
    <n v="130"/>
    <n v="0.7344632768361582"/>
    <n v="0.7344632768361582"/>
    <n v="1"/>
  </r>
  <r>
    <n v="1266785315"/>
    <s v="51.883.188/0001-02"/>
    <s v="Inova Pina ltda"/>
    <x v="0"/>
    <s v="Pipebot"/>
    <x v="611"/>
    <m/>
    <m/>
    <d v="2025-12-24T22:08:53"/>
    <d v="2025-12-25T22:09:23"/>
    <n v="1.0003470000000001"/>
    <d v="2025-12-29T22:10:20"/>
    <d v="2026-01-08T13:06:33"/>
    <n v="9.6223609999999997"/>
    <m/>
    <m/>
    <m/>
    <d v="2025-12-25T22:09:23"/>
    <d v="2025-12-27T22:09:49"/>
    <n v="2.000289"/>
    <d v="2025-12-27T22:09:49"/>
    <d v="2025-12-29T22:10:20"/>
    <n v="2.0003470000000001"/>
    <m/>
    <m/>
    <m/>
    <m/>
    <m/>
    <n v="78.077848171291407"/>
    <x v="0"/>
    <x v="7"/>
    <x v="0"/>
    <n v="207"/>
    <n v="140"/>
    <n v="0.67632850241545894"/>
    <n v="0.67632850241545894"/>
    <n v="1"/>
  </r>
  <r>
    <n v="1205877223"/>
    <s v="38.624.349/0001-77"/>
    <s v="Hiago Cortezini Hadid"/>
    <x v="8"/>
    <s v="Pipebot"/>
    <x v="612"/>
    <m/>
    <m/>
    <d v="2025-09-15T15:25:57"/>
    <d v="2025-09-16T15:26:25"/>
    <n v="1.000324"/>
    <d v="2025-09-20T15:27:51"/>
    <d v="2025-10-29T19:40:57"/>
    <n v="39.170926000000001"/>
    <m/>
    <m/>
    <m/>
    <d v="2025-09-16T15:26:26"/>
    <d v="2025-09-18T15:27:14"/>
    <n v="2.000556"/>
    <d v="2025-09-18T15:27:14"/>
    <d v="2025-09-20T15:27:51"/>
    <n v="2.0004170000000001"/>
    <m/>
    <m/>
    <m/>
    <m/>
    <m/>
    <n v="178.35744212962891"/>
    <x v="0"/>
    <x v="4"/>
    <x v="0"/>
    <n v="197"/>
    <n v="149"/>
    <n v="0.75634517766497467"/>
    <n v="0.75634517766497467"/>
    <n v="1"/>
  </r>
  <r>
    <n v="1236311993"/>
    <s v="38.624.349/0001-77"/>
    <s v="Hiago Cortezini Hadid - Hadid Micromarket LTDA"/>
    <x v="0"/>
    <s v="Pipebot"/>
    <x v="613"/>
    <m/>
    <m/>
    <m/>
    <m/>
    <m/>
    <m/>
    <m/>
    <m/>
    <m/>
    <m/>
    <m/>
    <m/>
    <m/>
    <m/>
    <m/>
    <m/>
    <m/>
    <m/>
    <m/>
    <m/>
    <m/>
    <m/>
    <n v="134.37130042823992"/>
    <x v="0"/>
    <x v="6"/>
    <x v="0"/>
    <n v="195"/>
    <n v="132"/>
    <n v="0.67692307692307696"/>
    <n v="0.67692307692307696"/>
    <n v="1"/>
  </r>
  <r>
    <n v="1280731506"/>
    <s v="53.899.490/0001-76"/>
    <s v="Hilton Sakumoto"/>
    <x v="0"/>
    <s v="Pipebot"/>
    <x v="614"/>
    <m/>
    <m/>
    <d v="2026-01-26T22:06:23"/>
    <d v="2026-01-27T22:06:45"/>
    <n v="1.000243"/>
    <d v="2026-01-31T22:07:57"/>
    <d v="2026-02-03T16:38:51"/>
    <n v="2.771458"/>
    <d v="2026-02-03T16:43:58"/>
    <d v="2026-02-05T19:53:09"/>
    <n v="2.1313659999999999"/>
    <d v="2026-01-27T22:06:45"/>
    <d v="2026-01-29T22:07:10"/>
    <n v="2.0002779999999998"/>
    <d v="2026-01-29T22:07:10"/>
    <d v="2026-01-31T22:07:57"/>
    <n v="2.0005320000000002"/>
    <m/>
    <m/>
    <m/>
    <m/>
    <m/>
    <n v="45.079275983793195"/>
    <x v="2"/>
    <x v="3"/>
    <x v="1"/>
    <n v="223"/>
    <n v="147"/>
    <n v="0.65919282511210764"/>
    <n v="0.65919282511210764"/>
    <n v="1"/>
  </r>
  <r>
    <n v="1174966193"/>
    <s v="26.068.888/0001-98_x000a_"/>
    <s v="Home Assessoria Negócios Imobiliários"/>
    <x v="0"/>
    <s v="Samuel Alexandre Bittencourt Vieira "/>
    <x v="615"/>
    <m/>
    <m/>
    <m/>
    <m/>
    <m/>
    <m/>
    <m/>
    <m/>
    <m/>
    <m/>
    <m/>
    <m/>
    <m/>
    <m/>
    <m/>
    <m/>
    <m/>
    <m/>
    <m/>
    <m/>
    <m/>
    <m/>
    <n v="230.14193541667191"/>
    <x v="0"/>
    <x v="5"/>
    <x v="0"/>
    <n v="177"/>
    <n v="130"/>
    <n v="0.7344632768361582"/>
    <n v="0.7344632768361582"/>
    <n v="1"/>
  </r>
  <r>
    <n v="1169857749"/>
    <s v="26.068.888/0001-98"/>
    <s v="Home Assessoria Negócios Imobiliários"/>
    <x v="0"/>
    <s v="Pipebot"/>
    <x v="616"/>
    <m/>
    <m/>
    <m/>
    <m/>
    <m/>
    <m/>
    <m/>
    <m/>
    <m/>
    <m/>
    <m/>
    <m/>
    <m/>
    <m/>
    <m/>
    <m/>
    <m/>
    <m/>
    <m/>
    <m/>
    <m/>
    <m/>
    <n v="240.14856958333257"/>
    <x v="0"/>
    <x v="5"/>
    <x v="0"/>
    <n v="177"/>
    <n v="130"/>
    <n v="0.7344632768361582"/>
    <n v="0.7344632768361582"/>
    <n v="1"/>
  </r>
  <r>
    <n v="1188378886"/>
    <s v="46.809.041/0001-24"/>
    <s v="HOMEPLACE MARKET"/>
    <x v="0"/>
    <s v="Pipebot"/>
    <x v="617"/>
    <m/>
    <m/>
    <m/>
    <m/>
    <m/>
    <m/>
    <m/>
    <m/>
    <m/>
    <m/>
    <m/>
    <m/>
    <m/>
    <m/>
    <m/>
    <m/>
    <m/>
    <m/>
    <m/>
    <m/>
    <m/>
    <m/>
    <n v="206.15016087963158"/>
    <x v="0"/>
    <x v="2"/>
    <x v="0"/>
    <n v="146"/>
    <n v="112"/>
    <n v="0.76712328767123283"/>
    <n v="0.76712328767123283"/>
    <n v="1"/>
  </r>
  <r>
    <n v="1198094502"/>
    <s v="46.809.041/0001-24"/>
    <s v="Homeplace market comércio de alimentos LTDA"/>
    <x v="0"/>
    <s v="Pipebot"/>
    <x v="618"/>
    <m/>
    <m/>
    <d v="2025-09-02T20:26:00"/>
    <d v="2025-09-03T20:26:22"/>
    <n v="1.000243"/>
    <d v="2025-09-07T20:27:09"/>
    <d v="2025-09-17T17:21:07"/>
    <n v="9.8707989999999999"/>
    <m/>
    <m/>
    <m/>
    <d v="2025-09-03T20:26:22"/>
    <d v="2025-09-05T20:26:40"/>
    <n v="2.0002080000000002"/>
    <d v="2025-09-05T20:26:40"/>
    <d v="2025-09-07T20:27:09"/>
    <n v="2.000324"/>
    <m/>
    <m/>
    <m/>
    <m/>
    <m/>
    <n v="191.14900225694873"/>
    <x v="0"/>
    <x v="2"/>
    <x v="0"/>
    <n v="146"/>
    <n v="112"/>
    <n v="0.76712328767123283"/>
    <n v="0.76712328767123283"/>
    <n v="1"/>
  </r>
  <r>
    <n v="1201802858"/>
    <s v="46.809.041/0001-24"/>
    <s v="Homeplace market comércio de alimentos LTDA"/>
    <x v="0"/>
    <s v="Pipebot"/>
    <x v="619"/>
    <m/>
    <m/>
    <d v="2025-09-08T20:24:38"/>
    <d v="2025-09-09T20:25:14"/>
    <n v="1.000405"/>
    <d v="2025-09-13T20:26:37"/>
    <d v="2025-09-17T17:19:42"/>
    <n v="3.8701850000000002"/>
    <m/>
    <m/>
    <m/>
    <d v="2025-09-09T20:25:14"/>
    <d v="2025-09-11T20:25:56"/>
    <n v="2.000486"/>
    <d v="2025-09-11T20:25:56"/>
    <d v="2025-09-13T20:26:37"/>
    <n v="2.0004749999999998"/>
    <m/>
    <m/>
    <m/>
    <m/>
    <m/>
    <n v="185.15017475694185"/>
    <x v="0"/>
    <x v="2"/>
    <x v="0"/>
    <n v="146"/>
    <n v="112"/>
    <n v="0.76712328767123283"/>
    <n v="0.76712328767123283"/>
    <n v="1"/>
  </r>
  <r>
    <n v="1214797794"/>
    <s v="46.809.041/0001-24"/>
    <s v="HOMEPLACE MARKETING COMERCIO DE ALIMENTOS LTDA"/>
    <x v="5"/>
    <s v="Pipebot"/>
    <x v="620"/>
    <m/>
    <m/>
    <d v="2026-02-12T12:27:51"/>
    <d v="2026-02-13T12:28:13"/>
    <n v="1.000243"/>
    <d v="2025-09-17T15:55:59"/>
    <d v="2026-02-12T12:27:51"/>
    <n v="147.799398"/>
    <m/>
    <m/>
    <m/>
    <d v="2026-02-13T12:28:13"/>
    <d v="2026-02-13T15:59:57"/>
    <n v="0.14702499999999999"/>
    <d v="2026-02-13T15:59:57"/>
    <m/>
    <n v="13.223471999999999"/>
    <m/>
    <m/>
    <m/>
    <m/>
    <m/>
    <n v="164.14958777777792"/>
    <x v="0"/>
    <x v="4"/>
    <x v="0"/>
    <n v="197"/>
    <n v="149"/>
    <n v="0.75634517766497467"/>
    <n v="0.75634517766497467"/>
    <n v="1"/>
  </r>
  <r>
    <n v="1285964334"/>
    <s v="63.892.276/0001-41"/>
    <s v="Homiq"/>
    <x v="5"/>
    <s v="Pipebot"/>
    <x v="621"/>
    <m/>
    <m/>
    <d v="2026-02-05T19:07:15"/>
    <d v="2026-02-20T16:52:24"/>
    <n v="2.1738770000000001"/>
    <d v="2026-02-10T13:05:44"/>
    <d v="2026-02-19T12:42:12"/>
    <n v="8.9836569999999991"/>
    <m/>
    <m/>
    <m/>
    <d v="2026-02-06T19:07:27"/>
    <d v="2026-02-23T13:32:47"/>
    <n v="4.8618059999999996"/>
    <d v="2026-02-08T19:08:04"/>
    <d v="2026-02-10T13:05:44"/>
    <n v="5.074039"/>
    <m/>
    <m/>
    <m/>
    <m/>
    <m/>
    <n v="35.20396324073954"/>
    <x v="2"/>
    <x v="3"/>
    <x v="1"/>
    <n v="223"/>
    <n v="147"/>
    <n v="0.65919282511210764"/>
    <n v="0.65919282511210764"/>
    <n v="1"/>
  </r>
  <r>
    <n v="1194446723"/>
    <s v="46.934.695/0001-80"/>
    <s v="Hugo Cesar Rodrigues "/>
    <x v="0"/>
    <s v="Pipebot"/>
    <x v="622"/>
    <m/>
    <m/>
    <d v="2025-08-27T15:25:24"/>
    <d v="2025-08-27T20:28:28"/>
    <n v="0.210451"/>
    <m/>
    <m/>
    <m/>
    <m/>
    <m/>
    <m/>
    <m/>
    <m/>
    <m/>
    <m/>
    <m/>
    <m/>
    <m/>
    <m/>
    <m/>
    <m/>
    <m/>
    <n v="197.35749780092738"/>
    <x v="0"/>
    <x v="2"/>
    <x v="0"/>
    <n v="146"/>
    <n v="112"/>
    <n v="0.76712328767123283"/>
    <n v="0.76712328767123283"/>
    <n v="1"/>
  </r>
  <r>
    <n v="1180159171"/>
    <s v="15.549.046/0001-31"/>
    <s v="Hugo Cesar Rodrigues "/>
    <x v="0"/>
    <s v="Pipebot"/>
    <x v="623"/>
    <m/>
    <m/>
    <d v="2025-08-04T15:27:32"/>
    <d v="2025-08-05T15:27:51"/>
    <n v="1.000208"/>
    <m/>
    <m/>
    <m/>
    <m/>
    <m/>
    <m/>
    <d v="2025-08-05T15:27:51"/>
    <d v="2025-08-07T15:28:42"/>
    <n v="2.0005790000000001"/>
    <d v="2025-08-07T15:28:42"/>
    <d v="2025-08-08T20:41:21"/>
    <n v="1.217106"/>
    <m/>
    <m/>
    <m/>
    <m/>
    <m/>
    <n v="220.35636894676281"/>
    <x v="0"/>
    <x v="5"/>
    <x v="0"/>
    <n v="177"/>
    <n v="130"/>
    <n v="0.7344632768361582"/>
    <n v="0.7344632768361582"/>
    <n v="1"/>
  </r>
  <r>
    <n v="1292506502"/>
    <s v="46.934.695/0001-80"/>
    <s v="Hugo Cesar Rodrigues "/>
    <x v="0"/>
    <s v="Pipebot"/>
    <x v="624"/>
    <m/>
    <m/>
    <m/>
    <m/>
    <m/>
    <m/>
    <m/>
    <m/>
    <m/>
    <m/>
    <m/>
    <m/>
    <m/>
    <m/>
    <m/>
    <m/>
    <m/>
    <m/>
    <m/>
    <m/>
    <m/>
    <m/>
    <n v="23.369862835650565"/>
    <x v="3"/>
    <x v="1"/>
    <x v="1"/>
    <n v="189"/>
    <n v="33"/>
    <n v="0.17460317460317459"/>
    <n v="0.17460317460317459"/>
    <n v="1"/>
  </r>
  <r>
    <n v="1276501477"/>
    <s v="46.145.046/0001-08"/>
    <s v="Hugo Leonardo Bacelar e Silva "/>
    <x v="0"/>
    <s v="Pipebot"/>
    <x v="625"/>
    <m/>
    <m/>
    <m/>
    <m/>
    <m/>
    <m/>
    <m/>
    <m/>
    <m/>
    <m/>
    <m/>
    <m/>
    <m/>
    <m/>
    <m/>
    <m/>
    <m/>
    <m/>
    <m/>
    <m/>
    <m/>
    <m/>
    <n v="52.221829953712586"/>
    <x v="2"/>
    <x v="3"/>
    <x v="1"/>
    <n v="223"/>
    <n v="147"/>
    <n v="0.65919282511210764"/>
    <n v="0.65919282511210764"/>
    <n v="1"/>
  </r>
  <r>
    <n v="1242498256"/>
    <s v="25.121.965/0001-63"/>
    <s v="Humberto Tadeu dos Santos Teixeira"/>
    <x v="0"/>
    <s v="Pipebot"/>
    <x v="626"/>
    <m/>
    <m/>
    <m/>
    <m/>
    <m/>
    <m/>
    <m/>
    <m/>
    <m/>
    <m/>
    <m/>
    <m/>
    <m/>
    <m/>
    <m/>
    <m/>
    <m/>
    <m/>
    <m/>
    <m/>
    <m/>
    <m/>
    <n v="126.20548848379985"/>
    <x v="0"/>
    <x v="6"/>
    <x v="0"/>
    <n v="195"/>
    <n v="132"/>
    <n v="0.67692307692307696"/>
    <n v="0.67692307692307696"/>
    <n v="1"/>
  </r>
  <r>
    <n v="1267302989"/>
    <s v="59.788.440/0001-06"/>
    <s v="Isabel Cristina Ferreira Viana Brum "/>
    <x v="0"/>
    <s v="Pipebot"/>
    <x v="627"/>
    <m/>
    <m/>
    <d v="2025-12-25T22:08:24"/>
    <d v="2025-12-26T22:09:02"/>
    <n v="1.00044"/>
    <d v="2025-12-30T22:09:59"/>
    <d v="2026-01-07T15:54:19"/>
    <n v="7.739109"/>
    <m/>
    <m/>
    <m/>
    <d v="2025-12-26T22:09:02"/>
    <d v="2025-12-28T22:09:29"/>
    <n v="2.0003009999999999"/>
    <d v="2025-12-28T22:09:29"/>
    <d v="2025-12-30T22:09:59"/>
    <n v="2.0003470000000001"/>
    <m/>
    <m/>
    <m/>
    <m/>
    <m/>
    <n v="77.077831354166847"/>
    <x v="0"/>
    <x v="7"/>
    <x v="0"/>
    <n v="207"/>
    <n v="140"/>
    <n v="0.67632850241545894"/>
    <n v="0.67632850241545894"/>
    <n v="1"/>
  </r>
  <r>
    <n v="1181388999"/>
    <s v="33.240.401/0001-78"/>
    <s v="Ian Roger Ferreira"/>
    <x v="0"/>
    <s v="Pipebot"/>
    <x v="628"/>
    <m/>
    <m/>
    <m/>
    <m/>
    <m/>
    <m/>
    <m/>
    <m/>
    <m/>
    <m/>
    <m/>
    <m/>
    <m/>
    <m/>
    <m/>
    <m/>
    <m/>
    <m/>
    <m/>
    <m/>
    <m/>
    <m/>
    <n v="218.98179296295712"/>
    <x v="0"/>
    <x v="5"/>
    <x v="0"/>
    <n v="177"/>
    <n v="130"/>
    <n v="0.7344632768361582"/>
    <n v="0.7344632768361582"/>
    <n v="1"/>
  </r>
  <r>
    <n v="1205877777"/>
    <s v="33.240.401/0001-78"/>
    <s v="Ian Roger Ferreira"/>
    <x v="0"/>
    <s v="Pipebot"/>
    <x v="629"/>
    <m/>
    <m/>
    <m/>
    <m/>
    <m/>
    <m/>
    <m/>
    <m/>
    <m/>
    <m/>
    <m/>
    <m/>
    <m/>
    <m/>
    <m/>
    <m/>
    <m/>
    <m/>
    <m/>
    <m/>
    <m/>
    <m/>
    <n v="178.35697407407861"/>
    <x v="0"/>
    <x v="4"/>
    <x v="0"/>
    <n v="197"/>
    <n v="149"/>
    <n v="0.75634517766497467"/>
    <n v="0.75634517766497467"/>
    <n v="1"/>
  </r>
  <r>
    <n v="1290963242"/>
    <s v="33.240.401/0001-78"/>
    <s v="Ian Roger Ferreira - totem híbrido para máquina v3"/>
    <x v="0"/>
    <s v="Pipebot"/>
    <x v="630"/>
    <m/>
    <m/>
    <m/>
    <m/>
    <m/>
    <m/>
    <m/>
    <m/>
    <m/>
    <m/>
    <m/>
    <m/>
    <m/>
    <m/>
    <m/>
    <m/>
    <m/>
    <m/>
    <m/>
    <m/>
    <m/>
    <m/>
    <n v="27.370307986122498"/>
    <x v="5"/>
    <x v="3"/>
    <x v="1"/>
    <n v="223"/>
    <n v="147"/>
    <n v="0.65919282511210764"/>
    <n v="0.65919282511210764"/>
    <n v="1"/>
  </r>
  <r>
    <n v="1245428306"/>
    <s v="46.015.258/0001-62"/>
    <s v="ib market commerce"/>
    <x v="5"/>
    <s v="Pipebot"/>
    <x v="631"/>
    <m/>
    <m/>
    <d v="2025-11-10T16:51:00"/>
    <d v="2026-02-16T12:51:13"/>
    <n v="3.8680669999999999"/>
    <d v="2025-11-15T16:52:58"/>
    <d v="2026-02-13T16:02:08"/>
    <n v="89.964687999999995"/>
    <m/>
    <m/>
    <m/>
    <d v="2025-11-11T16:51:57"/>
    <d v="2026-02-18T13:21:03"/>
    <n v="4.0208329999999997"/>
    <d v="2025-11-13T16:52:07"/>
    <d v="2025-11-15T16:52:58"/>
    <n v="10.334421000000001"/>
    <m/>
    <m/>
    <m/>
    <m/>
    <m/>
    <n v="122.29843781249656"/>
    <x v="0"/>
    <x v="6"/>
    <x v="0"/>
    <n v="195"/>
    <n v="132"/>
    <n v="0.67692307692307696"/>
    <n v="0.67692307692307696"/>
    <n v="1"/>
  </r>
  <r>
    <n v="1193297965"/>
    <s v="46.015.258/0001-62"/>
    <s v="ib market commerce"/>
    <x v="8"/>
    <s v="Pipebot"/>
    <x v="632"/>
    <m/>
    <m/>
    <d v="2025-08-25T20:26:02"/>
    <d v="2025-08-26T20:26:48"/>
    <n v="1.000532"/>
    <d v="2025-08-30T20:27:17"/>
    <d v="2025-11-03T18:44:53"/>
    <n v="64.928877"/>
    <m/>
    <m/>
    <m/>
    <d v="2025-08-26T20:26:48"/>
    <d v="2025-08-28T20:27:01"/>
    <n v="2.0001389999999999"/>
    <d v="2025-08-28T20:27:01"/>
    <d v="2025-08-30T20:27:17"/>
    <n v="2.0001850000000001"/>
    <m/>
    <m/>
    <m/>
    <m/>
    <m/>
    <n v="199.1487485532416"/>
    <x v="0"/>
    <x v="2"/>
    <x v="0"/>
    <n v="146"/>
    <n v="112"/>
    <n v="0.76712328767123283"/>
    <n v="0.76712328767123283"/>
    <n v="1"/>
  </r>
  <r>
    <n v="1230591094"/>
    <s v="46.015.258/0001-62"/>
    <s v="ib market commerce"/>
    <x v="5"/>
    <s v="Pipebot"/>
    <x v="633"/>
    <m/>
    <m/>
    <d v="2025-10-22T20:25:43"/>
    <d v="2026-02-13T16:00:53"/>
    <n v="2.1466780000000001"/>
    <d v="2025-10-27T20:27:33"/>
    <d v="2026-02-12T12:29:52"/>
    <n v="107.66826399999999"/>
    <m/>
    <m/>
    <m/>
    <d v="2025-10-23T20:25:55"/>
    <d v="2026-02-16T12:49:14"/>
    <n v="4.8675230000000003"/>
    <d v="2025-10-25T20:26:49"/>
    <d v="2025-10-27T20:27:33"/>
    <n v="12.356434999999999"/>
    <m/>
    <m/>
    <m/>
    <m/>
    <m/>
    <n v="141.14910190972296"/>
    <x v="0"/>
    <x v="6"/>
    <x v="0"/>
    <n v="195"/>
    <n v="132"/>
    <n v="0.67692307692307696"/>
    <n v="0.67692307692307696"/>
    <n v="1"/>
  </r>
  <r>
    <n v="1197309428"/>
    <s v="39.575.110/0001-17"/>
    <s v="IGOR "/>
    <x v="0"/>
    <s v="Pipebot"/>
    <x v="634"/>
    <m/>
    <m/>
    <m/>
    <m/>
    <m/>
    <m/>
    <m/>
    <m/>
    <m/>
    <m/>
    <m/>
    <m/>
    <m/>
    <m/>
    <m/>
    <m/>
    <m/>
    <m/>
    <m/>
    <m/>
    <m/>
    <m/>
    <n v="192.15419295139145"/>
    <x v="0"/>
    <x v="2"/>
    <x v="0"/>
    <n v="146"/>
    <n v="112"/>
    <n v="0.76712328767123283"/>
    <n v="0.76712328767123283"/>
    <n v="1"/>
  </r>
  <r>
    <n v="1203711903"/>
    <s v="39.575.110/0001-17"/>
    <s v="IGOR - Buy At Home"/>
    <x v="0"/>
    <s v="Pipebot"/>
    <x v="635"/>
    <m/>
    <m/>
    <d v="2025-09-11T15:25:55"/>
    <d v="2025-09-12T15:26:39"/>
    <n v="1.0005090000000001"/>
    <m/>
    <m/>
    <m/>
    <m/>
    <m/>
    <m/>
    <d v="2025-09-12T15:26:40"/>
    <d v="2025-09-14T15:26:52"/>
    <n v="2.0001389999999999"/>
    <d v="2025-09-14T15:26:52"/>
    <d v="2025-09-15T20:05:51"/>
    <n v="1.193738"/>
    <m/>
    <m/>
    <m/>
    <m/>
    <m/>
    <n v="182.35774057870003"/>
    <x v="0"/>
    <x v="2"/>
    <x v="0"/>
    <n v="146"/>
    <n v="112"/>
    <n v="0.76712328767123283"/>
    <n v="0.76712328767123283"/>
    <n v="1"/>
  </r>
  <r>
    <n v="1284078674"/>
    <s v="39.575.110/0001-17"/>
    <s v="Igor - Buy At Home - trava (acionado 09/02 gabi)"/>
    <x v="5"/>
    <s v="Pipebot"/>
    <x v="636"/>
    <m/>
    <m/>
    <d v="2026-02-02T19:05:42"/>
    <d v="2026-02-20T16:51:48"/>
    <n v="2.1762730000000001"/>
    <d v="2026-02-07T19:07:17"/>
    <d v="2026-02-19T12:38:04"/>
    <n v="11.729699"/>
    <m/>
    <m/>
    <m/>
    <d v="2026-02-03T19:05:48"/>
    <d v="2026-02-23T13:32:47"/>
    <n v="4.8621639999999999"/>
    <d v="2026-02-05T19:06:21"/>
    <d v="2026-02-07T19:07:17"/>
    <n v="5.3263189999999998"/>
    <m/>
    <m/>
    <m/>
    <m/>
    <m/>
    <n v="38.204590868059313"/>
    <x v="2"/>
    <x v="3"/>
    <x v="1"/>
    <n v="223"/>
    <n v="147"/>
    <n v="0.65919282511210764"/>
    <n v="0.65919282511210764"/>
    <n v="1"/>
  </r>
  <r>
    <n v="1258997392"/>
    <s v="54.188.416/0001-04"/>
    <s v="Igor Daniel Rosa da rocha"/>
    <x v="5"/>
    <s v="Pipebot"/>
    <x v="637"/>
    <m/>
    <m/>
    <d v="2025-12-08T22:04:59"/>
    <d v="2026-02-19T12:34:58"/>
    <n v="2.0053130000000001"/>
    <d v="2025-12-13T22:07:37"/>
    <d v="2026-02-18T13:26:01"/>
    <n v="61.321134000000001"/>
    <d v="2026-01-14T18:05:58"/>
    <d v="2026-01-14T18:06:05"/>
    <n v="8.1000000000000004E-5"/>
    <d v="2025-12-09T22:05:53"/>
    <d v="2026-02-20T12:58:38"/>
    <n v="3.0170599999999999"/>
    <d v="2025-12-11T22:06:47"/>
    <d v="2025-12-13T22:07:37"/>
    <n v="8.3499649999999992"/>
    <m/>
    <m/>
    <m/>
    <m/>
    <m/>
    <n v="94.080141203703533"/>
    <x v="0"/>
    <x v="0"/>
    <x v="0"/>
    <n v="131"/>
    <n v="87"/>
    <n v="0.66412213740458015"/>
    <n v="0.66412213740458015"/>
    <n v="1"/>
  </r>
  <r>
    <n v="1223686325"/>
    <s v="38.019.297/0001-00"/>
    <s v="Ilse Maria Layter"/>
    <x v="0"/>
    <s v="Pipebot"/>
    <x v="638"/>
    <m/>
    <m/>
    <m/>
    <m/>
    <m/>
    <m/>
    <m/>
    <m/>
    <m/>
    <m/>
    <m/>
    <m/>
    <m/>
    <m/>
    <m/>
    <m/>
    <m/>
    <m/>
    <m/>
    <m/>
    <m/>
    <m/>
    <n v="150.35861043981276"/>
    <x v="0"/>
    <x v="4"/>
    <x v="0"/>
    <n v="197"/>
    <n v="149"/>
    <n v="0.75634517766497467"/>
    <n v="0.75634517766497467"/>
    <n v="1"/>
  </r>
  <r>
    <n v="1230591597"/>
    <s v="38.019.297/0001-00"/>
    <s v="Ilse Maria Layter"/>
    <x v="0"/>
    <s v="Pipebot"/>
    <x v="639"/>
    <m/>
    <m/>
    <d v="2025-10-22T20:26:42"/>
    <d v="2025-10-23T20:26:55"/>
    <n v="1.0001389999999999"/>
    <d v="2025-10-27T20:28:54"/>
    <d v="2025-11-03T20:00:35"/>
    <n v="6.9803360000000003"/>
    <m/>
    <m/>
    <m/>
    <d v="2025-10-23T20:26:55"/>
    <d v="2025-10-25T20:27:49"/>
    <n v="2.000613"/>
    <d v="2025-10-25T20:27:49"/>
    <d v="2025-10-27T20:28:54"/>
    <n v="2.0007519999999999"/>
    <m/>
    <m/>
    <m/>
    <m/>
    <m/>
    <n v="141.1487936458434"/>
    <x v="0"/>
    <x v="6"/>
    <x v="0"/>
    <n v="195"/>
    <n v="132"/>
    <n v="0.67692307692307696"/>
    <n v="0.67692307692307696"/>
    <n v="1"/>
  </r>
  <r>
    <n v="1291129640"/>
    <s v="48.673.126/0001-53"/>
    <s v="Infinity Residence "/>
    <x v="0"/>
    <s v="Pipebot"/>
    <x v="640"/>
    <m/>
    <m/>
    <m/>
    <m/>
    <m/>
    <m/>
    <m/>
    <m/>
    <m/>
    <m/>
    <m/>
    <m/>
    <m/>
    <m/>
    <m/>
    <m/>
    <m/>
    <m/>
    <m/>
    <m/>
    <m/>
    <m/>
    <n v="27.183605995371181"/>
    <x v="5"/>
    <x v="3"/>
    <x v="1"/>
    <n v="223"/>
    <n v="147"/>
    <n v="0.65919282511210764"/>
    <n v="0.65919282511210764"/>
    <n v="1"/>
  </r>
  <r>
    <n v="1170806180"/>
    <s v="27.512.032/0001-22"/>
    <s v="Inova Machines"/>
    <x v="3"/>
    <s v="Pipebot"/>
    <x v="641"/>
    <m/>
    <m/>
    <d v="2025-07-17T00:26:20"/>
    <d v="2026-02-12T12:25:20"/>
    <n v="1.646007"/>
    <d v="2025-07-22T00:27:57"/>
    <d v="2026-02-11T20:55:54"/>
    <n v="204.852743"/>
    <m/>
    <m/>
    <m/>
    <d v="2025-07-18T00:27:10"/>
    <d v="2026-02-13T15:59:14"/>
    <n v="3.1487959999999999"/>
    <d v="2025-07-20T00:27:33"/>
    <d v="2026-02-18T18:24:55"/>
    <n v="7.1014470000000003"/>
    <m/>
    <m/>
    <m/>
    <m/>
    <m/>
    <n v="238.98200952546904"/>
    <x v="0"/>
    <x v="5"/>
    <x v="0"/>
    <n v="177"/>
    <n v="130"/>
    <n v="0.7344632768361582"/>
    <n v="0.7344632768361582"/>
    <n v="1"/>
  </r>
  <r>
    <n v="1179390697"/>
    <s v="27.512.032/0001-22"/>
    <s v="Inova Machines"/>
    <x v="3"/>
    <s v="Pipebot"/>
    <x v="642"/>
    <m/>
    <m/>
    <d v="2025-08-02T20:26:07"/>
    <d v="2026-02-12T12:25:28"/>
    <n v="1.6455789999999999"/>
    <d v="2025-08-07T20:27:11"/>
    <d v="2026-02-11T20:56:01"/>
    <n v="188.02002300000001"/>
    <m/>
    <m/>
    <m/>
    <d v="2025-08-03T20:26:19"/>
    <d v="2026-02-13T15:59:22"/>
    <n v="3.1490049999999998"/>
    <d v="2025-08-05T20:27:00"/>
    <d v="2026-02-18T18:24:56"/>
    <n v="7.1012040000000001"/>
    <m/>
    <m/>
    <m/>
    <m/>
    <m/>
    <n v="222.14897218749684"/>
    <x v="0"/>
    <x v="5"/>
    <x v="0"/>
    <n v="177"/>
    <n v="130"/>
    <n v="0.7344632768361582"/>
    <n v="0.7344632768361582"/>
    <n v="1"/>
  </r>
  <r>
    <n v="1170806217"/>
    <s v="27.512.032/0001-22"/>
    <s v="Inova Machines"/>
    <x v="3"/>
    <s v="Pipebot"/>
    <x v="643"/>
    <m/>
    <m/>
    <d v="2025-07-17T00:26:20"/>
    <d v="2026-02-12T12:25:20"/>
    <n v="1.6460189999999999"/>
    <d v="2025-07-22T00:27:57"/>
    <d v="2026-02-11T20:55:55"/>
    <n v="204.852755"/>
    <m/>
    <m/>
    <m/>
    <d v="2025-07-18T00:27:10"/>
    <d v="2026-02-13T15:59:15"/>
    <n v="3.1487959999999999"/>
    <d v="2025-07-20T00:27:33"/>
    <d v="2026-02-18T18:24:57"/>
    <n v="7.101458"/>
    <m/>
    <m/>
    <m/>
    <m/>
    <m/>
    <n v="238.98186214119778"/>
    <x v="0"/>
    <x v="5"/>
    <x v="0"/>
    <n v="177"/>
    <n v="130"/>
    <n v="0.7344632768361582"/>
    <n v="0.7344632768361582"/>
    <n v="1"/>
  </r>
  <r>
    <n v="1175343247"/>
    <s v="27.512.032/0001-22"/>
    <s v="Inova Machines"/>
    <x v="3"/>
    <s v="Pipebot"/>
    <x v="644"/>
    <m/>
    <m/>
    <d v="2025-07-26T20:25:13"/>
    <d v="2026-02-12T12:25:23"/>
    <n v="1.6456710000000001"/>
    <d v="2025-07-31T20:26:36"/>
    <d v="2026-02-11T20:55:57"/>
    <n v="195.02038200000001"/>
    <m/>
    <m/>
    <m/>
    <d v="2025-07-27T20:25:34"/>
    <d v="2026-02-13T15:59:18"/>
    <n v="3.1490860000000001"/>
    <d v="2025-07-29T20:26:20"/>
    <d v="2026-02-18T18:24:58"/>
    <n v="7.1013310000000001"/>
    <m/>
    <m/>
    <m/>
    <m/>
    <m/>
    <n v="229.14952768519288"/>
    <x v="0"/>
    <x v="5"/>
    <x v="0"/>
    <n v="177"/>
    <n v="130"/>
    <n v="0.7344632768361582"/>
    <n v="0.7344632768361582"/>
    <n v="1"/>
  </r>
  <r>
    <n v="1179654747"/>
    <s v="27.512.032/0001-22"/>
    <s v="Inova Machines"/>
    <x v="3"/>
    <s v="Pipebot"/>
    <x v="645"/>
    <m/>
    <m/>
    <d v="2025-08-03T15:27:19"/>
    <d v="2026-02-12T12:25:29"/>
    <n v="1.645613"/>
    <d v="2025-08-08T15:28:16"/>
    <d v="2026-02-11T20:56:02"/>
    <n v="187.22760400000001"/>
    <m/>
    <m/>
    <m/>
    <d v="2025-08-04T15:27:33"/>
    <d v="2026-02-13T15:59:23"/>
    <n v="3.1486000000000001"/>
    <d v="2025-08-06T15:27:40"/>
    <d v="2026-02-18T18:24:59"/>
    <n v="7.1015280000000001"/>
    <m/>
    <m/>
    <m/>
    <m/>
    <m/>
    <n v="221.3563366087983"/>
    <x v="0"/>
    <x v="5"/>
    <x v="0"/>
    <n v="177"/>
    <n v="130"/>
    <n v="0.7344632768361582"/>
    <n v="0.7344632768361582"/>
    <n v="1"/>
  </r>
  <r>
    <n v="1304765136"/>
    <s v="51.883.188/0001-02"/>
    <s v="Inova Pina ltda"/>
    <x v="7"/>
    <s v="Pipebot"/>
    <x v="646"/>
    <m/>
    <m/>
    <m/>
    <m/>
    <m/>
    <m/>
    <m/>
    <m/>
    <m/>
    <m/>
    <m/>
    <m/>
    <m/>
    <m/>
    <m/>
    <m/>
    <m/>
    <m/>
    <m/>
    <m/>
    <m/>
    <m/>
    <n v="0.20336541667347774"/>
    <x v="4"/>
    <x v="1"/>
    <x v="1"/>
    <n v="189"/>
    <n v="33"/>
    <n v="0.17460317460317459"/>
    <n v="0.17460317460317459"/>
    <n v="1"/>
  </r>
  <r>
    <n v="1267211227"/>
    <s v="62.005.878/0001-77"/>
    <s v="istok Mackenzie ltda"/>
    <x v="0"/>
    <s v="Pipebot"/>
    <x v="647"/>
    <m/>
    <m/>
    <d v="2025-12-25T19:10:25"/>
    <d v="2025-12-26T19:11:03"/>
    <n v="1.00044"/>
    <d v="2025-12-30T19:12:00"/>
    <d v="2026-01-12T17:06:14"/>
    <n v="12.912649999999999"/>
    <m/>
    <m/>
    <m/>
    <d v="2025-12-26T19:11:03"/>
    <d v="2025-12-28T19:11:29"/>
    <n v="2.000289"/>
    <d v="2025-12-28T19:11:29"/>
    <d v="2025-12-30T19:12:00"/>
    <n v="2.000359"/>
    <m/>
    <m/>
    <m/>
    <m/>
    <m/>
    <n v="77.201577581006859"/>
    <x v="0"/>
    <x v="7"/>
    <x v="0"/>
    <n v="207"/>
    <n v="140"/>
    <n v="0.67632850241545894"/>
    <n v="0.67632850241545894"/>
    <n v="1"/>
  </r>
  <r>
    <n v="1204000895"/>
    <s v="51.883.188/0001-02"/>
    <s v="Inova Pina ltda - CHIPS"/>
    <x v="0"/>
    <s v="Pipebot"/>
    <x v="648"/>
    <m/>
    <m/>
    <d v="2025-09-11T20:25:55"/>
    <d v="2025-09-11T20:38:14"/>
    <n v="8.5419999999999992E-3"/>
    <m/>
    <m/>
    <m/>
    <m/>
    <m/>
    <m/>
    <m/>
    <m/>
    <m/>
    <m/>
    <m/>
    <m/>
    <m/>
    <m/>
    <m/>
    <m/>
    <m/>
    <n v="182.14921505787061"/>
    <x v="0"/>
    <x v="2"/>
    <x v="0"/>
    <n v="146"/>
    <n v="112"/>
    <n v="0.76712328767123283"/>
    <n v="0.76712328767123283"/>
    <n v="1"/>
  </r>
  <r>
    <n v="1249086114"/>
    <s v="56.186.755/0001-87"/>
    <s v="IPFA COMERCIO DE PICOLE E SERVICOS "/>
    <x v="0"/>
    <s v="Pipebot"/>
    <x v="649"/>
    <m/>
    <m/>
    <m/>
    <m/>
    <m/>
    <m/>
    <m/>
    <m/>
    <m/>
    <m/>
    <m/>
    <m/>
    <m/>
    <m/>
    <m/>
    <m/>
    <m/>
    <m/>
    <m/>
    <m/>
    <m/>
    <m/>
    <n v="115.20516282407334"/>
    <x v="0"/>
    <x v="0"/>
    <x v="0"/>
    <n v="131"/>
    <n v="87"/>
    <n v="0.66412213740458015"/>
    <n v="0.66412213740458015"/>
    <n v="1"/>
  </r>
  <r>
    <n v="1262166250"/>
    <s v="51.623.806/0001-77"/>
    <s v="Janaina Cristina Dias Oliveira"/>
    <x v="0"/>
    <s v="Pipebot"/>
    <x v="650"/>
    <m/>
    <m/>
    <d v="2025-12-15T22:06:10"/>
    <d v="2025-12-16T22:06:47"/>
    <n v="1.0004169999999999"/>
    <d v="2025-12-20T22:08:07"/>
    <d v="2026-01-08T16:56:49"/>
    <n v="18.783808000000001"/>
    <m/>
    <m/>
    <m/>
    <d v="2025-12-16T22:06:47"/>
    <d v="2025-12-18T22:07:35"/>
    <n v="2.0005440000000001"/>
    <d v="2025-12-18T22:07:35"/>
    <d v="2025-12-20T22:08:07"/>
    <n v="2.000359"/>
    <m/>
    <m/>
    <m/>
    <m/>
    <m/>
    <n v="87.079176319442922"/>
    <x v="0"/>
    <x v="7"/>
    <x v="0"/>
    <n v="207"/>
    <n v="140"/>
    <n v="0.67632850241545894"/>
    <n v="0.67632850241545894"/>
    <n v="1"/>
  </r>
  <r>
    <n v="1240427488"/>
    <s v="60.906.800/0001-06"/>
    <s v="Isabella Victoria Fior"/>
    <x v="0"/>
    <s v="Pipebot"/>
    <x v="651"/>
    <m/>
    <m/>
    <d v="2025-11-04T13:04:10"/>
    <d v="2025-11-05T13:05:14"/>
    <n v="1.0007410000000001"/>
    <m/>
    <m/>
    <m/>
    <d v="2025-11-06T21:09:55"/>
    <d v="2025-11-06T21:10:01"/>
    <n v="5.8E-5"/>
    <d v="2025-11-05T13:05:14"/>
    <d v="2025-11-06T21:09:29"/>
    <n v="1.336273"/>
    <m/>
    <m/>
    <m/>
    <m/>
    <m/>
    <m/>
    <m/>
    <m/>
    <n v="128.45623523148242"/>
    <x v="0"/>
    <x v="6"/>
    <x v="0"/>
    <n v="195"/>
    <n v="132"/>
    <n v="0.67692307692307696"/>
    <n v="0.67692307692307696"/>
    <n v="1"/>
  </r>
  <r>
    <n v="1215955132"/>
    <s v="61.273.513/0001-60"/>
    <s v="Isabelle Cristina Motta de oliveira merlo"/>
    <x v="0"/>
    <s v="Pipebot"/>
    <x v="652"/>
    <m/>
    <m/>
    <d v="2025-10-01T15:24:31"/>
    <d v="2025-10-02T15:25:10"/>
    <n v="1.000451"/>
    <m/>
    <m/>
    <m/>
    <m/>
    <m/>
    <m/>
    <d v="2025-10-02T15:25:10"/>
    <d v="2025-10-02T17:43:29"/>
    <n v="9.6052999999999999E-2"/>
    <m/>
    <m/>
    <m/>
    <m/>
    <m/>
    <m/>
    <m/>
    <m/>
    <n v="162.35844159722183"/>
    <x v="0"/>
    <x v="4"/>
    <x v="0"/>
    <n v="197"/>
    <n v="149"/>
    <n v="0.75634517766497467"/>
    <n v="0.75634517766497467"/>
    <n v="1"/>
  </r>
  <r>
    <n v="1259930058"/>
    <s v="54.668.683/0001-89"/>
    <s v="ISHIKAWA COMÉRCIO DE PRODUTOS ALIMENTÍCIOS LTDA"/>
    <x v="0"/>
    <s v="Pipebot"/>
    <x v="653"/>
    <m/>
    <m/>
    <d v="2025-12-10T19:05:45"/>
    <d v="2025-12-11T19:06:17"/>
    <n v="1.00037"/>
    <d v="2025-12-15T19:06:58"/>
    <d v="2025-12-19T12:47:11"/>
    <n v="3.736262"/>
    <m/>
    <m/>
    <m/>
    <d v="2025-12-11T19:06:17"/>
    <d v="2025-12-13T19:06:37"/>
    <n v="2.0002309999999999"/>
    <d v="2025-12-13T19:06:37"/>
    <d v="2025-12-15T19:06:58"/>
    <n v="2.0002309999999999"/>
    <m/>
    <m/>
    <m/>
    <m/>
    <m/>
    <n v="92.20467327546794"/>
    <x v="0"/>
    <x v="0"/>
    <x v="0"/>
    <n v="131"/>
    <n v="87"/>
    <n v="0.66412213740458015"/>
    <n v="0.66412213740458015"/>
    <n v="1"/>
  </r>
  <r>
    <n v="1262025974"/>
    <s v="34.614.239/0001-73"/>
    <s v="JEAN ALVARES DE CALDA"/>
    <x v="5"/>
    <s v="Pipebot"/>
    <x v="654"/>
    <m/>
    <m/>
    <d v="2025-12-15T19:04:57"/>
    <d v="2026-02-18T13:25:02"/>
    <n v="3.0228359999999999"/>
    <d v="2025-12-20T19:06:07"/>
    <d v="2026-02-16T12:52:58"/>
    <n v="57.740856000000001"/>
    <m/>
    <m/>
    <m/>
    <d v="2025-12-16T19:05:47"/>
    <d v="2026-02-19T12:27:37"/>
    <n v="2.9602200000000001"/>
    <d v="2025-12-18T19:05:55"/>
    <d v="2025-12-20T19:06:07"/>
    <n v="9.3710649999999998"/>
    <m/>
    <m/>
    <m/>
    <m/>
    <m/>
    <n v="87.205855787033215"/>
    <x v="0"/>
    <x v="7"/>
    <x v="0"/>
    <n v="207"/>
    <n v="140"/>
    <n v="0.67632850241545894"/>
    <n v="0.67632850241545894"/>
    <n v="1"/>
  </r>
  <r>
    <n v="1183425687"/>
    <s v="55.649.382/0001-70"/>
    <s v="ISTOK RIO VERTENTES"/>
    <x v="5"/>
    <s v="Pipebot"/>
    <x v="655"/>
    <m/>
    <m/>
    <d v="2025-08-08T20:30:01"/>
    <d v="2026-02-12T12:25:37"/>
    <n v="1.6459029999999999"/>
    <d v="2025-08-13T20:32:08"/>
    <d v="2026-02-11T20:56:09"/>
    <n v="182.01666700000001"/>
    <m/>
    <m/>
    <m/>
    <d v="2025-08-09T20:30:39"/>
    <d v="2026-02-13T15:59:31"/>
    <n v="3.1492249999999999"/>
    <d v="2025-08-11T20:31:39"/>
    <d v="2025-08-13T20:32:08"/>
    <n v="15.224109"/>
    <m/>
    <m/>
    <m/>
    <m/>
    <m/>
    <n v="216.14681393519277"/>
    <x v="0"/>
    <x v="5"/>
    <x v="0"/>
    <n v="177"/>
    <n v="130"/>
    <n v="0.7344632768361582"/>
    <n v="0.7344632768361582"/>
    <n v="1"/>
  </r>
  <r>
    <n v="1222203450"/>
    <s v="46.640.897/0001-19"/>
    <s v="Ivan - máquina que não havia card"/>
    <x v="0"/>
    <s v="Vinícius Melesque dos Santos"/>
    <x v="656"/>
    <m/>
    <m/>
    <m/>
    <m/>
    <m/>
    <m/>
    <m/>
    <m/>
    <m/>
    <m/>
    <m/>
    <m/>
    <m/>
    <m/>
    <m/>
    <m/>
    <m/>
    <m/>
    <m/>
    <m/>
    <m/>
    <m/>
    <n v="153.17325781250111"/>
    <x v="0"/>
    <x v="4"/>
    <x v="0"/>
    <n v="197"/>
    <n v="149"/>
    <n v="0.75634517766497467"/>
    <n v="0.75634517766497467"/>
    <n v="1"/>
  </r>
  <r>
    <n v="1304762938"/>
    <s v="51.656.082/0001-68"/>
    <s v="Ivan David da silva jr"/>
    <x v="7"/>
    <s v="Pipebot"/>
    <x v="657"/>
    <m/>
    <m/>
    <m/>
    <m/>
    <m/>
    <m/>
    <m/>
    <m/>
    <m/>
    <m/>
    <m/>
    <m/>
    <m/>
    <m/>
    <m/>
    <m/>
    <m/>
    <m/>
    <m/>
    <m/>
    <m/>
    <m/>
    <n v="0.20565710648224922"/>
    <x v="4"/>
    <x v="1"/>
    <x v="1"/>
    <n v="189"/>
    <n v="33"/>
    <n v="0.17460317460317459"/>
    <n v="0.17460317460317459"/>
    <n v="1"/>
  </r>
  <r>
    <n v="1279454488"/>
    <s v="51.656.082/0001-68"/>
    <s v="Ivan David da silva jr (chipe) - acionado sofia 06/02."/>
    <x v="5"/>
    <s v="Pipebot"/>
    <x v="658"/>
    <m/>
    <m/>
    <d v="2026-01-23T15:06:40"/>
    <d v="2026-02-20T16:51:22"/>
    <n v="2.1762380000000001"/>
    <d v="2026-01-28T15:08:31"/>
    <d v="2026-02-19T12:37:44"/>
    <n v="21.895278000000001"/>
    <m/>
    <m/>
    <m/>
    <d v="2026-01-24T15:06:50"/>
    <d v="2026-02-23T13:32:47"/>
    <n v="4.8626389999999997"/>
    <d v="2026-01-26T15:07:38"/>
    <d v="2026-01-28T15:08:31"/>
    <n v="5.3262850000000004"/>
    <m/>
    <m/>
    <m/>
    <m/>
    <m/>
    <n v="48.370556053239852"/>
    <x v="2"/>
    <x v="3"/>
    <x v="1"/>
    <n v="223"/>
    <n v="147"/>
    <n v="0.65919282511210764"/>
    <n v="0.65919282511210764"/>
    <n v="1"/>
  </r>
  <r>
    <n v="1293442700"/>
    <s v="51.656.082/0001-68"/>
    <s v="Ivan david da silva junior"/>
    <x v="0"/>
    <s v="Pipebot"/>
    <x v="659"/>
    <m/>
    <m/>
    <d v="2026-02-18T22:03:38"/>
    <d v="2026-02-19T12:36:09"/>
    <n v="0.60590299999999997"/>
    <m/>
    <m/>
    <m/>
    <m/>
    <m/>
    <m/>
    <d v="2026-02-19T12:36:09"/>
    <d v="2026-02-20T16:50:26"/>
    <n v="1.176574"/>
    <d v="2026-02-20T16:50:26"/>
    <d v="2026-02-20T20:20:01"/>
    <n v="0.14554400000000001"/>
    <m/>
    <m/>
    <m/>
    <m/>
    <m/>
    <n v="22.081193032412557"/>
    <x v="3"/>
    <x v="1"/>
    <x v="1"/>
    <n v="189"/>
    <n v="33"/>
    <n v="0.17460317460317459"/>
    <n v="0.17460317460317459"/>
    <n v="1"/>
  </r>
  <r>
    <n v="1203711093"/>
    <s v="51.656.082/0001-68"/>
    <s v="Ivan David da Silva Junior "/>
    <x v="8"/>
    <s v="Pipebot"/>
    <x v="660"/>
    <m/>
    <m/>
    <d v="2025-09-11T15:24:54"/>
    <d v="2025-09-12T15:25:41"/>
    <n v="1.000532"/>
    <d v="2025-09-16T15:26:25"/>
    <d v="2025-11-03T18:44:15"/>
    <n v="48.137383999999997"/>
    <m/>
    <m/>
    <m/>
    <d v="2025-09-12T15:25:41"/>
    <d v="2025-09-14T15:25:52"/>
    <n v="2.000127"/>
    <d v="2025-09-14T15:25:52"/>
    <d v="2025-09-16T15:26:25"/>
    <n v="2.0003820000000001"/>
    <m/>
    <m/>
    <m/>
    <m/>
    <m/>
    <n v="182.35824598379259"/>
    <x v="0"/>
    <x v="2"/>
    <x v="0"/>
    <n v="146"/>
    <n v="112"/>
    <n v="0.76712328767123283"/>
    <n v="0.76712328767123283"/>
    <n v="1"/>
  </r>
  <r>
    <n v="1176235684"/>
    <s v="59.823.306/0001-90"/>
    <s v="Ivanete Simões Justino "/>
    <x v="0"/>
    <s v="Pipebot"/>
    <x v="661"/>
    <m/>
    <m/>
    <m/>
    <m/>
    <m/>
    <m/>
    <m/>
    <m/>
    <m/>
    <m/>
    <m/>
    <m/>
    <m/>
    <m/>
    <m/>
    <m/>
    <m/>
    <m/>
    <m/>
    <m/>
    <m/>
    <m/>
    <n v="227.14907959490665"/>
    <x v="0"/>
    <x v="5"/>
    <x v="0"/>
    <n v="177"/>
    <n v="130"/>
    <n v="0.7344632768361582"/>
    <n v="0.7344632768361582"/>
    <n v="1"/>
  </r>
  <r>
    <n v="1295186590"/>
    <s v="52.134.404/0001-71"/>
    <s v="Ivone Pedro de oliveira"/>
    <x v="5"/>
    <s v="Pipebot"/>
    <x v="662"/>
    <m/>
    <m/>
    <d v="2026-02-23T14:20:16"/>
    <d v="2026-02-24T14:21:21"/>
    <n v="1.0007410000000001"/>
    <m/>
    <m/>
    <m/>
    <m/>
    <m/>
    <m/>
    <d v="2026-02-24T14:21:21"/>
    <d v="2026-02-26T14:22:15"/>
    <n v="2.0006249999999999"/>
    <d v="2026-02-26T14:22:15"/>
    <m/>
    <n v="0.29131899999999999"/>
    <m/>
    <m/>
    <m/>
    <m/>
    <m/>
    <n v="17.403270416660234"/>
    <x v="1"/>
    <x v="1"/>
    <x v="1"/>
    <n v="189"/>
    <n v="33"/>
    <n v="0.17460317460317459"/>
    <n v="0.17460317460317459"/>
    <n v="1"/>
  </r>
  <r>
    <n v="1175244050"/>
    <s v="54.788.319/0001-52"/>
    <s v="Jacinete Silva"/>
    <x v="0"/>
    <s v="Pipebot"/>
    <x v="663"/>
    <m/>
    <m/>
    <d v="2025-07-26T15:26:48"/>
    <d v="2025-07-27T15:27:34"/>
    <n v="1.000532"/>
    <d v="2025-07-31T15:28:18"/>
    <d v="2025-08-01T12:08:34"/>
    <n v="0.86129599999999995"/>
    <d v="2025-08-01T12:08:34"/>
    <d v="2025-08-01T12:08:41"/>
    <n v="6.8999999999999997E-5"/>
    <d v="2025-07-27T15:27:34"/>
    <d v="2025-07-29T15:27:58"/>
    <n v="2.0002779999999998"/>
    <d v="2025-07-29T15:27:58"/>
    <d v="2025-07-31T15:28:18"/>
    <n v="2.0002200000000001"/>
    <m/>
    <m/>
    <m/>
    <m/>
    <m/>
    <n v="229.35706774304708"/>
    <x v="0"/>
    <x v="5"/>
    <x v="0"/>
    <n v="177"/>
    <n v="130"/>
    <n v="0.7344632768361582"/>
    <n v="0.7344632768361582"/>
    <n v="1"/>
  </r>
  <r>
    <n v="1213259820"/>
    <s v="23.866.115/0001-69"/>
    <s v="JACSON COSTA NEVES "/>
    <x v="0"/>
    <s v="Pipebot"/>
    <x v="664"/>
    <m/>
    <m/>
    <m/>
    <m/>
    <m/>
    <m/>
    <m/>
    <m/>
    <m/>
    <m/>
    <m/>
    <m/>
    <m/>
    <m/>
    <m/>
    <m/>
    <m/>
    <m/>
    <m/>
    <m/>
    <m/>
    <m/>
    <n v="167.35589042823995"/>
    <x v="0"/>
    <x v="4"/>
    <x v="0"/>
    <n v="197"/>
    <n v="149"/>
    <n v="0.75634517766497467"/>
    <n v="0.75634517766497467"/>
    <n v="1"/>
  </r>
  <r>
    <n v="1230591569"/>
    <s v="51.623.806/0001-77"/>
    <s v="Janaina Cristina Dias Oliveira"/>
    <x v="0"/>
    <s v="Pipebot"/>
    <x v="665"/>
    <m/>
    <m/>
    <d v="2025-10-22T20:26:42"/>
    <d v="2025-10-23T20:26:54"/>
    <n v="1.0001389999999999"/>
    <m/>
    <m/>
    <m/>
    <m/>
    <m/>
    <m/>
    <d v="2025-10-23T20:26:54"/>
    <d v="2025-10-25T20:27:49"/>
    <n v="2.0006249999999999"/>
    <d v="2025-10-25T20:27:49"/>
    <d v="2025-10-27T18:10:36"/>
    <n v="1.9046989999999999"/>
    <m/>
    <m/>
    <m/>
    <m/>
    <m/>
    <n v="141.14881565971882"/>
    <x v="0"/>
    <x v="6"/>
    <x v="0"/>
    <n v="195"/>
    <n v="132"/>
    <n v="0.67692307692307696"/>
    <n v="0.67692307692307696"/>
    <n v="1"/>
  </r>
  <r>
    <n v="1270760142"/>
    <s v="34.894.031/0001-55"/>
    <s v="JHL Mercados Autônomos LTDA"/>
    <x v="0"/>
    <s v="Pipebot"/>
    <x v="666"/>
    <m/>
    <m/>
    <d v="2026-01-02T19:08:14"/>
    <d v="2026-01-03T19:09:12"/>
    <n v="1.0006710000000001"/>
    <d v="2026-01-07T19:10:09"/>
    <d v="2026-01-15T16:49:03"/>
    <n v="7.9020020000000004"/>
    <m/>
    <m/>
    <m/>
    <d v="2026-01-03T19:09:12"/>
    <d v="2026-01-05T19:09:39"/>
    <n v="2.0003009999999999"/>
    <d v="2026-01-05T19:09:39"/>
    <d v="2026-01-07T19:10:09"/>
    <n v="2.0003359999999999"/>
    <m/>
    <m/>
    <m/>
    <m/>
    <m/>
    <n v="69.203329386582482"/>
    <x v="0"/>
    <x v="7"/>
    <x v="0"/>
    <n v="207"/>
    <n v="140"/>
    <n v="0.67632850241545894"/>
    <n v="0.67632850241545894"/>
    <n v="1"/>
  </r>
  <r>
    <n v="1234611343"/>
    <s v="51.623.806/0001-77"/>
    <s v="Janaina Cristina Dias Oliveira"/>
    <x v="0"/>
    <s v="Pipebot"/>
    <x v="667"/>
    <m/>
    <m/>
    <d v="2025-10-27T22:04:03"/>
    <d v="2025-10-28T11:47:15"/>
    <n v="0.57166700000000004"/>
    <m/>
    <m/>
    <m/>
    <m/>
    <m/>
    <m/>
    <m/>
    <m/>
    <m/>
    <m/>
    <m/>
    <m/>
    <m/>
    <m/>
    <m/>
    <m/>
    <m/>
    <n v="136.08066737267654"/>
    <x v="0"/>
    <x v="6"/>
    <x v="0"/>
    <n v="195"/>
    <n v="132"/>
    <n v="0.67692307692307696"/>
    <n v="0.67692307692307696"/>
    <n v="1"/>
  </r>
  <r>
    <n v="1226265042"/>
    <s v="51.623.806/0001-77"/>
    <s v="Janaina Cristina Dias Oliveira"/>
    <x v="0"/>
    <s v="Pipebot"/>
    <x v="668"/>
    <m/>
    <m/>
    <d v="2025-10-16T20:25:47"/>
    <d v="2025-10-17T20:26:13"/>
    <n v="1.0003010000000001"/>
    <d v="2025-10-21T20:27:23"/>
    <d v="2025-10-27T18:05:26"/>
    <n v="5.9014239999999996"/>
    <m/>
    <m/>
    <m/>
    <d v="2025-10-17T20:26:13"/>
    <d v="2025-10-19T20:26:35"/>
    <n v="2.0002550000000001"/>
    <d v="2025-10-19T20:26:35"/>
    <d v="2025-10-21T20:27:23"/>
    <n v="2.000556"/>
    <m/>
    <m/>
    <m/>
    <m/>
    <m/>
    <n v="147.14941393519257"/>
    <x v="0"/>
    <x v="6"/>
    <x v="0"/>
    <n v="195"/>
    <n v="132"/>
    <n v="0.67692307692307696"/>
    <n v="0.67692307692307696"/>
    <n v="1"/>
  </r>
  <r>
    <n v="1242498155"/>
    <s v="51.623.806/0001-77"/>
    <s v="Janaina Cristina Dias Oliveira - Recebido 06/11"/>
    <x v="8"/>
    <s v="Pipebot"/>
    <x v="669"/>
    <m/>
    <m/>
    <m/>
    <m/>
    <m/>
    <m/>
    <m/>
    <m/>
    <m/>
    <m/>
    <m/>
    <m/>
    <m/>
    <m/>
    <m/>
    <m/>
    <m/>
    <m/>
    <m/>
    <m/>
    <m/>
    <m/>
    <n v="126.20555416666321"/>
    <x v="0"/>
    <x v="6"/>
    <x v="0"/>
    <n v="195"/>
    <n v="132"/>
    <n v="0.67692307692307696"/>
    <n v="0.67692307692307696"/>
    <n v="1"/>
  </r>
  <r>
    <n v="1208156331"/>
    <s v="53.310.270/0001-65"/>
    <s v="Janaina Mourão de Souza"/>
    <x v="0"/>
    <s v="Pipebot"/>
    <x v="670"/>
    <m/>
    <m/>
    <m/>
    <m/>
    <m/>
    <m/>
    <m/>
    <m/>
    <m/>
    <m/>
    <m/>
    <m/>
    <m/>
    <m/>
    <m/>
    <m/>
    <m/>
    <m/>
    <m/>
    <m/>
    <m/>
    <m/>
    <n v="175.35652768518776"/>
    <x v="0"/>
    <x v="4"/>
    <x v="0"/>
    <n v="197"/>
    <n v="149"/>
    <n v="0.75634517766497467"/>
    <n v="0.75634517766497467"/>
    <n v="1"/>
  </r>
  <r>
    <n v="1186588163"/>
    <s v="49.888.119/0001-31"/>
    <s v="Jaqueline loren silva vargas"/>
    <x v="0"/>
    <s v="Pipebot"/>
    <x v="671"/>
    <m/>
    <m/>
    <d v="2025-08-14T20:25:50"/>
    <d v="2025-08-15T20:26:31"/>
    <n v="1.0004630000000001"/>
    <m/>
    <m/>
    <m/>
    <m/>
    <m/>
    <m/>
    <d v="2025-08-15T20:26:31"/>
    <d v="2025-08-17T20:26:55"/>
    <n v="2.0002659999999999"/>
    <d v="2025-08-17T20:26:55"/>
    <d v="2025-08-19T20:23:55"/>
    <n v="1.997905"/>
    <m/>
    <m/>
    <m/>
    <m/>
    <m/>
    <n v="210.14935728009004"/>
    <x v="0"/>
    <x v="5"/>
    <x v="0"/>
    <n v="177"/>
    <n v="130"/>
    <n v="0.7344632768361582"/>
    <n v="0.7344632768361582"/>
    <n v="1"/>
  </r>
  <r>
    <n v="1265301693"/>
    <s v="54.297.611/0001-72"/>
    <s v="Joana Darc Tagoada Jahnel "/>
    <x v="0"/>
    <s v="Pipebot"/>
    <x v="672"/>
    <m/>
    <m/>
    <d v="2026-02-16T12:53:03"/>
    <d v="2026-02-16T14:00:35"/>
    <n v="4.6898000000000002E-2"/>
    <d v="2025-12-19T15:40:01"/>
    <d v="2026-02-16T12:53:03"/>
    <n v="58.884039000000001"/>
    <m/>
    <m/>
    <m/>
    <m/>
    <m/>
    <m/>
    <m/>
    <m/>
    <m/>
    <m/>
    <m/>
    <m/>
    <m/>
    <m/>
    <n v="80.453639085637406"/>
    <x v="0"/>
    <x v="7"/>
    <x v="0"/>
    <n v="207"/>
    <n v="140"/>
    <n v="0.67632850241545894"/>
    <n v="0.67632850241545894"/>
    <n v="1"/>
  </r>
  <r>
    <n v="1176888119"/>
    <s v="35.156.727/0001-47"/>
    <s v="JEAN ALVARES DE CALDAS EIRELI"/>
    <x v="5"/>
    <s v="Pipebot"/>
    <x v="673"/>
    <m/>
    <m/>
    <d v="2025-07-15T21:30:45"/>
    <d v="2026-02-12T12:25:25"/>
    <n v="1.645845"/>
    <d v="2025-07-20T21:33:00"/>
    <d v="2026-02-11T20:55:59"/>
    <n v="205.97429399999999"/>
    <m/>
    <m/>
    <m/>
    <d v="2025-07-16T21:31:20"/>
    <d v="2026-02-13T15:59:19"/>
    <n v="3.1491090000000002"/>
    <d v="2025-07-18T21:32:10"/>
    <d v="2025-07-20T21:33:00"/>
    <n v="15.224491"/>
    <m/>
    <m/>
    <m/>
    <m/>
    <m/>
    <n v="226.13260267361329"/>
    <x v="0"/>
    <x v="5"/>
    <x v="0"/>
    <n v="177"/>
    <n v="130"/>
    <n v="0.7344632768361582"/>
    <n v="0.7344632768361582"/>
    <n v="1"/>
  </r>
  <r>
    <n v="1174282841"/>
    <s v="34.614.239/0001-73"/>
    <s v="JEAN ALVARES DE CALDAS EIRELI -- CABOS KEY MASTER!!!"/>
    <x v="0"/>
    <s v="Pipebot"/>
    <x v="674"/>
    <m/>
    <m/>
    <d v="2025-07-24T20:26:39"/>
    <d v="2025-07-25T20:27:06"/>
    <n v="1.000313"/>
    <d v="2025-07-29T20:28:57"/>
    <d v="2025-08-26T20:04:19"/>
    <n v="27.982882"/>
    <m/>
    <m/>
    <m/>
    <d v="2025-07-25T20:27:06"/>
    <d v="2025-07-27T20:28:04"/>
    <n v="2.0006599999999999"/>
    <d v="2025-07-27T20:28:04"/>
    <d v="2025-07-29T20:28:57"/>
    <n v="2.000613"/>
    <m/>
    <m/>
    <m/>
    <m/>
    <m/>
    <n v="231.14896563656657"/>
    <x v="0"/>
    <x v="5"/>
    <x v="0"/>
    <n v="177"/>
    <n v="130"/>
    <n v="0.7344632768361582"/>
    <n v="0.7344632768361582"/>
    <n v="1"/>
  </r>
  <r>
    <n v="1253289055"/>
    <s v="45.756.647/0001-86"/>
    <s v="Jefferson Ferreira"/>
    <x v="5"/>
    <s v="Pipebot"/>
    <x v="675"/>
    <m/>
    <m/>
    <d v="2025-11-25T15:03:15"/>
    <d v="2026-02-16T12:51:57"/>
    <n v="3.8673030000000002"/>
    <d v="2025-11-30T15:04:26"/>
    <d v="2026-02-13T16:03:49"/>
    <n v="75.041227000000006"/>
    <m/>
    <m/>
    <m/>
    <d v="2025-11-26T15:04:02"/>
    <d v="2026-02-18T13:22:25"/>
    <n v="4.0213429999999999"/>
    <d v="2025-11-28T15:04:18"/>
    <d v="2025-11-30T15:04:26"/>
    <n v="10.332962999999999"/>
    <m/>
    <m/>
    <m/>
    <m/>
    <m/>
    <n v="107.3730980324035"/>
    <x v="0"/>
    <x v="0"/>
    <x v="0"/>
    <n v="131"/>
    <n v="87"/>
    <n v="0.66412213740458015"/>
    <n v="0.66412213740458015"/>
    <n v="1"/>
  </r>
  <r>
    <n v="1304125467"/>
    <s v="64.914.746/0001-93"/>
    <s v="Jeriel Conceição Silva - STONE"/>
    <x v="7"/>
    <s v="Pipebot"/>
    <x v="676"/>
    <m/>
    <m/>
    <m/>
    <m/>
    <m/>
    <m/>
    <m/>
    <m/>
    <m/>
    <m/>
    <m/>
    <m/>
    <m/>
    <m/>
    <m/>
    <m/>
    <m/>
    <m/>
    <m/>
    <m/>
    <m/>
    <m/>
    <n v="1.2062673263935721"/>
    <x v="4"/>
    <x v="1"/>
    <x v="1"/>
    <n v="189"/>
    <n v="33"/>
    <n v="0.17460317460317459"/>
    <n v="0.17460317460317459"/>
    <n v="1"/>
  </r>
  <r>
    <n v="1226111674"/>
    <s v="44.133.211/0001-78"/>
    <s v="Jessica Alves da Silva Fileto"/>
    <x v="0"/>
    <s v="Pipebot"/>
    <x v="677"/>
    <m/>
    <m/>
    <m/>
    <m/>
    <m/>
    <m/>
    <m/>
    <m/>
    <m/>
    <m/>
    <m/>
    <m/>
    <m/>
    <m/>
    <m/>
    <m/>
    <m/>
    <m/>
    <m/>
    <m/>
    <m/>
    <m/>
    <n v="147.24944417824008"/>
    <x v="0"/>
    <x v="6"/>
    <x v="0"/>
    <n v="195"/>
    <n v="132"/>
    <n v="0.67692307692307696"/>
    <n v="0.67692307692307696"/>
    <n v="1"/>
  </r>
  <r>
    <n v="1240065155"/>
    <s v="60.142.113/0001-53"/>
    <s v="Jessica Moura Oliveira"/>
    <x v="0"/>
    <s v="Pipebot"/>
    <x v="678"/>
    <m/>
    <m/>
    <m/>
    <m/>
    <m/>
    <m/>
    <m/>
    <m/>
    <m/>
    <m/>
    <m/>
    <m/>
    <m/>
    <m/>
    <m/>
    <m/>
    <m/>
    <m/>
    <m/>
    <m/>
    <m/>
    <m/>
    <n v="129.16714783563657"/>
    <x v="0"/>
    <x v="6"/>
    <x v="0"/>
    <n v="195"/>
    <n v="132"/>
    <n v="0.67692307692307696"/>
    <n v="0.67692307692307696"/>
    <n v="1"/>
  </r>
  <r>
    <n v="1255853696"/>
    <s v="34.894.031/0001-55"/>
    <s v="JHL Mercados Autônomos "/>
    <x v="0"/>
    <s v="Pipebot"/>
    <x v="679"/>
    <m/>
    <m/>
    <m/>
    <m/>
    <m/>
    <m/>
    <m/>
    <m/>
    <m/>
    <m/>
    <m/>
    <m/>
    <m/>
    <m/>
    <m/>
    <m/>
    <m/>
    <m/>
    <m/>
    <m/>
    <m/>
    <m/>
    <n v="101.21137033563718"/>
    <x v="0"/>
    <x v="0"/>
    <x v="0"/>
    <n v="131"/>
    <n v="87"/>
    <n v="0.66412213740458015"/>
    <n v="0.66412213740458015"/>
    <n v="1"/>
  </r>
  <r>
    <n v="1265627688"/>
    <s v="52.247.720/0001-50"/>
    <s v="Joao C Mantovani"/>
    <x v="0"/>
    <s v="Pipebot"/>
    <x v="680"/>
    <m/>
    <m/>
    <m/>
    <m/>
    <m/>
    <m/>
    <m/>
    <m/>
    <m/>
    <m/>
    <m/>
    <m/>
    <m/>
    <m/>
    <m/>
    <m/>
    <m/>
    <m/>
    <m/>
    <m/>
    <m/>
    <m/>
    <n v="80.07765629630012"/>
    <x v="0"/>
    <x v="7"/>
    <x v="0"/>
    <n v="207"/>
    <n v="140"/>
    <n v="0.67632850241545894"/>
    <n v="0.67632850241545894"/>
    <n v="1"/>
  </r>
  <r>
    <n v="1286393100"/>
    <s v="57.671.386/0001-80"/>
    <s v="Jlsmart"/>
    <x v="5"/>
    <s v="Pipebot"/>
    <x v="681"/>
    <m/>
    <m/>
    <d v="2026-02-06T13:05:11"/>
    <d v="2026-02-20T16:52:28"/>
    <n v="2.1738430000000002"/>
    <d v="2026-02-10T13:05:47"/>
    <d v="2026-02-19T12:42:15"/>
    <n v="8.9836569999999991"/>
    <m/>
    <m/>
    <m/>
    <d v="2026-02-07T13:05:18"/>
    <d v="2026-02-23T13:32:47"/>
    <n v="4.8614579999999998"/>
    <d v="2026-02-09T13:05:29"/>
    <d v="2026-02-10T13:05:47"/>
    <n v="4.3258679999999998"/>
    <m/>
    <m/>
    <m/>
    <m/>
    <m/>
    <n v="34.455252523141098"/>
    <x v="2"/>
    <x v="3"/>
    <x v="1"/>
    <n v="223"/>
    <n v="147"/>
    <n v="0.65919282511210764"/>
    <n v="0.65919282511210764"/>
    <n v="1"/>
  </r>
  <r>
    <n v="1252741406"/>
    <s v="55.307.321/0001-25"/>
    <s v="Joab Braz da Silva Junior"/>
    <x v="0"/>
    <s v="Pipebot"/>
    <x v="682"/>
    <m/>
    <m/>
    <d v="2025-11-24T15:03:29"/>
    <d v="2025-11-25T15:04:14"/>
    <n v="1.000521"/>
    <d v="2025-11-29T15:05:19"/>
    <d v="2025-12-19T12:48:33"/>
    <n v="19.905011999999999"/>
    <m/>
    <m/>
    <m/>
    <d v="2025-11-25T15:04:14"/>
    <d v="2025-11-27T15:04:31"/>
    <n v="2.0001850000000001"/>
    <d v="2025-11-27T15:04:31"/>
    <d v="2025-11-29T15:05:19"/>
    <n v="2.000556"/>
    <m/>
    <m/>
    <m/>
    <m/>
    <m/>
    <n v="108.37309938658291"/>
    <x v="0"/>
    <x v="0"/>
    <x v="0"/>
    <n v="131"/>
    <n v="87"/>
    <n v="0.66412213740458015"/>
    <n v="0.66412213740458015"/>
    <n v="1"/>
  </r>
  <r>
    <n v="1279300836"/>
    <s v="54.297.611/0001-72"/>
    <s v="Joana Darc Tagoada Jahnel"/>
    <x v="0"/>
    <s v="Pipebot"/>
    <x v="683"/>
    <m/>
    <m/>
    <m/>
    <m/>
    <m/>
    <m/>
    <m/>
    <m/>
    <m/>
    <m/>
    <m/>
    <m/>
    <m/>
    <m/>
    <m/>
    <m/>
    <m/>
    <m/>
    <m/>
    <m/>
    <m/>
    <m/>
    <n v="48.477462916656805"/>
    <x v="2"/>
    <x v="3"/>
    <x v="1"/>
    <n v="223"/>
    <n v="147"/>
    <n v="0.65919282511210764"/>
    <n v="0.65919282511210764"/>
    <n v="1"/>
  </r>
  <r>
    <n v="1264639151"/>
    <s v="31.462.233/0001-30"/>
    <s v="João Carlos Teixeira Santos"/>
    <x v="5"/>
    <s v="Pipebot"/>
    <x v="684"/>
    <m/>
    <m/>
    <d v="2025-12-19T15:09:19"/>
    <d v="2026-02-18T13:25:06"/>
    <n v="3.022894"/>
    <d v="2025-12-24T15:11:53"/>
    <d v="2026-02-16T12:53:01"/>
    <n v="53.903553000000002"/>
    <m/>
    <m/>
    <m/>
    <d v="2025-12-20T15:10:12"/>
    <d v="2026-02-19T12:27:55"/>
    <n v="2.9609719999999999"/>
    <d v="2025-12-22T15:11:12"/>
    <d v="2025-12-24T15:11:53"/>
    <n v="9.3711920000000006"/>
    <m/>
    <m/>
    <m/>
    <m/>
    <m/>
    <n v="83.369065798608062"/>
    <x v="0"/>
    <x v="7"/>
    <x v="0"/>
    <n v="207"/>
    <n v="140"/>
    <n v="0.67632850241545894"/>
    <n v="0.67632850241545894"/>
    <n v="1"/>
  </r>
  <r>
    <n v="1188380659"/>
    <s v="38.428.490/0001-02"/>
    <s v="João Batista Porto"/>
    <x v="5"/>
    <s v="Pipebot"/>
    <x v="685"/>
    <m/>
    <m/>
    <d v="2025-08-18T20:26:00"/>
    <d v="2026-02-12T12:26:01"/>
    <n v="1.645081"/>
    <d v="2025-08-23T20:27:50"/>
    <d v="2026-02-11T20:57:55"/>
    <n v="172.02089100000001"/>
    <m/>
    <m/>
    <m/>
    <d v="2025-08-19T20:26:51"/>
    <d v="2026-02-13T15:59:36"/>
    <n v="3.1487729999999998"/>
    <d v="2025-08-21T20:27:30"/>
    <d v="2025-08-23T20:27:50"/>
    <n v="15.223958"/>
    <m/>
    <m/>
    <m/>
    <m/>
    <m/>
    <n v="206.14871527777723"/>
    <x v="0"/>
    <x v="2"/>
    <x v="0"/>
    <n v="146"/>
    <n v="112"/>
    <n v="0.76712328767123283"/>
    <n v="0.76712328767123283"/>
    <n v="1"/>
  </r>
  <r>
    <n v="1270483521"/>
    <s v="24.643.286/0001-91"/>
    <s v="João Eduardo lago fernande "/>
    <x v="0"/>
    <s v="Pipebot"/>
    <x v="686"/>
    <m/>
    <m/>
    <m/>
    <m/>
    <m/>
    <m/>
    <m/>
    <m/>
    <m/>
    <m/>
    <m/>
    <m/>
    <m/>
    <m/>
    <m/>
    <m/>
    <m/>
    <m/>
    <m/>
    <m/>
    <m/>
    <m/>
    <n v="69.440905231480428"/>
    <x v="0"/>
    <x v="7"/>
    <x v="0"/>
    <n v="207"/>
    <n v="140"/>
    <n v="0.67632850241545894"/>
    <n v="0.67632850241545894"/>
    <n v="1"/>
  </r>
  <r>
    <n v="1246331660"/>
    <s v="58.182.994/0001-94"/>
    <s v="Joao Carlos Cavalcante da Silva"/>
    <x v="0"/>
    <s v="Pipebot"/>
    <x v="687"/>
    <m/>
    <m/>
    <d v="2025-11-11T19:04:13"/>
    <d v="2025-11-12T19:04:55"/>
    <n v="1.000486"/>
    <d v="2025-11-16T19:06:13"/>
    <d v="2025-12-01T12:49:49"/>
    <n v="14.7386"/>
    <d v="2025-12-01T12:49:49"/>
    <d v="2025-12-01T12:49:57"/>
    <n v="8.1000000000000004E-5"/>
    <d v="2025-11-12T19:04:55"/>
    <d v="2025-11-14T19:05:14"/>
    <n v="2.0002080000000002"/>
    <d v="2025-11-14T19:05:14"/>
    <d v="2025-11-16T19:06:13"/>
    <n v="2.000683"/>
    <m/>
    <m/>
    <m/>
    <m/>
    <m/>
    <n v="121.20568797454325"/>
    <x v="0"/>
    <x v="6"/>
    <x v="0"/>
    <n v="195"/>
    <n v="132"/>
    <n v="0.67692307692307696"/>
    <n v="0.67692307692307696"/>
    <n v="1"/>
  </r>
  <r>
    <n v="1269238277"/>
    <s v="53.258.843/0001-59"/>
    <s v="João Vitor Bastos"/>
    <x v="0"/>
    <s v="Pipebot"/>
    <x v="688"/>
    <m/>
    <m/>
    <m/>
    <m/>
    <m/>
    <m/>
    <m/>
    <m/>
    <m/>
    <m/>
    <m/>
    <m/>
    <m/>
    <m/>
    <m/>
    <m/>
    <m/>
    <m/>
    <m/>
    <m/>
    <m/>
    <m/>
    <n v="72.079827187502815"/>
    <x v="0"/>
    <x v="7"/>
    <x v="0"/>
    <n v="207"/>
    <n v="140"/>
    <n v="0.67632850241545894"/>
    <n v="0.67632850241545894"/>
    <n v="1"/>
  </r>
  <r>
    <n v="1274229140"/>
    <s v="63.544.601/0001-85"/>
    <s v="Jorge Eduardo Rocha Silva - ENVIAR TRAVA NOVA"/>
    <x v="0"/>
    <s v="Pipebot"/>
    <x v="689"/>
    <m/>
    <m/>
    <d v="2026-01-12T13:06:22"/>
    <d v="2026-01-13T13:06:57"/>
    <n v="1.000405"/>
    <d v="2026-01-17T13:08:08"/>
    <d v="2026-01-20T20:01:30"/>
    <n v="3.2870490000000001"/>
    <m/>
    <m/>
    <m/>
    <d v="2026-01-13T13:06:57"/>
    <d v="2026-01-15T13:07:15"/>
    <n v="2.000197"/>
    <d v="2026-01-15T13:07:15"/>
    <d v="2026-01-17T13:08:08"/>
    <n v="2.0006020000000002"/>
    <m/>
    <m/>
    <m/>
    <m/>
    <m/>
    <n v="59.454422349539527"/>
    <x v="2"/>
    <x v="7"/>
    <x v="0"/>
    <n v="207"/>
    <n v="140"/>
    <n v="0.67632850241545894"/>
    <n v="0.67632850241545894"/>
    <n v="1"/>
  </r>
  <r>
    <n v="1254921396"/>
    <s v="13.630.114/0001-67"/>
    <s v="João Fernando Bataglião Junior "/>
    <x v="0"/>
    <s v="Pipebot"/>
    <x v="690"/>
    <m/>
    <m/>
    <d v="2025-11-28T15:06:15"/>
    <d v="2025-11-29T15:07:10"/>
    <n v="1.000637"/>
    <d v="2025-12-03T15:09:00"/>
    <d v="2025-12-10T16:35:25"/>
    <n v="7.06"/>
    <m/>
    <m/>
    <m/>
    <d v="2025-11-29T15:07:10"/>
    <d v="2025-12-01T15:08:14"/>
    <n v="2.0007410000000001"/>
    <d v="2025-12-01T15:08:14"/>
    <d v="2025-12-03T15:09:00"/>
    <n v="2.000521"/>
    <m/>
    <m/>
    <m/>
    <m/>
    <m/>
    <n v="104.37146391203714"/>
    <x v="0"/>
    <x v="0"/>
    <x v="0"/>
    <n v="131"/>
    <n v="87"/>
    <n v="0.66412213740458015"/>
    <n v="0.66412213740458015"/>
    <n v="1"/>
  </r>
  <r>
    <n v="1216056989"/>
    <s v="38.177.208/0001-53"/>
    <s v="João Paulo Coelho"/>
    <x v="0"/>
    <s v="Pipebot"/>
    <x v="691"/>
    <m/>
    <m/>
    <m/>
    <m/>
    <m/>
    <m/>
    <m/>
    <m/>
    <m/>
    <m/>
    <m/>
    <m/>
    <m/>
    <m/>
    <m/>
    <m/>
    <m/>
    <m/>
    <m/>
    <m/>
    <m/>
    <m/>
    <n v="162.25828503471712"/>
    <x v="0"/>
    <x v="4"/>
    <x v="0"/>
    <n v="197"/>
    <n v="149"/>
    <n v="0.75634517766497467"/>
    <n v="0.75634517766497467"/>
    <n v="1"/>
  </r>
  <r>
    <n v="1243425792"/>
    <s v="57.990.339/0001-08"/>
    <s v="Joao Paulo Macedo Carneiro Machado"/>
    <x v="0"/>
    <s v="Pipebot"/>
    <x v="692"/>
    <m/>
    <m/>
    <d v="2025-11-07T19:05:47"/>
    <d v="2025-11-08T19:06:07"/>
    <n v="1.0002200000000001"/>
    <d v="2025-11-12T19:06:57"/>
    <d v="2025-12-10T17:30:43"/>
    <n v="27.933171000000002"/>
    <m/>
    <m/>
    <m/>
    <d v="2025-11-08T19:06:07"/>
    <d v="2025-11-10T19:06:27"/>
    <n v="2.0002309999999999"/>
    <d v="2025-11-10T19:06:27"/>
    <d v="2025-11-12T19:06:56"/>
    <n v="2.0003359999999999"/>
    <m/>
    <m/>
    <m/>
    <m/>
    <m/>
    <n v="125.20498612267693"/>
    <x v="0"/>
    <x v="6"/>
    <x v="0"/>
    <n v="195"/>
    <n v="132"/>
    <n v="0.67692307692307696"/>
    <n v="0.67692307692307696"/>
    <n v="1"/>
  </r>
  <r>
    <n v="1235450939"/>
    <s v="60.548.568/0001-73"/>
    <s v="João Victor Teodoro Marchon Pereira "/>
    <x v="0"/>
    <s v="Pipebot"/>
    <x v="693"/>
    <m/>
    <m/>
    <m/>
    <m/>
    <m/>
    <m/>
    <m/>
    <m/>
    <m/>
    <m/>
    <m/>
    <m/>
    <m/>
    <m/>
    <m/>
    <m/>
    <m/>
    <m/>
    <m/>
    <m/>
    <m/>
    <m/>
    <n v="135.20518680555688"/>
    <x v="0"/>
    <x v="6"/>
    <x v="0"/>
    <n v="195"/>
    <n v="132"/>
    <n v="0.67692307692307696"/>
    <n v="0.67692307692307696"/>
    <n v="1"/>
  </r>
  <r>
    <n v="1269990564"/>
    <s v="46.257.484/0001-50"/>
    <s v="José Ramon Barros dos Santos "/>
    <x v="5"/>
    <s v="Pipebot"/>
    <x v="694"/>
    <m/>
    <m/>
    <d v="2026-01-01T15:06:49"/>
    <d v="2026-02-19T12:35:10"/>
    <n v="1.9645950000000001"/>
    <d v="2026-01-06T15:08:00"/>
    <d v="2026-02-18T13:26:14"/>
    <n v="42.929316999999998"/>
    <m/>
    <m/>
    <m/>
    <d v="2026-01-02T15:06:53"/>
    <d v="2026-02-20T12:58:52"/>
    <n v="3.0170720000000002"/>
    <d v="2026-01-04T15:07:47"/>
    <d v="2026-01-06T15:08:00"/>
    <n v="8.3493750000000002"/>
    <m/>
    <m/>
    <m/>
    <m/>
    <m/>
    <n v="70.370468148146756"/>
    <x v="0"/>
    <x v="7"/>
    <x v="0"/>
    <n v="207"/>
    <n v="140"/>
    <n v="0.67632850241545894"/>
    <n v="0.67632850241545894"/>
    <n v="1"/>
  </r>
  <r>
    <n v="1216119154"/>
    <s v="53.258.843/0001-59"/>
    <s v="João Vitor Bastos - 10 totens"/>
    <x v="5"/>
    <s v="Pipebot"/>
    <x v="695"/>
    <m/>
    <m/>
    <d v="2025-10-01T19:04:31"/>
    <d v="2026-02-13T16:00:40"/>
    <n v="2.1480670000000002"/>
    <d v="2025-10-06T19:06:20"/>
    <d v="2026-02-12T12:28:07"/>
    <n v="128.72344899999999"/>
    <m/>
    <m/>
    <m/>
    <d v="2025-10-02T19:05:13"/>
    <d v="2026-02-16T12:49:03"/>
    <n v="4.8671410000000002"/>
    <d v="2025-10-04T19:05:32"/>
    <d v="2025-10-06T19:06:20"/>
    <n v="12.356609000000001"/>
    <m/>
    <m/>
    <m/>
    <m/>
    <m/>
    <n v="162.20555487269303"/>
    <x v="0"/>
    <x v="4"/>
    <x v="0"/>
    <n v="197"/>
    <n v="149"/>
    <n v="0.75634517766497467"/>
    <n v="0.75634517766497467"/>
    <n v="1"/>
  </r>
  <r>
    <n v="1216120276"/>
    <s v="53.258.843/0001-59"/>
    <s v="João Vitor Bastos - 2 máquinas"/>
    <x v="3"/>
    <s v="Pipebot"/>
    <x v="696"/>
    <m/>
    <m/>
    <d v="2025-10-01T19:06:02"/>
    <d v="2026-02-13T16:00:40"/>
    <n v="2.147662"/>
    <d v="2025-10-06T19:07:20"/>
    <d v="2026-02-12T12:28:11"/>
    <n v="128.722801"/>
    <m/>
    <m/>
    <m/>
    <d v="2025-10-02T19:06:11"/>
    <d v="2026-02-16T12:49:04"/>
    <n v="4.8671530000000001"/>
    <d v="2025-10-04T19:06:31"/>
    <d v="2026-02-18T18:25:00"/>
    <n v="4.233854"/>
    <m/>
    <m/>
    <m/>
    <m/>
    <m/>
    <n v="162.20471071758948"/>
    <x v="0"/>
    <x v="4"/>
    <x v="0"/>
    <n v="197"/>
    <n v="149"/>
    <n v="0.75634517766497467"/>
    <n v="0.75634517766497467"/>
    <n v="1"/>
  </r>
  <r>
    <n v="1169857328"/>
    <s v="53.258.843/0001-59"/>
    <s v="João Vitor Bastos - cabo de carregador"/>
    <x v="3"/>
    <s v="Pipebot"/>
    <x v="697"/>
    <m/>
    <m/>
    <d v="2025-07-15T20:51:32"/>
    <d v="2025-07-16T20:52:19"/>
    <n v="1.0005440000000001"/>
    <d v="2025-07-20T20:54:00"/>
    <d v="2025-09-10T13:32:40"/>
    <n v="51.692836"/>
    <d v="2025-09-10T13:32:27"/>
    <d v="2025-09-10T13:32:35"/>
    <n v="8.1000000000000004E-5"/>
    <d v="2025-07-16T20:52:20"/>
    <d v="2025-07-18T20:53:17"/>
    <n v="2.0006599999999999"/>
    <d v="2025-07-18T20:53:17"/>
    <d v="2025-07-20T20:53:59"/>
    <n v="2.000486"/>
    <m/>
    <m/>
    <m/>
    <m/>
    <m/>
    <n v="240.1489318287131"/>
    <x v="0"/>
    <x v="5"/>
    <x v="0"/>
    <n v="177"/>
    <n v="130"/>
    <n v="0.7344632768361582"/>
    <n v="0.7344632768361582"/>
    <n v="1"/>
  </r>
  <r>
    <n v="1181276036"/>
    <s v="34.517.971/0001-25"/>
    <s v="Jonathan Azevedo Rangel"/>
    <x v="5"/>
    <s v="Pipebot"/>
    <x v="698"/>
    <m/>
    <m/>
    <d v="2025-08-05T20:27:01"/>
    <d v="2026-02-12T12:25:32"/>
    <n v="1.6459950000000001"/>
    <d v="2025-08-10T20:28:21"/>
    <d v="2026-02-11T20:56:04"/>
    <n v="185.019248"/>
    <m/>
    <m/>
    <m/>
    <d v="2025-08-06T20:27:48"/>
    <d v="2026-02-13T15:59:25"/>
    <n v="3.1487270000000001"/>
    <d v="2025-08-08T20:28:04"/>
    <d v="2025-08-10T20:28:21"/>
    <n v="15.224038999999999"/>
    <m/>
    <m/>
    <m/>
    <m/>
    <m/>
    <n v="219.14841318287654"/>
    <x v="0"/>
    <x v="5"/>
    <x v="0"/>
    <n v="177"/>
    <n v="130"/>
    <n v="0.7344632768361582"/>
    <n v="0.7344632768361582"/>
    <n v="1"/>
  </r>
  <r>
    <n v="1186004475"/>
    <s v="34.517.971/0001-25"/>
    <s v="Jonathan Azevedo Rangel "/>
    <x v="8"/>
    <s v="Pipebot"/>
    <x v="699"/>
    <m/>
    <m/>
    <d v="2025-08-13T20:26:07"/>
    <d v="2025-08-14T20:26:54"/>
    <n v="1.0005440000000001"/>
    <d v="2025-08-18T20:28:11"/>
    <d v="2025-10-29T19:41:26"/>
    <n v="71.967534999999998"/>
    <m/>
    <m/>
    <m/>
    <d v="2025-08-14T20:26:54"/>
    <d v="2025-08-16T20:27:05"/>
    <n v="2.000127"/>
    <d v="2025-08-16T20:27:05"/>
    <d v="2025-08-18T20:28:10"/>
    <n v="2.0007519999999999"/>
    <m/>
    <m/>
    <m/>
    <m/>
    <m/>
    <n v="211.14926997685689"/>
    <x v="0"/>
    <x v="5"/>
    <x v="0"/>
    <n v="177"/>
    <n v="130"/>
    <n v="0.7344632768361582"/>
    <n v="0.7344632768361582"/>
    <n v="1"/>
  </r>
  <r>
    <n v="1177542550"/>
    <s v="49.244.641/0001-80"/>
    <s v="Jorge"/>
    <x v="5"/>
    <s v="Pipebot"/>
    <x v="700"/>
    <m/>
    <m/>
    <d v="2025-07-30T20:26:07"/>
    <d v="2026-02-12T12:25:27"/>
    <n v="1.6457870000000001"/>
    <d v="2025-08-04T20:27:43"/>
    <d v="2026-02-11T20:56:00"/>
    <n v="191.01964100000001"/>
    <m/>
    <m/>
    <m/>
    <d v="2025-07-31T20:26:37"/>
    <d v="2026-02-13T15:59:20"/>
    <n v="3.1488770000000001"/>
    <d v="2025-08-02T20:27:07"/>
    <d v="2025-08-04T20:27:43"/>
    <n v="15.224329000000001"/>
    <m/>
    <m/>
    <m/>
    <m/>
    <m/>
    <n v="225.14909806712967"/>
    <x v="0"/>
    <x v="5"/>
    <x v="0"/>
    <n v="177"/>
    <n v="130"/>
    <n v="0.7344632768361582"/>
    <n v="0.7344632768361582"/>
    <n v="1"/>
  </r>
  <r>
    <n v="1270486498"/>
    <s v="42.599.165/0001-71"/>
    <s v="Juliana Zanini"/>
    <x v="0"/>
    <s v="Pipebot"/>
    <x v="701"/>
    <m/>
    <m/>
    <m/>
    <m/>
    <m/>
    <m/>
    <m/>
    <m/>
    <m/>
    <m/>
    <m/>
    <m/>
    <m/>
    <m/>
    <m/>
    <m/>
    <m/>
    <m/>
    <m/>
    <m/>
    <m/>
    <m/>
    <n v="69.438042893518286"/>
    <x v="0"/>
    <x v="7"/>
    <x v="0"/>
    <n v="207"/>
    <n v="140"/>
    <n v="0.67632850241545894"/>
    <n v="0.67632850241545894"/>
    <n v="1"/>
  </r>
  <r>
    <n v="1193297616"/>
    <s v="40.013.242/0001-34"/>
    <s v="Jorge Neto"/>
    <x v="0"/>
    <s v="Pipebot"/>
    <x v="702"/>
    <m/>
    <m/>
    <m/>
    <m/>
    <m/>
    <m/>
    <m/>
    <m/>
    <m/>
    <m/>
    <m/>
    <m/>
    <m/>
    <m/>
    <m/>
    <m/>
    <m/>
    <m/>
    <m/>
    <m/>
    <m/>
    <m/>
    <n v="199.14932908565243"/>
    <x v="0"/>
    <x v="2"/>
    <x v="0"/>
    <n v="146"/>
    <n v="112"/>
    <n v="0.76712328767123283"/>
    <n v="0.76712328767123283"/>
    <n v="1"/>
  </r>
  <r>
    <n v="1193298067"/>
    <s v="50.417.028/0001-05"/>
    <s v="Jorge Neto"/>
    <x v="0"/>
    <s v="Pipebot"/>
    <x v="703"/>
    <m/>
    <m/>
    <m/>
    <m/>
    <m/>
    <m/>
    <m/>
    <m/>
    <m/>
    <m/>
    <m/>
    <m/>
    <m/>
    <m/>
    <m/>
    <m/>
    <m/>
    <m/>
    <m/>
    <m/>
    <m/>
    <m/>
    <n v="199.14859603009245"/>
    <x v="0"/>
    <x v="2"/>
    <x v="0"/>
    <n v="146"/>
    <n v="112"/>
    <n v="0.76712328767123283"/>
    <n v="0.76712328767123283"/>
    <n v="1"/>
  </r>
  <r>
    <n v="1222240885"/>
    <s v="40.013.242/0001-34"/>
    <s v="Jorge Peres de Oliveira Neto"/>
    <x v="8"/>
    <s v="Pipebot"/>
    <x v="704"/>
    <m/>
    <m/>
    <d v="2025-10-10T20:27:47"/>
    <d v="2025-10-11T20:28:46"/>
    <n v="1.000683"/>
    <d v="2025-10-15T20:30:17"/>
    <d v="2025-10-29T19:41:30"/>
    <n v="13.966123"/>
    <m/>
    <m/>
    <m/>
    <d v="2025-10-11T20:28:46"/>
    <d v="2025-10-13T20:29:32"/>
    <n v="2.0005320000000002"/>
    <d v="2025-10-13T20:29:32"/>
    <d v="2025-10-15T20:30:17"/>
    <n v="2.0005090000000001"/>
    <m/>
    <m/>
    <m/>
    <m/>
    <m/>
    <n v="153.14810715278145"/>
    <x v="0"/>
    <x v="4"/>
    <x v="0"/>
    <n v="197"/>
    <n v="149"/>
    <n v="0.75634517766497467"/>
    <n v="0.75634517766497467"/>
    <n v="1"/>
  </r>
  <r>
    <n v="1278273944"/>
    <s v="48.358.843/0001-90"/>
    <s v="José borgatto neto"/>
    <x v="0"/>
    <s v="Pipebot"/>
    <x v="705"/>
    <m/>
    <m/>
    <m/>
    <m/>
    <m/>
    <m/>
    <m/>
    <m/>
    <m/>
    <m/>
    <m/>
    <m/>
    <m/>
    <m/>
    <m/>
    <m/>
    <m/>
    <m/>
    <m/>
    <m/>
    <m/>
    <m/>
    <n v="50.295713206018263"/>
    <x v="2"/>
    <x v="3"/>
    <x v="1"/>
    <n v="223"/>
    <n v="147"/>
    <n v="0.65919282511210764"/>
    <n v="0.65919282511210764"/>
    <n v="1"/>
  </r>
  <r>
    <n v="1292646302"/>
    <s v="48.358.843/0001-90"/>
    <s v="José borgatto neto "/>
    <x v="0"/>
    <s v="Pipebot"/>
    <x v="706"/>
    <m/>
    <m/>
    <m/>
    <m/>
    <m/>
    <m/>
    <m/>
    <m/>
    <m/>
    <m/>
    <m/>
    <m/>
    <m/>
    <m/>
    <m/>
    <m/>
    <m/>
    <m/>
    <m/>
    <m/>
    <m/>
    <m/>
    <n v="23.203795787027047"/>
    <x v="3"/>
    <x v="1"/>
    <x v="1"/>
    <n v="189"/>
    <n v="33"/>
    <n v="0.17460317460317459"/>
    <n v="0.17460317460317459"/>
    <n v="1"/>
  </r>
  <r>
    <n v="1247040236"/>
    <s v="53.462.873/0001-82"/>
    <s v="Jose Carlos Novais Silva"/>
    <x v="0"/>
    <s v="Pipebot"/>
    <x v="707"/>
    <m/>
    <m/>
    <d v="2025-11-12T19:04:56"/>
    <d v="2025-11-13T19:05:03"/>
    <n v="1.000081"/>
    <m/>
    <m/>
    <m/>
    <m/>
    <m/>
    <m/>
    <d v="2025-11-13T19:05:03"/>
    <d v="2025-11-15T19:05:39"/>
    <n v="2.0004050000000002"/>
    <d v="2025-11-15T19:05:39"/>
    <d v="2025-11-17T18:22:30"/>
    <n v="1.970035"/>
    <m/>
    <m/>
    <m/>
    <m/>
    <m/>
    <n v="120.20572849537712"/>
    <x v="0"/>
    <x v="6"/>
    <x v="0"/>
    <n v="195"/>
    <n v="132"/>
    <n v="0.67692307692307696"/>
    <n v="0.67692307692307696"/>
    <n v="1"/>
  </r>
  <r>
    <n v="1277138920"/>
    <m/>
    <s v="José Carlos Paiva de Alcantara Junior "/>
    <x v="0"/>
    <s v="Pipebot"/>
    <x v="708"/>
    <m/>
    <m/>
    <m/>
    <m/>
    <m/>
    <m/>
    <m/>
    <m/>
    <m/>
    <m/>
    <m/>
    <m/>
    <m/>
    <m/>
    <m/>
    <m/>
    <m/>
    <m/>
    <m/>
    <m/>
    <m/>
    <m/>
    <n v="51.566092881941586"/>
    <x v="2"/>
    <x v="3"/>
    <x v="1"/>
    <n v="223"/>
    <n v="147"/>
    <n v="0.65919282511210764"/>
    <n v="0.65919282511210764"/>
    <n v="1"/>
  </r>
  <r>
    <n v="1232077317"/>
    <s v="62.316.712/0001-71"/>
    <s v="JOSÉ CARLOS SANTANA FILHO"/>
    <x v="0"/>
    <s v="Pipebot"/>
    <x v="709"/>
    <m/>
    <m/>
    <d v="2025-10-24T15:27:39"/>
    <d v="2025-10-25T15:27:53"/>
    <n v="1.000162"/>
    <m/>
    <m/>
    <m/>
    <m/>
    <m/>
    <m/>
    <d v="2025-10-25T15:27:53"/>
    <d v="2025-10-27T15:28:03"/>
    <n v="2.0001039999999999"/>
    <d v="2025-10-27T15:28:03"/>
    <d v="2025-10-27T18:03:10"/>
    <n v="0.10772"/>
    <m/>
    <m/>
    <m/>
    <m/>
    <m/>
    <n v="139.356345162043"/>
    <x v="0"/>
    <x v="6"/>
    <x v="0"/>
    <n v="195"/>
    <n v="132"/>
    <n v="0.67692307692307696"/>
    <n v="0.67692307692307696"/>
    <n v="1"/>
  </r>
  <r>
    <n v="1240864621"/>
    <s v="62.316.712/0001-71"/>
    <s v="JOSÉ CARLOS SANTANA FILHO - 2 adapt chegaram"/>
    <x v="8"/>
    <s v="Pipebot"/>
    <x v="710"/>
    <m/>
    <m/>
    <m/>
    <m/>
    <m/>
    <m/>
    <m/>
    <m/>
    <m/>
    <m/>
    <m/>
    <m/>
    <m/>
    <m/>
    <m/>
    <m/>
    <m/>
    <m/>
    <m/>
    <m/>
    <m/>
    <m/>
    <n v="128.07973936342751"/>
    <x v="0"/>
    <x v="6"/>
    <x v="0"/>
    <n v="195"/>
    <n v="132"/>
    <n v="0.67692307692307696"/>
    <n v="0.67692307692307696"/>
    <n v="1"/>
  </r>
  <r>
    <n v="1191610747"/>
    <s v="01.069.841/0001-18"/>
    <s v="José Paulo Ribeiro"/>
    <x v="0"/>
    <s v="Pipebot"/>
    <x v="711"/>
    <m/>
    <m/>
    <d v="2025-08-22T20:26:38"/>
    <d v="2025-08-23T20:26:49"/>
    <n v="1.000116"/>
    <m/>
    <m/>
    <m/>
    <m/>
    <m/>
    <m/>
    <d v="2025-08-23T20:26:49"/>
    <d v="2025-08-24T19:40:55"/>
    <n v="0.96812500000000001"/>
    <m/>
    <m/>
    <m/>
    <m/>
    <m/>
    <m/>
    <m/>
    <m/>
    <n v="202.14876393518352"/>
    <x v="0"/>
    <x v="2"/>
    <x v="0"/>
    <n v="146"/>
    <n v="112"/>
    <n v="0.76712328767123283"/>
    <n v="0.76712328767123283"/>
    <n v="1"/>
  </r>
  <r>
    <n v="1189846101"/>
    <s v="01.069.841/0001-18"/>
    <s v="José Paulo Ribeiro "/>
    <x v="0"/>
    <s v="Pipebot"/>
    <x v="712"/>
    <m/>
    <m/>
    <d v="2025-08-20T20:26:46"/>
    <d v="2025-08-21T20:27:29"/>
    <n v="1.000486"/>
    <m/>
    <m/>
    <m/>
    <m/>
    <m/>
    <m/>
    <d v="2025-08-21T20:27:29"/>
    <d v="2025-08-23T20:27:50"/>
    <n v="2.0002309999999999"/>
    <d v="2025-08-23T20:27:50"/>
    <d v="2025-08-24T19:41:09"/>
    <n v="0.96758100000000002"/>
    <m/>
    <m/>
    <m/>
    <m/>
    <m/>
    <n v="204.14851646991156"/>
    <x v="0"/>
    <x v="2"/>
    <x v="0"/>
    <n v="146"/>
    <n v="112"/>
    <n v="0.76712328767123283"/>
    <n v="0.76712328767123283"/>
    <n v="1"/>
  </r>
  <r>
    <n v="1274988886"/>
    <s v="25.020.218/0001-39"/>
    <s v="Julie Concencio Claro Pinto "/>
    <x v="0"/>
    <s v="Pipebot"/>
    <x v="713"/>
    <m/>
    <m/>
    <d v="2026-01-13T19:09:12"/>
    <d v="2026-01-14T19:10:05"/>
    <n v="1.000602"/>
    <m/>
    <m/>
    <m/>
    <m/>
    <m/>
    <m/>
    <d v="2026-01-14T19:10:05"/>
    <d v="2026-01-16T18:48:05"/>
    <n v="1.9847109999999999"/>
    <m/>
    <m/>
    <m/>
    <m/>
    <m/>
    <m/>
    <m/>
    <m/>
    <n v="58.202711759258818"/>
    <x v="2"/>
    <x v="7"/>
    <x v="0"/>
    <n v="207"/>
    <n v="140"/>
    <n v="0.67632850241545894"/>
    <n v="0.67632850241545894"/>
    <n v="1"/>
  </r>
  <r>
    <n v="1180443363"/>
    <s v="50.618.409/0001-44"/>
    <s v="José vieira Rodrigues "/>
    <x v="5"/>
    <s v="Pipebot"/>
    <x v="714"/>
    <m/>
    <m/>
    <d v="2025-08-04T20:27:42"/>
    <d v="2026-02-12T12:25:31"/>
    <n v="1.6456710000000001"/>
    <d v="2025-08-09T20:28:38"/>
    <d v="2026-02-11T20:56:04"/>
    <n v="186.01903899999999"/>
    <m/>
    <m/>
    <m/>
    <d v="2025-08-05T20:28:02"/>
    <d v="2026-02-13T15:59:25"/>
    <n v="3.1486109999999998"/>
    <d v="2025-08-07T20:28:09"/>
    <d v="2025-08-09T20:28:38"/>
    <n v="15.22419"/>
    <m/>
    <m/>
    <m/>
    <m/>
    <m/>
    <n v="220.148016712963"/>
    <x v="0"/>
    <x v="5"/>
    <x v="0"/>
    <n v="177"/>
    <n v="130"/>
    <n v="0.7344632768361582"/>
    <n v="0.7344632768361582"/>
    <n v="1"/>
  </r>
  <r>
    <n v="1254122340"/>
    <s v="62.049.547/0001-39"/>
    <s v="Josefa luciana de lima "/>
    <x v="0"/>
    <s v="Pipebot"/>
    <x v="715"/>
    <m/>
    <m/>
    <m/>
    <m/>
    <m/>
    <m/>
    <m/>
    <m/>
    <m/>
    <m/>
    <m/>
    <m/>
    <m/>
    <m/>
    <m/>
    <m/>
    <m/>
    <m/>
    <m/>
    <m/>
    <m/>
    <m/>
    <n v="106.07954832177347"/>
    <x v="0"/>
    <x v="0"/>
    <x v="0"/>
    <n v="131"/>
    <n v="87"/>
    <n v="0.66412213740458015"/>
    <n v="0.66412213740458015"/>
    <n v="1"/>
  </r>
  <r>
    <n v="1293443184"/>
    <s v="49.939.162/0001-89"/>
    <s v="JOSEMARA GONÇALVES SOUSA"/>
    <x v="4"/>
    <s v="Pipebot"/>
    <x v="716"/>
    <m/>
    <m/>
    <d v="2026-02-18T22:04:39"/>
    <d v="2026-02-19T12:36:10"/>
    <n v="0.60520799999999997"/>
    <m/>
    <m/>
    <m/>
    <m/>
    <m/>
    <m/>
    <d v="2026-02-19T12:36:10"/>
    <d v="2026-02-20T16:50:27"/>
    <n v="1.176574"/>
    <d v="2026-02-20T16:50:27"/>
    <d v="2026-02-25T20:25:52"/>
    <n v="5.1495949999999997"/>
    <m/>
    <m/>
    <m/>
    <m/>
    <m/>
    <n v="22.08059334490099"/>
    <x v="3"/>
    <x v="1"/>
    <x v="1"/>
    <n v="189"/>
    <n v="33"/>
    <n v="0.17460317460317459"/>
    <n v="0.17460317460317459"/>
    <n v="1"/>
  </r>
  <r>
    <n v="1303931893"/>
    <s v="58.761.003/0001-28"/>
    <s v="JPJVCJ Mercado Autônomo B Ltda "/>
    <x v="7"/>
    <s v="Pipebot"/>
    <x v="717"/>
    <m/>
    <m/>
    <m/>
    <m/>
    <m/>
    <m/>
    <m/>
    <m/>
    <m/>
    <m/>
    <m/>
    <m/>
    <m/>
    <m/>
    <m/>
    <m/>
    <m/>
    <m/>
    <m/>
    <m/>
    <m/>
    <m/>
    <n v="1.3673897685221164"/>
    <x v="4"/>
    <x v="1"/>
    <x v="1"/>
    <n v="189"/>
    <n v="33"/>
    <n v="0.17460317460317459"/>
    <n v="0.17460317460317459"/>
    <n v="1"/>
  </r>
  <r>
    <n v="1180443775"/>
    <s v="57.655.510/0001-14"/>
    <s v="JQ Market Comércio de Alimentos Ltda "/>
    <x v="0"/>
    <s v="Pipebot"/>
    <x v="718"/>
    <m/>
    <m/>
    <m/>
    <m/>
    <m/>
    <m/>
    <m/>
    <m/>
    <m/>
    <m/>
    <m/>
    <m/>
    <m/>
    <m/>
    <m/>
    <m/>
    <m/>
    <m/>
    <m/>
    <m/>
    <m/>
    <m/>
    <n v="220.14762475693715"/>
    <x v="0"/>
    <x v="5"/>
    <x v="0"/>
    <n v="177"/>
    <n v="130"/>
    <n v="0.7344632768361582"/>
    <n v="0.7344632768361582"/>
    <n v="1"/>
  </r>
  <r>
    <n v="1254850465"/>
    <s v="53.258.843/0001-59"/>
    <s v="Juan - 4 máquinas, 11 totens e 7 eletroimas / uma máquina recebida, dois totens recebidos e todas as travas recebidas"/>
    <x v="5"/>
    <s v="Pipebot"/>
    <x v="719"/>
    <m/>
    <m/>
    <d v="2026-02-13T16:03:56"/>
    <d v="2026-02-14T16:04:28"/>
    <n v="1.00037"/>
    <d v="2025-11-18T18:40:12"/>
    <d v="2026-02-13T16:03:56"/>
    <n v="86.883726999999993"/>
    <m/>
    <m/>
    <m/>
    <d v="2026-02-14T16:04:28"/>
    <d v="2026-02-16T12:50:23"/>
    <n v="1.865208"/>
    <d v="2026-02-16T12:50:23"/>
    <m/>
    <n v="10.355127"/>
    <m/>
    <m/>
    <m/>
    <m/>
    <m/>
    <n v="104.45475395832909"/>
    <x v="0"/>
    <x v="0"/>
    <x v="0"/>
    <n v="131"/>
    <n v="87"/>
    <n v="0.66412213740458015"/>
    <n v="0.66412213740458015"/>
    <n v="1"/>
  </r>
  <r>
    <n v="1278219482"/>
    <s v="53.258.843/0001-59"/>
    <s v="Juan Fernandes"/>
    <x v="5"/>
    <s v="Pipebot"/>
    <x v="720"/>
    <m/>
    <m/>
    <d v="2026-01-21T15:05:04"/>
    <d v="2026-02-19T12:35:59"/>
    <n v="1.9643630000000001"/>
    <d v="2026-01-26T15:06:35"/>
    <d v="2026-02-18T13:27:42"/>
    <n v="22.931318999999998"/>
    <m/>
    <m/>
    <m/>
    <d v="2026-01-22T15:05:29"/>
    <d v="2026-02-20T16:50:12"/>
    <n v="3.176771"/>
    <d v="2026-01-24T15:05:50"/>
    <d v="2026-01-26T15:06:35"/>
    <n v="8.1890970000000003"/>
    <m/>
    <m/>
    <m/>
    <m/>
    <m/>
    <n v="50.372385393522563"/>
    <x v="2"/>
    <x v="3"/>
    <x v="1"/>
    <n v="223"/>
    <n v="147"/>
    <n v="0.65919282511210764"/>
    <n v="0.65919282511210764"/>
    <n v="1"/>
  </r>
  <r>
    <n v="1292646969"/>
    <s v="42.541.345/0001-00"/>
    <s v="Juka Comércio de Suprimentos e Utensílios Ltda"/>
    <x v="2"/>
    <s v="Pipebot"/>
    <x v="721"/>
    <m/>
    <m/>
    <d v="2026-02-17T19:07:37"/>
    <d v="2026-02-18T13:25:36"/>
    <n v="0.76248800000000005"/>
    <m/>
    <m/>
    <m/>
    <d v="2026-02-18T16:28:50"/>
    <m/>
    <n v="8.2034260000000003"/>
    <d v="2026-02-18T13:25:36"/>
    <d v="2026-02-18T16:28:49"/>
    <n v="0.12723400000000001"/>
    <m/>
    <m/>
    <m/>
    <m/>
    <m/>
    <m/>
    <m/>
    <m/>
    <n v="23.203338425926631"/>
    <x v="3"/>
    <x v="1"/>
    <x v="1"/>
    <n v="189"/>
    <n v="33"/>
    <n v="0.17460317460317459"/>
    <n v="0.17460317460317459"/>
    <n v="1"/>
  </r>
  <r>
    <n v="1279609152"/>
    <s v="42.541.345/0001-00"/>
    <s v="Juka Comércio de Suprimentos e Utensílios Ltda"/>
    <x v="0"/>
    <s v="Pipebot"/>
    <x v="722"/>
    <m/>
    <m/>
    <d v="2026-01-23T19:05:31"/>
    <d v="2026-01-24T19:05:51"/>
    <n v="1.0002200000000001"/>
    <m/>
    <m/>
    <m/>
    <m/>
    <m/>
    <m/>
    <d v="2026-01-24T19:05:51"/>
    <d v="2026-01-26T17:44:39"/>
    <n v="1.943611"/>
    <m/>
    <m/>
    <m/>
    <m/>
    <m/>
    <m/>
    <m/>
    <m/>
    <n v="48.205189918982796"/>
    <x v="2"/>
    <x v="3"/>
    <x v="1"/>
    <n v="223"/>
    <n v="147"/>
    <n v="0.65919282511210764"/>
    <n v="0.65919282511210764"/>
    <n v="1"/>
  </r>
  <r>
    <n v="1208428173"/>
    <s v="47.702.961/0001-01"/>
    <s v="JULIANA CARRARO"/>
    <x v="0"/>
    <s v="Pipebot"/>
    <x v="723"/>
    <m/>
    <m/>
    <m/>
    <m/>
    <m/>
    <m/>
    <m/>
    <m/>
    <m/>
    <m/>
    <m/>
    <m/>
    <m/>
    <m/>
    <m/>
    <m/>
    <m/>
    <m/>
    <m/>
    <m/>
    <m/>
    <m/>
    <n v="175.14781920138921"/>
    <x v="0"/>
    <x v="4"/>
    <x v="0"/>
    <n v="197"/>
    <n v="149"/>
    <n v="0.75634517766497467"/>
    <n v="0.75634517766497467"/>
    <n v="1"/>
  </r>
  <r>
    <n v="1231461989"/>
    <s v="47.702.961/0001-01"/>
    <s v="Juliana Carraro - Recebido 06/11"/>
    <x v="8"/>
    <s v="Pipebot"/>
    <x v="724"/>
    <m/>
    <m/>
    <d v="2025-10-23T20:26:54"/>
    <d v="2025-10-24T20:27:11"/>
    <n v="1.0001850000000001"/>
    <d v="2025-10-28T20:27:57"/>
    <d v="2025-10-29T19:41:39"/>
    <n v="0.96783600000000003"/>
    <m/>
    <m/>
    <m/>
    <d v="2025-10-24T20:27:11"/>
    <d v="2025-10-26T20:27:18"/>
    <n v="2.0000810000000002"/>
    <d v="2025-10-26T20:27:18"/>
    <d v="2025-10-28T20:27:57"/>
    <n v="2.000451"/>
    <m/>
    <m/>
    <m/>
    <m/>
    <m/>
    <n v="140.14844278935198"/>
    <x v="0"/>
    <x v="6"/>
    <x v="0"/>
    <n v="195"/>
    <n v="132"/>
    <n v="0.67692307692307696"/>
    <n v="0.67692307692307696"/>
    <n v="1"/>
  </r>
  <r>
    <n v="1291113545"/>
    <s v="54.193.708/0001-35"/>
    <s v="Juliana de Amorim Gomes Paltanin  Allday minimercados"/>
    <x v="5"/>
    <s v="Pipebot"/>
    <x v="725"/>
    <m/>
    <m/>
    <d v="2026-02-13T19:08:31"/>
    <d v="2026-02-14T19:09:28"/>
    <n v="1.0006600000000001"/>
    <m/>
    <m/>
    <m/>
    <m/>
    <m/>
    <m/>
    <d v="2026-02-14T19:09:28"/>
    <d v="2026-02-16T12:50:26"/>
    <n v="1.7367710000000001"/>
    <d v="2026-02-16T12:50:26"/>
    <m/>
    <n v="10.355081"/>
    <m/>
    <m/>
    <m/>
    <m/>
    <m/>
    <n v="27.202841828708188"/>
    <x v="5"/>
    <x v="3"/>
    <x v="1"/>
    <n v="223"/>
    <n v="147"/>
    <n v="0.65919282511210764"/>
    <n v="0.65919282511210764"/>
    <n v="1"/>
  </r>
  <r>
    <n v="1258870880"/>
    <s v="58.021.230/0001-17"/>
    <s v="Juliana de Moraes Rodrigues "/>
    <x v="5"/>
    <s v="Pipebot"/>
    <x v="726"/>
    <m/>
    <m/>
    <d v="2025-12-08T19:07:24"/>
    <d v="2026-02-18T13:24:51"/>
    <n v="3.0226160000000002"/>
    <d v="2025-12-13T19:08:37"/>
    <d v="2026-02-16T12:52:50"/>
    <n v="64.739028000000005"/>
    <m/>
    <m/>
    <m/>
    <d v="2025-12-09T19:07:57"/>
    <d v="2026-02-19T12:27:27"/>
    <n v="2.960359"/>
    <d v="2025-12-11T19:08:17"/>
    <d v="2025-12-13T19:08:37"/>
    <n v="9.3712850000000003"/>
    <m/>
    <m/>
    <m/>
    <m/>
    <m/>
    <n v="94.203707789347391"/>
    <x v="0"/>
    <x v="0"/>
    <x v="0"/>
    <n v="131"/>
    <n v="87"/>
    <n v="0.66412213740458015"/>
    <n v="0.66412213740458015"/>
    <n v="1"/>
  </r>
  <r>
    <n v="1221524075"/>
    <s v="61.483.229/0001-19"/>
    <s v="Juliana Faria Barboza"/>
    <x v="0"/>
    <s v="Pipebot"/>
    <x v="727"/>
    <m/>
    <m/>
    <d v="2025-10-09T20:28:56"/>
    <d v="2025-10-10T20:29:47"/>
    <n v="1.0005900000000001"/>
    <d v="2025-10-14T20:30:25"/>
    <d v="2025-10-29T19:41:41"/>
    <n v="14.966157000000001"/>
    <m/>
    <m/>
    <m/>
    <d v="2025-10-10T20:29:47"/>
    <d v="2025-10-12T20:29:59"/>
    <n v="2.0001389999999999"/>
    <d v="2025-10-12T20:29:59"/>
    <d v="2025-10-14T20:30:25"/>
    <n v="2.000289"/>
    <m/>
    <m/>
    <m/>
    <m/>
    <m/>
    <n v="154.14728158564685"/>
    <x v="0"/>
    <x v="4"/>
    <x v="0"/>
    <n v="197"/>
    <n v="149"/>
    <n v="0.75634517766497467"/>
    <n v="0.75634517766497467"/>
    <n v="1"/>
  </r>
  <r>
    <n v="1204766779"/>
    <s v="51.913.700/0001-08"/>
    <s v="Juliana palma"/>
    <x v="0"/>
    <s v="Pipebot"/>
    <x v="728"/>
    <m/>
    <m/>
    <m/>
    <m/>
    <m/>
    <m/>
    <m/>
    <m/>
    <m/>
    <m/>
    <m/>
    <m/>
    <m/>
    <m/>
    <m/>
    <m/>
    <m/>
    <m/>
    <m/>
    <m/>
    <m/>
    <m/>
    <n v="181.1485656597215"/>
    <x v="0"/>
    <x v="2"/>
    <x v="0"/>
    <n v="146"/>
    <n v="112"/>
    <n v="0.76712328767123283"/>
    <n v="0.76712328767123283"/>
    <n v="1"/>
  </r>
  <r>
    <n v="1271278060"/>
    <s v="56.213.330/0001-10"/>
    <s v="Jussara Eloise Rissato"/>
    <x v="0"/>
    <s v="Pipebot"/>
    <x v="729"/>
    <m/>
    <m/>
    <d v="2026-01-05T13:10:27"/>
    <d v="2026-01-06T13:11:20"/>
    <n v="1.000613"/>
    <d v="2026-01-10T13:12:12"/>
    <d v="2026-01-14T12:00:11"/>
    <n v="3.9499770000000001"/>
    <m/>
    <m/>
    <m/>
    <d v="2026-01-06T13:11:20"/>
    <d v="2026-01-08T13:11:51"/>
    <n v="2.0003470000000001"/>
    <d v="2026-01-08T13:11:51"/>
    <d v="2026-01-10T13:12:12"/>
    <n v="2.0002309999999999"/>
    <m/>
    <m/>
    <m/>
    <m/>
    <m/>
    <n v="66.451331539348757"/>
    <x v="0"/>
    <x v="7"/>
    <x v="0"/>
    <n v="207"/>
    <n v="140"/>
    <n v="0.67632850241545894"/>
    <n v="0.67632850241545894"/>
    <n v="1"/>
  </r>
  <r>
    <n v="1271629374"/>
    <s v="56.213.330/0001-10"/>
    <s v="Jussara Eloise Rissato - totem fat"/>
    <x v="0"/>
    <s v="Pipebot"/>
    <x v="730"/>
    <m/>
    <m/>
    <d v="2026-01-05T22:11:04"/>
    <d v="2026-01-06T22:11:53"/>
    <n v="1.000567"/>
    <d v="2026-01-10T22:13:11"/>
    <d v="2026-01-14T18:35:16"/>
    <n v="3.848484"/>
    <d v="2026-01-14T12:01:05"/>
    <d v="2026-01-14T12:01:10"/>
    <n v="4.6E-5"/>
    <d v="2026-01-06T22:11:53"/>
    <d v="2026-01-08T22:12:19"/>
    <n v="2.000289"/>
    <d v="2026-01-08T22:12:19"/>
    <d v="2026-01-10T22:13:11"/>
    <n v="2.0005899999999999"/>
    <m/>
    <m/>
    <m/>
    <m/>
    <m/>
    <n v="66.076116504627862"/>
    <x v="0"/>
    <x v="7"/>
    <x v="0"/>
    <n v="207"/>
    <n v="140"/>
    <n v="0.67632850241545894"/>
    <n v="0.67632850241545894"/>
    <n v="1"/>
  </r>
  <r>
    <n v="1248339364"/>
    <s v="25.020.218/0001-39"/>
    <s v="Julie Concencio Claro Pinto "/>
    <x v="0"/>
    <s v="Pipebot"/>
    <x v="731"/>
    <m/>
    <m/>
    <m/>
    <m/>
    <m/>
    <m/>
    <m/>
    <m/>
    <m/>
    <m/>
    <m/>
    <m/>
    <m/>
    <m/>
    <m/>
    <m/>
    <m/>
    <m/>
    <m/>
    <m/>
    <m/>
    <m/>
    <n v="118.07959726852278"/>
    <x v="0"/>
    <x v="6"/>
    <x v="0"/>
    <n v="195"/>
    <n v="132"/>
    <n v="0.67692307692307696"/>
    <n v="0.67692307692307696"/>
    <n v="1"/>
  </r>
  <r>
    <n v="1203901484"/>
    <s v="27.565.497/0001-41"/>
    <s v="Julinicius teste"/>
    <x v="3"/>
    <s v="Pipebot"/>
    <x v="732"/>
    <m/>
    <m/>
    <m/>
    <m/>
    <m/>
    <m/>
    <m/>
    <m/>
    <m/>
    <m/>
    <m/>
    <m/>
    <m/>
    <m/>
    <m/>
    <m/>
    <m/>
    <m/>
    <m/>
    <m/>
    <m/>
    <m/>
    <n v="182.22640216434957"/>
    <x v="0"/>
    <x v="2"/>
    <x v="0"/>
    <n v="146"/>
    <n v="112"/>
    <n v="0.76712328767123283"/>
    <n v="0.76712328767123283"/>
    <n v="1"/>
  </r>
  <r>
    <n v="1206688566"/>
    <s v="27.565.497/0001-41"/>
    <s v="Julinicius Teste"/>
    <x v="5"/>
    <s v="Pipebot"/>
    <x v="733"/>
    <m/>
    <m/>
    <d v="2025-09-16T18:08:46"/>
    <d v="2026-02-16T12:51:07"/>
    <n v="3.872512"/>
    <d v="2025-09-21T18:10:53"/>
    <d v="2026-02-13T16:02:02"/>
    <n v="144.90555599999999"/>
    <m/>
    <m/>
    <m/>
    <d v="2025-09-17T18:08:58"/>
    <d v="2026-02-18T13:20:50"/>
    <n v="4.0213190000000001"/>
    <d v="2025-09-19T18:09:59"/>
    <d v="2025-09-21T18:10:53"/>
    <n v="10.334606000000001"/>
    <m/>
    <m/>
    <m/>
    <m/>
    <m/>
    <n v="177.24430535879219"/>
    <x v="0"/>
    <x v="4"/>
    <x v="0"/>
    <n v="197"/>
    <n v="149"/>
    <n v="0.75634517766497467"/>
    <n v="0.75634517766497467"/>
    <n v="1"/>
  </r>
  <r>
    <n v="1204696073"/>
    <s v="46.161.489/0001-84"/>
    <s v="Julio Silva de Oliveira"/>
    <x v="0"/>
    <s v="Pipebot"/>
    <x v="734"/>
    <m/>
    <m/>
    <m/>
    <m/>
    <m/>
    <m/>
    <m/>
    <m/>
    <m/>
    <m/>
    <m/>
    <m/>
    <m/>
    <m/>
    <m/>
    <m/>
    <m/>
    <m/>
    <m/>
    <m/>
    <m/>
    <m/>
    <n v="181.2085546990711"/>
    <x v="0"/>
    <x v="2"/>
    <x v="0"/>
    <n v="146"/>
    <n v="112"/>
    <n v="0.76712328767123283"/>
    <n v="0.76712328767123283"/>
    <n v="1"/>
  </r>
  <r>
    <n v="1253192131"/>
    <s v="62.492.307/0001-04"/>
    <s v="Juraci de Brito"/>
    <x v="3"/>
    <s v="Pipebot"/>
    <x v="735"/>
    <m/>
    <m/>
    <d v="2025-11-25T13:06:33"/>
    <d v="2026-02-16T12:51:56"/>
    <n v="3.8670140000000002"/>
    <d v="2025-11-30T13:08:27"/>
    <d v="2026-02-13T16:03:48"/>
    <n v="75.121770999999995"/>
    <m/>
    <m/>
    <m/>
    <d v="2025-11-26T13:06:56"/>
    <d v="2026-02-18T13:22:24"/>
    <n v="4.0221530000000003"/>
    <d v="2025-11-28T13:08:22"/>
    <d v="2026-02-18T18:25:01"/>
    <n v="2.210197"/>
    <m/>
    <m/>
    <m/>
    <m/>
    <m/>
    <n v="107.45428121527948"/>
    <x v="0"/>
    <x v="0"/>
    <x v="0"/>
    <n v="131"/>
    <n v="87"/>
    <n v="0.66412213740458015"/>
    <n v="0.66412213740458015"/>
    <n v="1"/>
  </r>
  <r>
    <n v="1267302920"/>
    <s v="50.825.266/0001-41"/>
    <s v="Karina Avila Cruz"/>
    <x v="5"/>
    <s v="Pipebot"/>
    <x v="736"/>
    <m/>
    <m/>
    <d v="2025-12-25T22:08:24"/>
    <d v="2026-02-18T13:25:26"/>
    <n v="3.0225810000000002"/>
    <d v="2025-12-30T22:10:00"/>
    <d v="2026-02-16T12:53:33"/>
    <n v="47.613576000000002"/>
    <m/>
    <m/>
    <m/>
    <d v="2025-12-26T22:09:02"/>
    <d v="2026-02-19T12:28:07"/>
    <n v="2.9604979999999999"/>
    <d v="2025-12-28T22:09:29"/>
    <d v="2025-12-30T22:10:00"/>
    <n v="9.3709380000000007"/>
    <m/>
    <m/>
    <m/>
    <m/>
    <m/>
    <n v="77.078101562503434"/>
    <x v="0"/>
    <x v="7"/>
    <x v="0"/>
    <n v="207"/>
    <n v="140"/>
    <n v="0.67632850241545894"/>
    <n v="0.67632850241545894"/>
    <n v="1"/>
  </r>
  <r>
    <n v="1299778047"/>
    <s v="56.213.330/0001-10"/>
    <s v="Jussara Eloise Rissato "/>
    <x v="7"/>
    <s v="Pipebot"/>
    <x v="737"/>
    <m/>
    <m/>
    <m/>
    <m/>
    <m/>
    <m/>
    <m/>
    <m/>
    <m/>
    <m/>
    <m/>
    <m/>
    <m/>
    <m/>
    <m/>
    <m/>
    <m/>
    <m/>
    <m/>
    <m/>
    <m/>
    <m/>
    <n v="7.2035743055530475"/>
    <x v="4"/>
    <x v="1"/>
    <x v="1"/>
    <n v="189"/>
    <n v="33"/>
    <n v="0.17460317460317459"/>
    <n v="0.17460317460317459"/>
    <n v="1"/>
  </r>
  <r>
    <n v="1267727620"/>
    <s v="48.473.831/0001-07"/>
    <s v="Karolynne Reis (LER O COMENTÁRIO)"/>
    <x v="2"/>
    <s v="Pipebot"/>
    <x v="738"/>
    <m/>
    <m/>
    <d v="2025-12-26T19:08:21"/>
    <d v="2026-02-18T13:25:32"/>
    <n v="3.0224880000000001"/>
    <d v="2025-12-31T19:10:16"/>
    <d v="2026-02-16T12:53:36"/>
    <n v="46.738413999999999"/>
    <d v="2026-02-20T22:11:57"/>
    <m/>
    <n v="5.9651500000000004"/>
    <d v="2025-12-27T19:08:49"/>
    <d v="2026-02-19T12:28:11"/>
    <n v="2.9605790000000001"/>
    <d v="2025-12-29T19:09:24"/>
    <d v="2026-02-20T22:11:57"/>
    <n v="3.4059840000000001"/>
    <m/>
    <m/>
    <m/>
    <m/>
    <m/>
    <n v="76.202831990740378"/>
    <x v="0"/>
    <x v="7"/>
    <x v="0"/>
    <n v="207"/>
    <n v="140"/>
    <n v="0.67632850241545894"/>
    <n v="0.67632850241545894"/>
    <n v="1"/>
  </r>
  <r>
    <n v="1229103105"/>
    <s v="28.445.595/0001-08"/>
    <s v="Kaique T. Alvarez - EATS FOR YOU / DEVOLUÇÃO DE DEMONSTRAÇÕES"/>
    <x v="0"/>
    <s v="Vinícius Melesque dos Santos"/>
    <x v="739"/>
    <m/>
    <m/>
    <m/>
    <m/>
    <m/>
    <m/>
    <m/>
    <m/>
    <m/>
    <m/>
    <m/>
    <m/>
    <m/>
    <m/>
    <m/>
    <m/>
    <m/>
    <m/>
    <m/>
    <m/>
    <m/>
    <m/>
    <n v="143.17441518518899"/>
    <x v="0"/>
    <x v="6"/>
    <x v="0"/>
    <n v="195"/>
    <n v="132"/>
    <n v="0.67692307692307696"/>
    <n v="0.67692307692307696"/>
    <n v="1"/>
  </r>
  <r>
    <n v="1222240792"/>
    <s v="28.445.595/0001-08"/>
    <s v="KAIQUE TAVARES ALVAREZ - devolveu 1/10 dia 27/10"/>
    <x v="5"/>
    <s v="Pipebot"/>
    <x v="740"/>
    <m/>
    <m/>
    <d v="2025-10-10T20:26:49"/>
    <d v="2026-02-13T16:00:46"/>
    <n v="2.1480670000000002"/>
    <d v="2025-10-15T20:29:15"/>
    <d v="2026-02-12T12:28:29"/>
    <n v="119.666123"/>
    <m/>
    <m/>
    <m/>
    <d v="2025-10-11T20:27:46"/>
    <d v="2026-02-16T12:49:08"/>
    <n v="4.8674309999999998"/>
    <d v="2025-10-13T20:28:31"/>
    <d v="2025-10-15T20:29:15"/>
    <n v="12.356505"/>
    <m/>
    <m/>
    <m/>
    <m/>
    <m/>
    <n v="153.14816726851859"/>
    <x v="0"/>
    <x v="4"/>
    <x v="0"/>
    <n v="197"/>
    <n v="149"/>
    <n v="0.75634517766497467"/>
    <n v="0.75634517766497467"/>
    <n v="1"/>
  </r>
  <r>
    <n v="1171784339"/>
    <s v="56.076.124/0001-05"/>
    <s v="Kalmo Minimercados Ltda"/>
    <x v="0"/>
    <s v="Pipebot"/>
    <x v="741"/>
    <m/>
    <m/>
    <d v="2025-07-18T15:27:42"/>
    <d v="2025-07-19T15:27:49"/>
    <n v="1.000081"/>
    <m/>
    <m/>
    <m/>
    <m/>
    <m/>
    <m/>
    <d v="2025-07-19T15:27:49"/>
    <d v="2025-07-21T15:28:10"/>
    <n v="2.0002430000000002"/>
    <d v="2025-07-21T15:28:10"/>
    <d v="2025-07-21T22:14:37"/>
    <n v="0.28224500000000002"/>
    <m/>
    <m/>
    <m/>
    <m/>
    <m/>
    <n v="237.3564941203731"/>
    <x v="0"/>
    <x v="5"/>
    <x v="0"/>
    <n v="177"/>
    <n v="130"/>
    <n v="0.7344632768361582"/>
    <n v="0.7344632768361582"/>
    <n v="1"/>
  </r>
  <r>
    <n v="1264758673"/>
    <s v="42.540.485/0001-56"/>
    <s v="Katia Alves Toyoko Kanashiro"/>
    <x v="5"/>
    <s v="Pipebot"/>
    <x v="742"/>
    <m/>
    <m/>
    <d v="2025-12-19T19:11:51"/>
    <d v="2026-02-18T13:25:08"/>
    <n v="3.0224880000000001"/>
    <d v="2025-12-24T19:12:54"/>
    <d v="2026-02-16T12:53:02"/>
    <n v="53.736204000000001"/>
    <m/>
    <m/>
    <m/>
    <d v="2025-12-20T19:12:09"/>
    <d v="2026-02-19T12:27:57"/>
    <n v="2.960324"/>
    <d v="2025-12-22T19:12:12"/>
    <d v="2025-12-24T19:12:54"/>
    <n v="9.371181"/>
    <m/>
    <m/>
    <m/>
    <m/>
    <m/>
    <n v="83.201061608786404"/>
    <x v="0"/>
    <x v="7"/>
    <x v="0"/>
    <n v="207"/>
    <n v="140"/>
    <n v="0.67632850241545894"/>
    <n v="0.67632850241545894"/>
    <n v="1"/>
  </r>
  <r>
    <n v="1292646840"/>
    <s v="45.155.539/0001-58"/>
    <s v="Karina lancerote Produtos"/>
    <x v="0"/>
    <s v="Pipebot"/>
    <x v="743"/>
    <m/>
    <m/>
    <m/>
    <m/>
    <m/>
    <m/>
    <m/>
    <m/>
    <m/>
    <m/>
    <m/>
    <m/>
    <m/>
    <m/>
    <m/>
    <m/>
    <m/>
    <m/>
    <m/>
    <m/>
    <m/>
    <m/>
    <n v="23.203397615739959"/>
    <x v="3"/>
    <x v="1"/>
    <x v="1"/>
    <n v="189"/>
    <n v="33"/>
    <n v="0.17460317460317459"/>
    <n v="0.17460317460317459"/>
    <n v="1"/>
  </r>
  <r>
    <n v="1278359283"/>
    <s v="45.155.539/0001-58"/>
    <s v="Karina lancerote Produtos"/>
    <x v="0"/>
    <s v="Pipebot"/>
    <x v="744"/>
    <m/>
    <m/>
    <d v="2026-01-21T19:05:01"/>
    <d v="2026-01-22T19:05:52"/>
    <n v="1.0005790000000001"/>
    <d v="2026-01-26T19:07:27"/>
    <d v="2026-02-03T13:35:05"/>
    <n v="7.7691780000000001"/>
    <m/>
    <m/>
    <m/>
    <d v="2026-01-22T19:05:52"/>
    <d v="2026-01-24T19:06:50"/>
    <n v="2.0006710000000001"/>
    <d v="2026-01-24T19:06:50"/>
    <d v="2026-01-26T19:07:27"/>
    <n v="2.0004279999999999"/>
    <m/>
    <m/>
    <m/>
    <m/>
    <m/>
    <n v="50.205704004627478"/>
    <x v="2"/>
    <x v="3"/>
    <x v="1"/>
    <n v="223"/>
    <n v="147"/>
    <n v="0.65919282511210764"/>
    <n v="0.65919282511210764"/>
    <n v="1"/>
  </r>
  <r>
    <n v="1204767034"/>
    <s v="45.155.539/0001-58"/>
    <s v="Karina Lancerote Produtos"/>
    <x v="0"/>
    <s v="Pipebot"/>
    <x v="745"/>
    <m/>
    <m/>
    <m/>
    <m/>
    <m/>
    <m/>
    <m/>
    <m/>
    <m/>
    <m/>
    <m/>
    <m/>
    <m/>
    <m/>
    <m/>
    <m/>
    <m/>
    <m/>
    <m/>
    <m/>
    <m/>
    <m/>
    <n v="181.14826280093257"/>
    <x v="0"/>
    <x v="2"/>
    <x v="0"/>
    <n v="146"/>
    <n v="112"/>
    <n v="0.76712328767123283"/>
    <n v="0.76712328767123283"/>
    <n v="1"/>
  </r>
  <r>
    <n v="1289298159"/>
    <s v="45.155.539/0001-58"/>
    <s v="Karina lancerote Produtos"/>
    <x v="0"/>
    <s v="Pipebot"/>
    <x v="746"/>
    <m/>
    <m/>
    <m/>
    <m/>
    <m/>
    <m/>
    <m/>
    <m/>
    <m/>
    <m/>
    <m/>
    <m/>
    <m/>
    <m/>
    <m/>
    <m/>
    <m/>
    <m/>
    <m/>
    <m/>
    <m/>
    <m/>
    <n v="29.456013113427616"/>
    <x v="5"/>
    <x v="3"/>
    <x v="1"/>
    <n v="223"/>
    <n v="147"/>
    <n v="0.65919282511210764"/>
    <n v="0.65919282511210764"/>
    <n v="1"/>
  </r>
  <r>
    <n v="1170685084"/>
    <s v="45.155.539/0001-58"/>
    <s v="karina lancerote produtos "/>
    <x v="0"/>
    <s v="Pipebot"/>
    <x v="747"/>
    <m/>
    <m/>
    <d v="2025-07-16T20:27:21"/>
    <d v="2025-07-17T20:28:12"/>
    <n v="1.0005790000000001"/>
    <d v="2025-07-21T20:29:09"/>
    <d v="2025-07-29T11:58:32"/>
    <n v="7.6454050000000002"/>
    <d v="2025-07-29T11:58:32"/>
    <d v="2025-07-29T11:58:40"/>
    <n v="8.1000000000000004E-5"/>
    <d v="2025-07-17T20:28:12"/>
    <d v="2025-07-19T20:28:33"/>
    <n v="2.0002430000000002"/>
    <d v="2025-07-19T20:28:33"/>
    <d v="2025-07-21T20:29:09"/>
    <n v="2.0004050000000002"/>
    <m/>
    <m/>
    <m/>
    <m/>
    <m/>
    <n v="239.14801980323682"/>
    <x v="0"/>
    <x v="5"/>
    <x v="0"/>
    <n v="177"/>
    <n v="130"/>
    <n v="0.7344632768361582"/>
    <n v="0.7344632768361582"/>
    <n v="1"/>
  </r>
  <r>
    <n v="1203231858"/>
    <s v="43.899.664/0001-47"/>
    <s v="Karina Teixeira Quaglio Mello"/>
    <x v="8"/>
    <s v="Pipebot"/>
    <x v="748"/>
    <m/>
    <m/>
    <d v="2025-09-10T20:25:51"/>
    <d v="2025-09-11T20:25:55"/>
    <n v="1.000035"/>
    <d v="2025-09-15T20:27:19"/>
    <d v="2025-10-29T19:41:47"/>
    <n v="43.968380000000003"/>
    <m/>
    <m/>
    <m/>
    <d v="2025-09-11T20:25:55"/>
    <d v="2025-09-13T20:26:37"/>
    <n v="2.000486"/>
    <d v="2025-09-13T20:26:37"/>
    <d v="2025-09-15T20:27:19"/>
    <n v="2.0004749999999998"/>
    <m/>
    <m/>
    <m/>
    <m/>
    <m/>
    <n v="183.14918446759111"/>
    <x v="0"/>
    <x v="2"/>
    <x v="0"/>
    <n v="146"/>
    <n v="112"/>
    <n v="0.76712328767123283"/>
    <n v="0.76712328767123283"/>
    <n v="1"/>
  </r>
  <r>
    <n v="1199604633"/>
    <s v="43.899.664/0001-47"/>
    <s v="Karina Teixeira Quaglio Mello"/>
    <x v="8"/>
    <s v="Pipebot"/>
    <x v="749"/>
    <m/>
    <m/>
    <d v="2025-09-04T20:26:31"/>
    <d v="2025-09-05T20:26:41"/>
    <n v="1.0001040000000001"/>
    <d v="2025-09-09T20:27:15"/>
    <d v="2025-10-29T19:41:46"/>
    <n v="49.968403000000002"/>
    <m/>
    <m/>
    <m/>
    <d v="2025-09-05T20:26:41"/>
    <d v="2025-09-07T20:27:09"/>
    <n v="2.000324"/>
    <d v="2025-09-07T20:27:09"/>
    <d v="2025-09-09T20:27:15"/>
    <n v="2.0000580000000001"/>
    <m/>
    <m/>
    <m/>
    <m/>
    <m/>
    <n v="189.14876785878732"/>
    <x v="0"/>
    <x v="2"/>
    <x v="0"/>
    <n v="146"/>
    <n v="112"/>
    <n v="0.76712328767123283"/>
    <n v="0.76712328767123283"/>
    <n v="1"/>
  </r>
  <r>
    <n v="1194447050"/>
    <s v="54.776.421/0001-38"/>
    <s v="Karine Cristina Dinamarke Santos"/>
    <x v="0"/>
    <s v="Pipebot"/>
    <x v="750"/>
    <m/>
    <m/>
    <m/>
    <m/>
    <m/>
    <m/>
    <m/>
    <m/>
    <m/>
    <m/>
    <m/>
    <m/>
    <m/>
    <m/>
    <m/>
    <m/>
    <m/>
    <m/>
    <m/>
    <m/>
    <m/>
    <m/>
    <n v="197.35715932871244"/>
    <x v="0"/>
    <x v="2"/>
    <x v="0"/>
    <n v="146"/>
    <n v="112"/>
    <n v="0.76712328767123283"/>
    <n v="0.76712328767123283"/>
    <n v="1"/>
  </r>
  <r>
    <n v="1211815849"/>
    <s v="54.776.421/0001-38"/>
    <s v="Karine Cristina Dinamarke Santos"/>
    <x v="0"/>
    <s v="Pipebot"/>
    <x v="751"/>
    <m/>
    <m/>
    <m/>
    <m/>
    <m/>
    <m/>
    <m/>
    <m/>
    <m/>
    <m/>
    <m/>
    <m/>
    <m/>
    <m/>
    <m/>
    <m/>
    <m/>
    <m/>
    <m/>
    <m/>
    <m/>
    <m/>
    <n v="169.35732703703979"/>
    <x v="0"/>
    <x v="4"/>
    <x v="0"/>
    <n v="197"/>
    <n v="149"/>
    <n v="0.75634517766497467"/>
    <n v="0.75634517766497467"/>
    <n v="1"/>
  </r>
  <r>
    <n v="1226769964"/>
    <s v="53.454.288/0001-30"/>
    <s v="Karla Gomes"/>
    <x v="0"/>
    <s v="Pipebot"/>
    <x v="752"/>
    <m/>
    <m/>
    <m/>
    <m/>
    <m/>
    <m/>
    <m/>
    <m/>
    <m/>
    <m/>
    <m/>
    <m/>
    <m/>
    <m/>
    <m/>
    <m/>
    <m/>
    <m/>
    <m/>
    <m/>
    <m/>
    <m/>
    <n v="146.35734162037261"/>
    <x v="0"/>
    <x v="6"/>
    <x v="0"/>
    <n v="195"/>
    <n v="132"/>
    <n v="0.67692307692307696"/>
    <n v="0.67692307692307696"/>
    <n v="1"/>
  </r>
  <r>
    <n v="1220840226"/>
    <s v="53.454.288/0001-30"/>
    <s v="Karla Gomes"/>
    <x v="0"/>
    <s v="Pipebot"/>
    <x v="753"/>
    <m/>
    <m/>
    <d v="2025-10-08T20:25:16"/>
    <d v="2025-10-09T20:25:59"/>
    <n v="1.000486"/>
    <d v="2025-10-13T20:27:42"/>
    <d v="2025-10-20T20:46:25"/>
    <n v="7.0129979999999996"/>
    <m/>
    <m/>
    <m/>
    <d v="2025-10-09T20:25:59"/>
    <d v="2025-10-11T20:26:46"/>
    <n v="2.0005320000000002"/>
    <d v="2025-10-11T20:26:46"/>
    <d v="2025-10-13T20:27:42"/>
    <n v="2.0006370000000002"/>
    <m/>
    <m/>
    <m/>
    <m/>
    <m/>
    <n v="155.1493198726821"/>
    <x v="0"/>
    <x v="4"/>
    <x v="0"/>
    <n v="197"/>
    <n v="149"/>
    <n v="0.75634517766497467"/>
    <n v="0.75634517766497467"/>
    <n v="1"/>
  </r>
  <r>
    <n v="1250382431"/>
    <s v="53.454.288/0001-30"/>
    <s v="Karla Gomes"/>
    <x v="0"/>
    <s v="Pipebot"/>
    <x v="754"/>
    <m/>
    <m/>
    <d v="2025-11-19T19:04:24"/>
    <d v="2025-11-20T19:04:26"/>
    <n v="1.0000230000000001"/>
    <d v="2025-11-24T19:05:47"/>
    <d v="2026-01-12T13:49:40"/>
    <n v="48.780462999999997"/>
    <m/>
    <m/>
    <m/>
    <d v="2025-11-20T19:04:26"/>
    <d v="2025-11-22T19:04:39"/>
    <n v="2.0001389999999999"/>
    <d v="2025-11-22T19:04:39"/>
    <d v="2025-11-24T19:05:47"/>
    <n v="2.0007869999999999"/>
    <m/>
    <m/>
    <m/>
    <m/>
    <m/>
    <n v="113.20578111112263"/>
    <x v="0"/>
    <x v="0"/>
    <x v="0"/>
    <n v="131"/>
    <n v="87"/>
    <n v="0.66412213740458015"/>
    <n v="0.66412213740458015"/>
    <n v="1"/>
  </r>
  <r>
    <n v="1259928389"/>
    <s v="48.473.831/0001-07"/>
    <s v="Karolynne Reis (LER O COMENTÁRIO)"/>
    <x v="2"/>
    <s v="Pipebot"/>
    <x v="755"/>
    <m/>
    <m/>
    <d v="2025-12-10T19:03:45"/>
    <d v="2026-02-18T13:24:57"/>
    <n v="3.0226160000000002"/>
    <d v="2025-12-15T19:04:59"/>
    <d v="2026-02-16T12:52:54"/>
    <n v="62.741596999999999"/>
    <d v="2026-02-20T22:12:07"/>
    <m/>
    <n v="5.9650350000000003"/>
    <d v="2025-12-11T19:04:17"/>
    <d v="2026-02-19T12:27:31"/>
    <n v="2.9603470000000001"/>
    <d v="2025-12-13T19:04:37"/>
    <d v="2026-02-20T22:12:07"/>
    <n v="3.406215"/>
    <m/>
    <m/>
    <m/>
    <m/>
    <m/>
    <n v="92.206097592592414"/>
    <x v="0"/>
    <x v="0"/>
    <x v="0"/>
    <n v="131"/>
    <n v="87"/>
    <n v="0.66412213740458015"/>
    <n v="0.66412213740458015"/>
    <n v="1"/>
  </r>
  <r>
    <n v="1266785270"/>
    <s v="47.000.164/0001-82"/>
    <s v="Kele Gleisse de Freitas dias Fernandes 1 maq"/>
    <x v="0"/>
    <s v="Pipebot"/>
    <x v="756"/>
    <m/>
    <m/>
    <d v="2025-12-24T22:07:53"/>
    <d v="2025-12-25T22:08:24"/>
    <n v="1.000359"/>
    <d v="2025-12-29T22:09:20"/>
    <d v="2026-01-27T20:24:19"/>
    <n v="28.927071999999999"/>
    <m/>
    <m/>
    <m/>
    <d v="2025-12-25T22:08:24"/>
    <d v="2025-12-27T22:08:49"/>
    <n v="2.000289"/>
    <d v="2025-12-27T22:08:49"/>
    <d v="2025-12-29T22:09:20"/>
    <n v="2.0003470000000001"/>
    <m/>
    <m/>
    <m/>
    <m/>
    <m/>
    <n v="78.078003657406953"/>
    <x v="0"/>
    <x v="7"/>
    <x v="0"/>
    <n v="207"/>
    <n v="140"/>
    <n v="0.67632850241545894"/>
    <n v="0.67632850241545894"/>
    <n v="1"/>
  </r>
  <r>
    <n v="1267727058"/>
    <s v="35.744.737/0001-01"/>
    <s v="LAM COMERCIO E VAREJO"/>
    <x v="5"/>
    <s v="Pipebot"/>
    <x v="757"/>
    <m/>
    <m/>
    <d v="2025-12-26T19:08:21"/>
    <d v="2026-02-18T13:25:31"/>
    <n v="3.0224880000000001"/>
    <d v="2025-12-31T19:10:16"/>
    <d v="2026-02-16T12:53:36"/>
    <n v="46.738413999999999"/>
    <m/>
    <m/>
    <m/>
    <d v="2025-12-27T19:08:49"/>
    <d v="2026-02-19T12:28:11"/>
    <n v="2.9605790000000001"/>
    <d v="2025-12-29T19:09:24"/>
    <d v="2025-12-31T19:10:16"/>
    <n v="9.3711459999999995"/>
    <m/>
    <m/>
    <m/>
    <m/>
    <m/>
    <n v="76.203398564823146"/>
    <x v="0"/>
    <x v="7"/>
    <x v="0"/>
    <n v="207"/>
    <n v="140"/>
    <n v="0.67632850241545894"/>
    <n v="0.67632850241545894"/>
    <n v="1"/>
  </r>
  <r>
    <n v="1265514365"/>
    <s v="34.119.449/0001-95"/>
    <s v="Larissa Volpato Gonzaga - TESTE 2 SNS @juliobueno"/>
    <x v="0"/>
    <s v="Pipebot"/>
    <x v="758"/>
    <m/>
    <m/>
    <m/>
    <m/>
    <m/>
    <m/>
    <m/>
    <m/>
    <m/>
    <m/>
    <m/>
    <m/>
    <m/>
    <m/>
    <m/>
    <m/>
    <m/>
    <m/>
    <m/>
    <m/>
    <m/>
    <m/>
    <n v="80.201923657412408"/>
    <x v="0"/>
    <x v="7"/>
    <x v="0"/>
    <n v="207"/>
    <n v="140"/>
    <n v="0.67632850241545894"/>
    <n v="0.67632850241545894"/>
    <n v="1"/>
  </r>
  <r>
    <n v="1277616439"/>
    <s v="47.000.164/0001-82"/>
    <s v="Kele Gleisse de Freitas dias Fernandes 2 leitores 1 maq"/>
    <x v="0"/>
    <s v="Pipebot"/>
    <x v="759"/>
    <m/>
    <m/>
    <d v="2026-01-20T19:03:47"/>
    <d v="2026-01-21T19:05:01"/>
    <n v="1.000845"/>
    <d v="2026-01-25T19:05:35"/>
    <d v="2026-01-27T20:21:32"/>
    <n v="2.052743"/>
    <m/>
    <m/>
    <m/>
    <d v="2026-01-21T19:05:01"/>
    <d v="2026-01-23T19:05:31"/>
    <n v="2.0003470000000001"/>
    <d v="2026-01-23T19:05:31"/>
    <d v="2026-01-25T19:05:35"/>
    <n v="2.000035"/>
    <m/>
    <m/>
    <m/>
    <m/>
    <m/>
    <n v="51.206282210652716"/>
    <x v="2"/>
    <x v="3"/>
    <x v="1"/>
    <n v="223"/>
    <n v="147"/>
    <n v="0.65919282511210764"/>
    <n v="0.65919282511210764"/>
    <n v="1"/>
  </r>
  <r>
    <n v="1179014444"/>
    <s v="47.888.217/0001-43"/>
    <s v="Kelen Inasaki "/>
    <x v="0"/>
    <s v="Pipebot"/>
    <x v="760"/>
    <m/>
    <m/>
    <m/>
    <m/>
    <m/>
    <m/>
    <m/>
    <m/>
    <m/>
    <m/>
    <m/>
    <m/>
    <m/>
    <m/>
    <m/>
    <m/>
    <m/>
    <m/>
    <m/>
    <m/>
    <m/>
    <m/>
    <n v="223.15007822916959"/>
    <x v="0"/>
    <x v="5"/>
    <x v="0"/>
    <n v="177"/>
    <n v="130"/>
    <n v="0.7344632768361582"/>
    <n v="0.7344632768361582"/>
    <n v="1"/>
  </r>
  <r>
    <n v="1292714437"/>
    <s v="49.194.978/0001-20"/>
    <s v="Kéli Back Sinhorini"/>
    <x v="0"/>
    <s v="Pipebot"/>
    <x v="761"/>
    <m/>
    <m/>
    <m/>
    <m/>
    <m/>
    <m/>
    <m/>
    <m/>
    <m/>
    <m/>
    <m/>
    <m/>
    <m/>
    <m/>
    <m/>
    <m/>
    <m/>
    <m/>
    <m/>
    <m/>
    <m/>
    <m/>
    <n v="23.152265729157079"/>
    <x v="3"/>
    <x v="1"/>
    <x v="1"/>
    <n v="189"/>
    <n v="33"/>
    <n v="0.17460317460317459"/>
    <n v="0.17460317460317459"/>
    <n v="1"/>
  </r>
  <r>
    <n v="1296887699"/>
    <s v="49.194.978/0001-20"/>
    <s v="KELI BACK SINHORINI"/>
    <x v="0"/>
    <s v="Pipebot"/>
    <x v="762"/>
    <m/>
    <m/>
    <m/>
    <m/>
    <m/>
    <m/>
    <m/>
    <m/>
    <m/>
    <m/>
    <m/>
    <m/>
    <m/>
    <m/>
    <m/>
    <m/>
    <m/>
    <m/>
    <m/>
    <m/>
    <m/>
    <m/>
    <n v="14.371946064813528"/>
    <x v="1"/>
    <x v="1"/>
    <x v="1"/>
    <n v="189"/>
    <n v="33"/>
    <n v="0.17460317460317459"/>
    <n v="0.17460317460317459"/>
    <n v="1"/>
  </r>
  <r>
    <n v="1281897977"/>
    <s v="49.194.978/0001-20"/>
    <s v="Kéli Back Sinhorini"/>
    <x v="0"/>
    <s v="Pipebot"/>
    <x v="763"/>
    <m/>
    <m/>
    <d v="2026-01-28T19:04:37"/>
    <d v="2026-01-29T19:04:56"/>
    <n v="1.000208"/>
    <d v="2026-02-02T19:06:45"/>
    <d v="2026-02-03T20:10:52"/>
    <n v="1.0445249999999999"/>
    <m/>
    <m/>
    <m/>
    <d v="2026-01-29T19:04:56"/>
    <d v="2026-01-31T19:05:54"/>
    <n v="2.0006710000000001"/>
    <d v="2026-01-31T19:05:55"/>
    <d v="2026-02-02T19:06:45"/>
    <n v="2.0005790000000001"/>
    <m/>
    <m/>
    <m/>
    <m/>
    <m/>
    <n v="43.205666296300478"/>
    <x v="2"/>
    <x v="3"/>
    <x v="1"/>
    <n v="223"/>
    <n v="147"/>
    <n v="0.65919282511210764"/>
    <n v="0.65919282511210764"/>
    <n v="1"/>
  </r>
  <r>
    <n v="1290961714"/>
    <s v="49.194.978/0001-20"/>
    <s v="KELI BACK SINHORINI"/>
    <x v="0"/>
    <s v="Pipebot"/>
    <x v="764"/>
    <m/>
    <m/>
    <m/>
    <m/>
    <m/>
    <m/>
    <m/>
    <m/>
    <m/>
    <m/>
    <m/>
    <m/>
    <m/>
    <m/>
    <m/>
    <m/>
    <m/>
    <m/>
    <m/>
    <m/>
    <m/>
    <m/>
    <n v="27.372409398136369"/>
    <x v="5"/>
    <x v="3"/>
    <x v="1"/>
    <n v="223"/>
    <n v="147"/>
    <n v="0.65919282511210764"/>
    <n v="0.65919282511210764"/>
    <n v="1"/>
  </r>
  <r>
    <n v="1301481069"/>
    <s v="42.473.508/0001-57"/>
    <s v="Kely Sayuri Wauke Shigeno"/>
    <x v="7"/>
    <s v="Pipebot"/>
    <x v="765"/>
    <m/>
    <m/>
    <m/>
    <m/>
    <m/>
    <m/>
    <m/>
    <m/>
    <m/>
    <m/>
    <m/>
    <m/>
    <m/>
    <m/>
    <m/>
    <m/>
    <m/>
    <m/>
    <m/>
    <m/>
    <m/>
    <m/>
    <n v="3.3701458449068014"/>
    <x v="4"/>
    <x v="1"/>
    <x v="1"/>
    <n v="189"/>
    <n v="33"/>
    <n v="0.17460317460317459"/>
    <n v="0.17460317460317459"/>
    <n v="1"/>
  </r>
  <r>
    <n v="1217109553"/>
    <s v="53.958.373/0001-36"/>
    <s v="Kely Viana Ferreira"/>
    <x v="0"/>
    <s v="Pipebot"/>
    <x v="766"/>
    <d v="2025-10-28T12:42:05"/>
    <d v="2025-10-28T12:42:21"/>
    <d v="2025-10-03T12:48:43"/>
    <d v="2025-10-04T12:49:30"/>
    <n v="1.000532"/>
    <d v="2025-10-08T12:50:45"/>
    <d v="2025-10-28T12:42:05"/>
    <n v="19.993970000000001"/>
    <d v="2025-10-28T12:42:21"/>
    <d v="2025-10-31T20:13:45"/>
    <n v="3.313472"/>
    <d v="2025-10-04T12:49:30"/>
    <d v="2025-10-06T12:50:18"/>
    <n v="2.000556"/>
    <d v="2025-10-06T12:50:18"/>
    <d v="2025-10-08T12:50:45"/>
    <n v="2.0003009999999999"/>
    <m/>
    <m/>
    <m/>
    <m/>
    <m/>
    <n v="160.46627055555291"/>
    <x v="0"/>
    <x v="4"/>
    <x v="0"/>
    <n v="197"/>
    <n v="149"/>
    <n v="0.75634517766497467"/>
    <n v="0.75634517766497467"/>
    <n v="1"/>
  </r>
  <r>
    <n v="1208156572"/>
    <s v="58.269.353/0001-71"/>
    <s v="KEVIN SOUZA ROSA"/>
    <x v="0"/>
    <s v="Pipebot"/>
    <x v="767"/>
    <m/>
    <m/>
    <m/>
    <m/>
    <m/>
    <m/>
    <m/>
    <m/>
    <m/>
    <m/>
    <m/>
    <m/>
    <m/>
    <m/>
    <m/>
    <m/>
    <m/>
    <m/>
    <m/>
    <m/>
    <m/>
    <m/>
    <n v="175.3561719328718"/>
    <x v="0"/>
    <x v="4"/>
    <x v="0"/>
    <n v="197"/>
    <n v="149"/>
    <n v="0.75634517766497467"/>
    <n v="0.75634517766497467"/>
    <n v="1"/>
  </r>
  <r>
    <n v="1288047576"/>
    <s v="63.762.499/0001-94"/>
    <s v="KM9 EXPRESS LTDA"/>
    <x v="0"/>
    <s v="Pipebot"/>
    <x v="768"/>
    <m/>
    <m/>
    <d v="2026-02-09T13:07:32"/>
    <d v="2026-02-10T13:08:43"/>
    <n v="1.00081"/>
    <d v="2026-02-11T20:50:11"/>
    <d v="2026-02-16T11:22:03"/>
    <n v="4.6054510000000004"/>
    <d v="2026-02-16T11:22:03"/>
    <d v="2026-02-16T11:22:11"/>
    <n v="9.2999999999999997E-5"/>
    <d v="2026-02-10T13:08:43"/>
    <d v="2026-02-11T20:50:11"/>
    <n v="1.320451"/>
    <m/>
    <m/>
    <m/>
    <m/>
    <m/>
    <m/>
    <m/>
    <m/>
    <n v="31.453534722233599"/>
    <x v="2"/>
    <x v="3"/>
    <x v="1"/>
    <n v="223"/>
    <n v="147"/>
    <n v="0.65919282511210764"/>
    <n v="0.65919282511210764"/>
    <n v="1"/>
  </r>
  <r>
    <n v="1206100367"/>
    <s v="52.297.005/0001-21"/>
    <s v="KRISTIANE ANDRADE EUTAQUIO"/>
    <x v="5"/>
    <s v="Pipebot"/>
    <x v="769"/>
    <m/>
    <m/>
    <d v="2025-09-15T20:26:32"/>
    <d v="2026-02-12T12:26:14"/>
    <n v="1.643669"/>
    <d v="2025-09-20T20:27:52"/>
    <d v="2026-02-11T20:59:39"/>
    <n v="144.02206000000001"/>
    <m/>
    <m/>
    <m/>
    <d v="2025-09-16T20:26:50"/>
    <d v="2026-02-13T15:59:57"/>
    <n v="3.148981"/>
    <d v="2025-09-18T20:27:40"/>
    <d v="2025-09-20T20:27:52"/>
    <n v="15.223623"/>
    <m/>
    <m/>
    <m/>
    <m/>
    <m/>
    <n v="178.14906951389275"/>
    <x v="0"/>
    <x v="4"/>
    <x v="0"/>
    <n v="197"/>
    <n v="149"/>
    <n v="0.75634517766497467"/>
    <n v="0.75634517766497467"/>
    <n v="1"/>
  </r>
  <r>
    <n v="1193243973"/>
    <s v="52.297.005/0001-21"/>
    <s v="Kristiane Andrade Eutáquio"/>
    <x v="0"/>
    <s v="Pipebot"/>
    <x v="770"/>
    <m/>
    <m/>
    <m/>
    <m/>
    <m/>
    <m/>
    <m/>
    <m/>
    <m/>
    <m/>
    <m/>
    <m/>
    <m/>
    <m/>
    <m/>
    <m/>
    <m/>
    <m/>
    <m/>
    <m/>
    <m/>
    <m/>
    <n v="199.19190343750233"/>
    <x v="0"/>
    <x v="2"/>
    <x v="0"/>
    <n v="146"/>
    <n v="112"/>
    <n v="0.76712328767123283"/>
    <n v="0.76712328767123283"/>
    <n v="1"/>
  </r>
  <r>
    <n v="1288941490"/>
    <s v="52.297.005/0001-21"/>
    <s v="Kristiane Andrade Eutaquio"/>
    <x v="5"/>
    <s v="Pipebot"/>
    <x v="771"/>
    <m/>
    <m/>
    <d v="2026-02-10T19:05:24"/>
    <d v="2026-02-23T13:37:13"/>
    <n v="3.8606940000000001"/>
    <d v="2026-02-11T20:50:18"/>
    <d v="2026-02-20T16:58:23"/>
    <n v="8.8389349999999993"/>
    <m/>
    <m/>
    <m/>
    <d v="2026-02-11T19:05:59"/>
    <d v="2026-02-25T11:53:34"/>
    <n v="2.0004629999999999"/>
    <d v="2026-02-25T11:53:34"/>
    <m/>
    <n v="1.3945829999999999"/>
    <m/>
    <m/>
    <m/>
    <m/>
    <m/>
    <n v="30.205599652777892"/>
    <x v="2"/>
    <x v="3"/>
    <x v="1"/>
    <n v="223"/>
    <n v="147"/>
    <n v="0.65919282511210764"/>
    <n v="0.65919282511210764"/>
    <n v="1"/>
  </r>
  <r>
    <n v="1193243705"/>
    <s v="52.297.005/0001-21"/>
    <s v="Kristiane Andrade Eutáquio"/>
    <x v="0"/>
    <s v="Pipebot"/>
    <x v="772"/>
    <m/>
    <m/>
    <m/>
    <m/>
    <m/>
    <m/>
    <m/>
    <m/>
    <m/>
    <m/>
    <m/>
    <m/>
    <m/>
    <m/>
    <m/>
    <m/>
    <m/>
    <m/>
    <m/>
    <m/>
    <m/>
    <m/>
    <n v="199.19212048610643"/>
    <x v="0"/>
    <x v="2"/>
    <x v="0"/>
    <n v="146"/>
    <n v="112"/>
    <n v="0.76712328767123283"/>
    <n v="0.76712328767123283"/>
    <n v="1"/>
  </r>
  <r>
    <n v="1189845226"/>
    <s v="52.680.222/0001-04"/>
    <s v="L&amp;B Mercado"/>
    <x v="0"/>
    <s v="Pipebot"/>
    <x v="773"/>
    <m/>
    <m/>
    <m/>
    <m/>
    <m/>
    <m/>
    <m/>
    <m/>
    <m/>
    <m/>
    <m/>
    <m/>
    <m/>
    <m/>
    <m/>
    <m/>
    <m/>
    <m/>
    <m/>
    <m/>
    <m/>
    <m/>
    <n v="204.14922219907749"/>
    <x v="0"/>
    <x v="2"/>
    <x v="0"/>
    <n v="146"/>
    <n v="112"/>
    <n v="0.76712328767123283"/>
    <n v="0.76712328767123283"/>
    <n v="1"/>
  </r>
  <r>
    <n v="1222690397"/>
    <s v="41.929.212/0001-35"/>
    <s v="LAIDES SOARES DA SILVA "/>
    <x v="0"/>
    <s v="Pipebot"/>
    <x v="774"/>
    <m/>
    <m/>
    <m/>
    <m/>
    <m/>
    <m/>
    <m/>
    <m/>
    <m/>
    <m/>
    <m/>
    <m/>
    <m/>
    <m/>
    <m/>
    <m/>
    <m/>
    <m/>
    <m/>
    <m/>
    <m/>
    <m/>
    <n v="152.35717858796124"/>
    <x v="0"/>
    <x v="4"/>
    <x v="0"/>
    <n v="197"/>
    <n v="149"/>
    <n v="0.75634517766497467"/>
    <n v="0.75634517766497467"/>
    <n v="1"/>
  </r>
  <r>
    <n v="1282443719"/>
    <s v="51.029.931/0001-53"/>
    <s v="Lais Pellicciotti de Paula Oliveira "/>
    <x v="0"/>
    <s v="Pipebot"/>
    <x v="775"/>
    <m/>
    <m/>
    <m/>
    <m/>
    <m/>
    <m/>
    <m/>
    <m/>
    <m/>
    <m/>
    <m/>
    <m/>
    <m/>
    <m/>
    <m/>
    <m/>
    <m/>
    <m/>
    <m/>
    <m/>
    <m/>
    <m/>
    <n v="42.201294780090393"/>
    <x v="2"/>
    <x v="3"/>
    <x v="1"/>
    <n v="223"/>
    <n v="147"/>
    <n v="0.65919282511210764"/>
    <n v="0.65919282511210764"/>
    <n v="1"/>
  </r>
  <r>
    <n v="1207809976"/>
    <s v="41.390.095/0001-84"/>
    <s v="Lais Zanetti "/>
    <x v="0"/>
    <s v="Pipebot"/>
    <x v="776"/>
    <m/>
    <m/>
    <m/>
    <m/>
    <m/>
    <m/>
    <m/>
    <m/>
    <m/>
    <m/>
    <m/>
    <m/>
    <m/>
    <m/>
    <m/>
    <m/>
    <m/>
    <m/>
    <m/>
    <m/>
    <m/>
    <m/>
    <n v="175.9827540856495"/>
    <x v="0"/>
    <x v="4"/>
    <x v="0"/>
    <n v="197"/>
    <n v="149"/>
    <n v="0.75634517766497467"/>
    <n v="0.75634517766497467"/>
    <n v="1"/>
  </r>
  <r>
    <n v="1211447845"/>
    <s v="41.390.095/0001-84"/>
    <s v="Lais Zanetti "/>
    <x v="0"/>
    <s v="Pipebot"/>
    <x v="777"/>
    <m/>
    <m/>
    <m/>
    <m/>
    <m/>
    <m/>
    <m/>
    <m/>
    <m/>
    <m/>
    <m/>
    <m/>
    <m/>
    <m/>
    <m/>
    <m/>
    <m/>
    <m/>
    <m/>
    <m/>
    <m/>
    <m/>
    <n v="169.98231533564103"/>
    <x v="0"/>
    <x v="4"/>
    <x v="0"/>
    <n v="197"/>
    <n v="149"/>
    <n v="0.75634517766497467"/>
    <n v="0.75634517766497467"/>
    <n v="1"/>
  </r>
  <r>
    <n v="1296528326"/>
    <s v="64.011.111/0001-86"/>
    <s v="Laiza dos santos Brasil "/>
    <x v="2"/>
    <s v="Pipebot"/>
    <x v="778"/>
    <m/>
    <m/>
    <d v="2026-02-25T19:06:52"/>
    <d v="2026-02-25T20:37:07"/>
    <n v="6.2673999999999994E-2"/>
    <m/>
    <m/>
    <m/>
    <d v="2026-02-25T20:37:07"/>
    <m/>
    <n v="1.0309950000000001"/>
    <m/>
    <m/>
    <m/>
    <m/>
    <m/>
    <m/>
    <m/>
    <m/>
    <m/>
    <m/>
    <m/>
    <n v="15.203879363427404"/>
    <x v="1"/>
    <x v="1"/>
    <x v="1"/>
    <n v="189"/>
    <n v="33"/>
    <n v="0.17460317460317459"/>
    <n v="0.17460317460317459"/>
    <n v="1"/>
  </r>
  <r>
    <n v="1273327508"/>
    <s v="43.500.899/0001-14"/>
    <s v="LARYSSA LIMA ALBUQUERQUE"/>
    <x v="0"/>
    <s v="Pipebot"/>
    <x v="779"/>
    <m/>
    <m/>
    <d v="2026-01-09T19:08:50"/>
    <d v="2026-01-10T19:09:12"/>
    <n v="1.000243"/>
    <d v="2026-01-14T19:10:07"/>
    <d v="2026-01-14T19:31:12"/>
    <n v="1.4630000000000001E-2"/>
    <m/>
    <m/>
    <m/>
    <d v="2026-01-10T19:09:12"/>
    <d v="2026-01-12T19:09:46"/>
    <n v="2.0003820000000001"/>
    <d v="2026-01-12T19:09:46"/>
    <d v="2026-01-14T19:10:07"/>
    <n v="2.0002430000000002"/>
    <m/>
    <m/>
    <m/>
    <m/>
    <m/>
    <n v="62.202474733800045"/>
    <x v="0"/>
    <x v="7"/>
    <x v="0"/>
    <n v="207"/>
    <n v="140"/>
    <n v="0.67632850241545894"/>
    <n v="0.67632850241545894"/>
    <n v="1"/>
  </r>
  <r>
    <n v="1276682594"/>
    <s v="35.744.737/0001-01"/>
    <s v="LAM COMERCIO E VAREJO - TRAVA INTERNA NOVA"/>
    <x v="5"/>
    <s v="Pipebot"/>
    <x v="780"/>
    <m/>
    <m/>
    <d v="2026-01-19T22:06:00"/>
    <d v="2026-02-19T12:35:57"/>
    <n v="1.964618"/>
    <d v="2026-01-24T22:08:15"/>
    <d v="2026-02-18T13:27:40"/>
    <n v="24.638483999999998"/>
    <m/>
    <m/>
    <m/>
    <d v="2026-01-20T22:06:47"/>
    <d v="2026-02-20T16:50:09"/>
    <n v="3.1770830000000001"/>
    <d v="2026-01-22T22:07:36"/>
    <d v="2026-01-24T22:08:15"/>
    <n v="8.1890630000000009"/>
    <m/>
    <m/>
    <m/>
    <m/>
    <m/>
    <n v="52.07987312500336"/>
    <x v="2"/>
    <x v="3"/>
    <x v="1"/>
    <n v="223"/>
    <n v="147"/>
    <n v="0.65919282511210764"/>
    <n v="0.65919282511210764"/>
    <n v="1"/>
  </r>
  <r>
    <n v="1257960566"/>
    <s v="51.316.649/0001-57"/>
    <s v="Larissa Brenga de Campos Aguado"/>
    <x v="5"/>
    <s v="Pipebot"/>
    <x v="781"/>
    <m/>
    <m/>
    <d v="2025-12-05T19:06:48"/>
    <d v="2026-02-18T13:24:50"/>
    <n v="3.0226850000000001"/>
    <d v="2025-12-10T19:08:51"/>
    <d v="2026-02-16T12:52:49"/>
    <n v="67.738866000000002"/>
    <m/>
    <m/>
    <m/>
    <d v="2025-12-06T19:07:28"/>
    <d v="2026-02-19T12:27:26"/>
    <n v="2.9607990000000002"/>
    <d v="2025-12-08T19:08:25"/>
    <d v="2025-12-10T19:08:51"/>
    <n v="9.3713540000000002"/>
    <m/>
    <m/>
    <m/>
    <m/>
    <m/>
    <n v="97.204135393520119"/>
    <x v="0"/>
    <x v="0"/>
    <x v="0"/>
    <n v="131"/>
    <n v="87"/>
    <n v="0.66412213740458015"/>
    <n v="0.66412213740458015"/>
    <n v="1"/>
  </r>
  <r>
    <n v="1285960668"/>
    <s v="61.457.431/0001-76"/>
    <s v="LARISSA GRAZIELE FERREIRA  "/>
    <x v="5"/>
    <s v="Pipebot"/>
    <x v="782"/>
    <m/>
    <m/>
    <d v="2026-02-05T19:03:15"/>
    <d v="2026-02-20T16:52:21"/>
    <n v="2.1740279999999998"/>
    <d v="2026-02-10T13:05:42"/>
    <d v="2026-02-19T12:42:10"/>
    <n v="8.9836569999999991"/>
    <m/>
    <m/>
    <m/>
    <d v="2026-02-06T19:03:40"/>
    <d v="2026-02-23T13:32:47"/>
    <n v="4.8616900000000003"/>
    <d v="2026-02-08T19:04:05"/>
    <d v="2026-02-10T13:05:41"/>
    <n v="5.0767819999999997"/>
    <m/>
    <m/>
    <m/>
    <m/>
    <m/>
    <n v="35.206283969906508"/>
    <x v="2"/>
    <x v="3"/>
    <x v="1"/>
    <n v="223"/>
    <n v="147"/>
    <n v="0.65919282511210764"/>
    <n v="0.65919282511210764"/>
    <n v="1"/>
  </r>
  <r>
    <n v="1262026303"/>
    <s v="59.200.342/0001-06"/>
    <s v="LIVIA MARIA WEST SANTOS"/>
    <x v="5"/>
    <s v="Pipebot"/>
    <x v="783"/>
    <m/>
    <m/>
    <d v="2025-12-15T19:04:58"/>
    <d v="2026-02-18T13:25:02"/>
    <n v="3.0228359999999999"/>
    <d v="2025-12-20T19:06:07"/>
    <d v="2026-02-16T12:52:58"/>
    <n v="57.740856000000001"/>
    <m/>
    <m/>
    <m/>
    <d v="2025-12-16T19:05:47"/>
    <d v="2026-02-19T12:27:38"/>
    <n v="2.9602080000000002"/>
    <d v="2025-12-18T19:05:55"/>
    <d v="2025-12-20T19:06:07"/>
    <n v="9.3710649999999998"/>
    <m/>
    <m/>
    <m/>
    <m/>
    <m/>
    <n v="87.205636504630093"/>
    <x v="0"/>
    <x v="7"/>
    <x v="0"/>
    <n v="207"/>
    <n v="140"/>
    <n v="0.67632850241545894"/>
    <n v="0.67632850241545894"/>
    <n v="1"/>
  </r>
  <r>
    <n v="1275000026"/>
    <s v="55.580.296/0001-59"/>
    <s v="Livia Petrovcic Abrahao"/>
    <x v="0"/>
    <s v="Pipebot"/>
    <x v="784"/>
    <m/>
    <m/>
    <m/>
    <m/>
    <m/>
    <m/>
    <m/>
    <m/>
    <m/>
    <m/>
    <m/>
    <m/>
    <m/>
    <m/>
    <m/>
    <m/>
    <m/>
    <m/>
    <m/>
    <m/>
    <m/>
    <m/>
    <n v="58.180500891212432"/>
    <x v="2"/>
    <x v="7"/>
    <x v="0"/>
    <n v="207"/>
    <n v="140"/>
    <n v="0.67632850241545894"/>
    <n v="0.67632850241545894"/>
    <n v="1"/>
  </r>
  <r>
    <n v="1215530611"/>
    <s v="55.721.098/0001-68"/>
    <s v="ld comércio varejista de produtos"/>
    <x v="5"/>
    <s v="Pipebot"/>
    <x v="785"/>
    <m/>
    <m/>
    <d v="2025-09-30T20:26:54"/>
    <d v="2026-02-13T16:00:38"/>
    <n v="2.1483219999999998"/>
    <d v="2025-10-05T20:29:46"/>
    <d v="2026-02-12T12:28:06"/>
    <n v="129.66549800000001"/>
    <m/>
    <m/>
    <m/>
    <d v="2025-10-01T20:27:57"/>
    <d v="2026-02-16T12:49:02"/>
    <n v="4.8675119999999996"/>
    <d v="2025-10-03T20:28:47"/>
    <d v="2025-10-05T20:29:46"/>
    <n v="12.356748"/>
    <m/>
    <m/>
    <m/>
    <m/>
    <m/>
    <n v="163.14873614582757"/>
    <x v="0"/>
    <x v="4"/>
    <x v="0"/>
    <n v="197"/>
    <n v="149"/>
    <n v="0.75634517766497467"/>
    <n v="0.75634517766497467"/>
    <n v="1"/>
  </r>
  <r>
    <n v="1213467415"/>
    <s v="55.721.098/0001-68"/>
    <s v="ld comércio varejista de produtos"/>
    <x v="5"/>
    <s v="Pipebot"/>
    <x v="786"/>
    <m/>
    <m/>
    <d v="2025-09-26T20:28:01"/>
    <d v="2026-02-13T16:00:34"/>
    <n v="2.148495"/>
    <d v="2025-10-01T20:30:08"/>
    <d v="2026-02-12T12:27:33"/>
    <n v="133.664861"/>
    <m/>
    <m/>
    <m/>
    <d v="2025-09-27T20:28:50"/>
    <d v="2026-02-16T12:48:58"/>
    <n v="4.8676500000000003"/>
    <d v="2025-09-29T20:29:51"/>
    <d v="2025-10-01T20:30:08"/>
    <n v="12.356296"/>
    <m/>
    <m/>
    <m/>
    <m/>
    <m/>
    <n v="167.14727715277695"/>
    <x v="0"/>
    <x v="4"/>
    <x v="0"/>
    <n v="197"/>
    <n v="149"/>
    <n v="0.75634517766497467"/>
    <n v="0.75634517766497467"/>
    <n v="1"/>
  </r>
  <r>
    <n v="1243425930"/>
    <s v="46.711.013/0001-70"/>
    <s v="Leandro Alessandre pessoa"/>
    <x v="0"/>
    <s v="Pipebot"/>
    <x v="787"/>
    <m/>
    <m/>
    <m/>
    <m/>
    <m/>
    <m/>
    <m/>
    <m/>
    <m/>
    <m/>
    <m/>
    <m/>
    <m/>
    <m/>
    <m/>
    <m/>
    <m/>
    <m/>
    <m/>
    <m/>
    <m/>
    <m/>
    <n v="125.20488025462691"/>
    <x v="0"/>
    <x v="6"/>
    <x v="0"/>
    <n v="195"/>
    <n v="132"/>
    <n v="0.67692307692307696"/>
    <n v="0.67692307692307696"/>
    <n v="1"/>
  </r>
  <r>
    <n v="1232432955"/>
    <s v="46.711.013/0001-70"/>
    <s v="Leandro Alessandre pessoa"/>
    <x v="0"/>
    <s v="Pipebot"/>
    <x v="788"/>
    <m/>
    <m/>
    <d v="2025-10-24T20:27:10"/>
    <d v="2026-02-13T16:01:03"/>
    <n v="2.1470600000000002"/>
    <d v="2025-10-29T20:29:56"/>
    <d v="2026-02-12T12:29:56"/>
    <n v="105.66665500000001"/>
    <d v="2026-02-19T18:11:14"/>
    <d v="2026-02-19T18:11:15"/>
    <n v="0"/>
    <d v="2025-10-25T20:27:49"/>
    <d v="2026-02-16T12:50:13"/>
    <n v="4.8682290000000004"/>
    <d v="2025-10-27T20:28:54"/>
    <d v="2026-02-19T18:11:13"/>
    <n v="5.2236229999999999"/>
    <m/>
    <m/>
    <m/>
    <m/>
    <m/>
    <n v="139.14814376157301"/>
    <x v="0"/>
    <x v="6"/>
    <x v="0"/>
    <n v="195"/>
    <n v="132"/>
    <n v="0.67692307692307696"/>
    <n v="0.67692307692307696"/>
    <n v="1"/>
  </r>
  <r>
    <n v="1215956393"/>
    <s v="53.191.253/0001-56"/>
    <s v="Leandro Aparecido Dias de Souza"/>
    <x v="0"/>
    <s v="Pipebot"/>
    <x v="789"/>
    <m/>
    <m/>
    <m/>
    <m/>
    <m/>
    <m/>
    <m/>
    <m/>
    <m/>
    <m/>
    <m/>
    <m/>
    <m/>
    <m/>
    <m/>
    <m/>
    <m/>
    <m/>
    <m/>
    <m/>
    <m/>
    <m/>
    <n v="162.35653273148637"/>
    <x v="0"/>
    <x v="4"/>
    <x v="0"/>
    <n v="197"/>
    <n v="149"/>
    <n v="0.75634517766497467"/>
    <n v="0.75634517766497467"/>
    <n v="1"/>
  </r>
  <r>
    <n v="1283849413"/>
    <s v="53.191.253/0001-56"/>
    <s v="Leandro Aparecido Dias de Souza"/>
    <x v="0"/>
    <s v="Pipebot"/>
    <x v="790"/>
    <m/>
    <m/>
    <m/>
    <m/>
    <m/>
    <m/>
    <m/>
    <m/>
    <m/>
    <m/>
    <m/>
    <m/>
    <m/>
    <m/>
    <m/>
    <m/>
    <m/>
    <m/>
    <m/>
    <m/>
    <m/>
    <m/>
    <n v="38.455312407408201"/>
    <x v="2"/>
    <x v="3"/>
    <x v="1"/>
    <n v="223"/>
    <n v="147"/>
    <n v="0.65919282511210764"/>
    <n v="0.65919282511210764"/>
    <n v="1"/>
  </r>
  <r>
    <n v="1222690179"/>
    <s v="53.191.253/0001-56"/>
    <s v="Leandro Aparecido Dias de Souza"/>
    <x v="0"/>
    <s v="Pipebot"/>
    <x v="791"/>
    <m/>
    <m/>
    <d v="2025-10-11T15:25:47"/>
    <d v="2025-10-12T15:26:00"/>
    <n v="1.0001500000000001"/>
    <m/>
    <m/>
    <m/>
    <m/>
    <m/>
    <m/>
    <d v="2025-10-12T15:26:00"/>
    <d v="2025-10-14T15:27:45"/>
    <n v="2.0012150000000002"/>
    <d v="2025-10-14T15:27:45"/>
    <d v="2025-10-14T19:48:21"/>
    <n v="0.18096100000000001"/>
    <m/>
    <m/>
    <m/>
    <m/>
    <m/>
    <n v="152.35747488427296"/>
    <x v="0"/>
    <x v="4"/>
    <x v="0"/>
    <n v="197"/>
    <n v="149"/>
    <n v="0.75634517766497467"/>
    <n v="0.75634517766497467"/>
    <n v="1"/>
  </r>
  <r>
    <n v="1300427797"/>
    <s v="43.146.173/0001-25"/>
    <s v="Leandro Augusto Teixeira"/>
    <x v="7"/>
    <s v="Pipebot"/>
    <x v="792"/>
    <m/>
    <m/>
    <m/>
    <m/>
    <m/>
    <m/>
    <m/>
    <m/>
    <m/>
    <m/>
    <m/>
    <m/>
    <m/>
    <m/>
    <m/>
    <m/>
    <m/>
    <m/>
    <m/>
    <m/>
    <m/>
    <m/>
    <n v="6.2034604629589012"/>
    <x v="4"/>
    <x v="1"/>
    <x v="1"/>
    <n v="189"/>
    <n v="33"/>
    <n v="0.17460317460317459"/>
    <n v="0.17460317460317459"/>
    <n v="1"/>
  </r>
  <r>
    <n v="1183424880"/>
    <s v="48.727.774/0001-45"/>
    <s v="Leandro da silva costa"/>
    <x v="0"/>
    <s v="Pipebot"/>
    <x v="793"/>
    <m/>
    <m/>
    <d v="2025-08-08T20:29:59"/>
    <d v="2025-08-09T20:30:39"/>
    <n v="1.0004630000000001"/>
    <m/>
    <m/>
    <m/>
    <m/>
    <m/>
    <m/>
    <d v="2025-08-09T20:30:39"/>
    <d v="2025-08-11T19:56:13"/>
    <n v="1.9760759999999999"/>
    <m/>
    <m/>
    <m/>
    <m/>
    <m/>
    <m/>
    <m/>
    <m/>
    <n v="216.14731181712705"/>
    <x v="0"/>
    <x v="5"/>
    <x v="0"/>
    <n v="177"/>
    <n v="130"/>
    <n v="0.7344632768361582"/>
    <n v="0.7344632768361582"/>
    <n v="1"/>
  </r>
  <r>
    <n v="1181276073"/>
    <s v="48.727.774/0001-45"/>
    <s v="Leandro da Silva Costa --&gt; Totem 30C V1"/>
    <x v="0"/>
    <s v="Pipebot"/>
    <x v="794"/>
    <m/>
    <m/>
    <m/>
    <m/>
    <m/>
    <m/>
    <m/>
    <m/>
    <m/>
    <m/>
    <m/>
    <m/>
    <m/>
    <m/>
    <m/>
    <m/>
    <m/>
    <m/>
    <m/>
    <m/>
    <m/>
    <m/>
    <n v="219.14836906250275"/>
    <x v="0"/>
    <x v="5"/>
    <x v="0"/>
    <n v="177"/>
    <n v="130"/>
    <n v="0.7344632768361582"/>
    <n v="0.7344632768361582"/>
    <n v="1"/>
  </r>
  <r>
    <n v="1208626390"/>
    <s v="55.194.053/0001-82"/>
    <s v="Leandro da Silva Pestana"/>
    <x v="0"/>
    <s v="Pipebot"/>
    <x v="795"/>
    <m/>
    <m/>
    <m/>
    <m/>
    <m/>
    <m/>
    <m/>
    <m/>
    <m/>
    <m/>
    <m/>
    <m/>
    <m/>
    <m/>
    <m/>
    <m/>
    <m/>
    <m/>
    <m/>
    <m/>
    <m/>
    <m/>
    <n v="174.98196229166933"/>
    <x v="0"/>
    <x v="4"/>
    <x v="0"/>
    <n v="197"/>
    <n v="149"/>
    <n v="0.75634517766497467"/>
    <n v="0.75634517766497467"/>
    <n v="1"/>
  </r>
  <r>
    <n v="1258998316"/>
    <s v="55.194.053/0001-82"/>
    <s v="Leandro da Silva Pestana"/>
    <x v="0"/>
    <s v="Pipebot"/>
    <x v="796"/>
    <m/>
    <m/>
    <d v="2025-12-08T22:07:01"/>
    <d v="2025-12-09T22:07:53"/>
    <n v="1.0005900000000001"/>
    <d v="2025-12-13T22:09:38"/>
    <d v="2025-12-19T14:12:19"/>
    <n v="5.6685299999999996"/>
    <m/>
    <m/>
    <m/>
    <d v="2025-12-09T22:07:53"/>
    <d v="2025-12-11T22:08:47"/>
    <n v="2.0006249999999999"/>
    <d v="2025-12-11T22:08:47"/>
    <d v="2025-12-13T22:09:38"/>
    <n v="2.0005790000000001"/>
    <m/>
    <m/>
    <m/>
    <m/>
    <m/>
    <n v="94.078616226848681"/>
    <x v="0"/>
    <x v="0"/>
    <x v="0"/>
    <n v="131"/>
    <n v="87"/>
    <n v="0.66412213740458015"/>
    <n v="0.66412213740458015"/>
    <n v="1"/>
  </r>
  <r>
    <n v="1236816395"/>
    <s v="55.194.053/0001-82"/>
    <s v="Leandro da Silva Pestana"/>
    <x v="0"/>
    <s v="Pipebot"/>
    <x v="797"/>
    <m/>
    <m/>
    <d v="2025-10-29T22:04:55"/>
    <d v="2025-10-30T22:05:41"/>
    <n v="1.000532"/>
    <m/>
    <m/>
    <m/>
    <m/>
    <m/>
    <m/>
    <d v="2025-10-30T22:05:41"/>
    <d v="2025-11-01T22:05:58"/>
    <n v="2.0001850000000001"/>
    <d v="2025-11-01T22:05:58"/>
    <d v="2025-11-03T20:19:16"/>
    <n v="1.9259029999999999"/>
    <m/>
    <m/>
    <m/>
    <m/>
    <m/>
    <n v="134.08025270832877"/>
    <x v="0"/>
    <x v="6"/>
    <x v="0"/>
    <n v="195"/>
    <n v="132"/>
    <n v="0.67692307692307696"/>
    <n v="0.67692307692307696"/>
    <n v="1"/>
  </r>
  <r>
    <n v="1181276218"/>
    <s v="50.209.320/0001-24"/>
    <s v="Leandro David Moreira da Silva"/>
    <x v="0"/>
    <s v="Pipebot"/>
    <x v="798"/>
    <m/>
    <m/>
    <m/>
    <m/>
    <m/>
    <m/>
    <m/>
    <m/>
    <m/>
    <m/>
    <m/>
    <m/>
    <m/>
    <m/>
    <m/>
    <m/>
    <m/>
    <m/>
    <m/>
    <m/>
    <m/>
    <m/>
    <n v="219.14817431713163"/>
    <x v="0"/>
    <x v="5"/>
    <x v="0"/>
    <n v="177"/>
    <n v="130"/>
    <n v="0.7344632768361582"/>
    <n v="0.7344632768361582"/>
    <n v="1"/>
  </r>
  <r>
    <n v="1181276592"/>
    <s v="07.120.716/0001-71"/>
    <s v="Leandro de carvalho"/>
    <x v="8"/>
    <s v="Pipebot"/>
    <x v="799"/>
    <m/>
    <m/>
    <d v="2025-08-05T20:28:00"/>
    <d v="2025-08-06T20:28:47"/>
    <n v="1.0005440000000001"/>
    <d v="2025-08-10T20:30:23"/>
    <d v="2025-11-03T18:45:00"/>
    <n v="84.926817"/>
    <m/>
    <m/>
    <m/>
    <d v="2025-08-06T20:28:47"/>
    <d v="2025-08-08T20:30:01"/>
    <n v="2.000845"/>
    <d v="2025-08-08T20:30:01"/>
    <d v="2025-08-10T20:30:23"/>
    <n v="2.0002430000000002"/>
    <m/>
    <m/>
    <m/>
    <m/>
    <m/>
    <n v="219.14774444445356"/>
    <x v="0"/>
    <x v="5"/>
    <x v="0"/>
    <n v="177"/>
    <n v="130"/>
    <n v="0.7344632768361582"/>
    <n v="0.7344632768361582"/>
    <n v="1"/>
  </r>
  <r>
    <n v="1221522905"/>
    <s v="49.319.695/0001-68"/>
    <s v="Leandro de Souza Ferreira"/>
    <x v="0"/>
    <s v="Pipebot"/>
    <x v="800"/>
    <m/>
    <m/>
    <m/>
    <m/>
    <m/>
    <m/>
    <m/>
    <m/>
    <m/>
    <m/>
    <m/>
    <m/>
    <m/>
    <m/>
    <m/>
    <m/>
    <m/>
    <m/>
    <m/>
    <m/>
    <m/>
    <m/>
    <n v="154.14818817129708"/>
    <x v="0"/>
    <x v="4"/>
    <x v="0"/>
    <n v="197"/>
    <n v="149"/>
    <n v="0.75634517766497467"/>
    <n v="0.75634517766497467"/>
    <n v="1"/>
  </r>
  <r>
    <n v="1301409358"/>
    <s v="49.318.448/0001-47"/>
    <s v="LEANDRO MEDEIROS - 2 totens 30C"/>
    <x v="7"/>
    <s v="Henrique Weber Soeiro "/>
    <x v="801"/>
    <m/>
    <m/>
    <m/>
    <m/>
    <m/>
    <m/>
    <m/>
    <m/>
    <m/>
    <m/>
    <m/>
    <m/>
    <m/>
    <m/>
    <m/>
    <m/>
    <m/>
    <m/>
    <m/>
    <m/>
    <m/>
    <m/>
    <n v="3.408072337959311"/>
    <x v="4"/>
    <x v="1"/>
    <x v="1"/>
    <n v="189"/>
    <n v="33"/>
    <n v="0.17460317460317459"/>
    <n v="0.17460317460317459"/>
    <n v="1"/>
  </r>
  <r>
    <n v="1194088777"/>
    <s v="49.592.500/0001-59"/>
    <s v="Leandro Santana"/>
    <x v="2"/>
    <s v="Pipebot"/>
    <x v="802"/>
    <m/>
    <m/>
    <d v="2025-08-27T00:23:53"/>
    <d v="2026-02-12T12:26:05"/>
    <n v="1.6451499999999999"/>
    <d v="2025-09-01T00:26:38"/>
    <d v="2026-02-11T20:58:02"/>
    <n v="163.85512700000001"/>
    <d v="2026-02-19T18:48:33"/>
    <m/>
    <n v="7.1063999999999998"/>
    <d v="2025-08-28T00:24:52"/>
    <d v="2026-02-13T15:59:48"/>
    <n v="3.1490629999999999"/>
    <d v="2025-08-30T00:25:48"/>
    <d v="2026-02-19T18:48:33"/>
    <n v="8.1177550000000007"/>
    <m/>
    <m/>
    <m/>
    <m/>
    <m/>
    <n v="197.98369829862349"/>
    <x v="0"/>
    <x v="2"/>
    <x v="0"/>
    <n v="146"/>
    <n v="112"/>
    <n v="0.76712328767123283"/>
    <n v="0.76712328767123283"/>
    <n v="1"/>
  </r>
  <r>
    <n v="1220176458"/>
    <s v="53.856.924/0001-50"/>
    <s v="Leandro tranquilino"/>
    <x v="0"/>
    <s v="Pipebot"/>
    <x v="803"/>
    <m/>
    <m/>
    <m/>
    <m/>
    <m/>
    <m/>
    <m/>
    <m/>
    <m/>
    <m/>
    <m/>
    <m/>
    <m/>
    <m/>
    <m/>
    <m/>
    <m/>
    <m/>
    <m/>
    <m/>
    <m/>
    <m/>
    <n v="156.17413726852101"/>
    <x v="0"/>
    <x v="4"/>
    <x v="0"/>
    <n v="197"/>
    <n v="149"/>
    <n v="0.75634517766497467"/>
    <n v="0.75634517766497467"/>
    <n v="1"/>
  </r>
  <r>
    <n v="1212792785"/>
    <s v="13.603.718/0001-14"/>
    <s v="Leonardo Rodrigues de Barros Alves Ferreira"/>
    <x v="0"/>
    <s v="Pipebot"/>
    <x v="804"/>
    <m/>
    <m/>
    <m/>
    <m/>
    <m/>
    <m/>
    <m/>
    <m/>
    <m/>
    <m/>
    <m/>
    <m/>
    <m/>
    <m/>
    <m/>
    <m/>
    <m/>
    <m/>
    <m/>
    <m/>
    <m/>
    <m/>
    <n v="168.14678620370978"/>
    <x v="0"/>
    <x v="4"/>
    <x v="0"/>
    <n v="197"/>
    <n v="149"/>
    <n v="0.75634517766497467"/>
    <n v="0.75634517766497467"/>
    <n v="1"/>
  </r>
  <r>
    <n v="1215354490"/>
    <s v="13.603.718/0001-14"/>
    <s v="Leonardo Rodrigues de Barros Alves Ferreira / ler os comentários"/>
    <x v="0"/>
    <s v="Pipebot"/>
    <x v="805"/>
    <m/>
    <m/>
    <m/>
    <m/>
    <m/>
    <m/>
    <m/>
    <m/>
    <m/>
    <m/>
    <m/>
    <m/>
    <m/>
    <m/>
    <m/>
    <m/>
    <m/>
    <m/>
    <m/>
    <m/>
    <m/>
    <m/>
    <n v="163.28283752314746"/>
    <x v="0"/>
    <x v="4"/>
    <x v="0"/>
    <n v="197"/>
    <n v="149"/>
    <n v="0.75634517766497467"/>
    <n v="0.75634517766497467"/>
    <n v="1"/>
  </r>
  <r>
    <n v="1174283264"/>
    <s v="44.784.698/0001-59"/>
    <s v="Lidiane Soares Henriques"/>
    <x v="0"/>
    <s v="Pipebot"/>
    <x v="806"/>
    <m/>
    <m/>
    <d v="2025-07-24T20:26:40"/>
    <d v="2025-07-25T20:27:07"/>
    <n v="1.0003010000000001"/>
    <d v="2025-07-29T20:28:57"/>
    <d v="2025-08-04T12:10:54"/>
    <n v="5.6541199999999998"/>
    <d v="2025-08-04T12:10:54"/>
    <d v="2025-08-04T12:11:00"/>
    <n v="6.8999999999999997E-5"/>
    <d v="2025-07-25T20:27:07"/>
    <d v="2025-07-27T20:28:04"/>
    <n v="2.0006599999999999"/>
    <d v="2025-07-27T20:28:04"/>
    <d v="2025-07-29T20:28:57"/>
    <n v="2.000613"/>
    <m/>
    <m/>
    <m/>
    <m/>
    <m/>
    <n v="231.14850473379192"/>
    <x v="0"/>
    <x v="5"/>
    <x v="0"/>
    <n v="177"/>
    <n v="130"/>
    <n v="0.7344632768361582"/>
    <n v="0.7344632768361582"/>
    <n v="1"/>
  </r>
  <r>
    <n v="1184722080"/>
    <s v="50.319.021/0001-42"/>
    <s v="Lidiomar Arcanjo de Novais "/>
    <x v="0"/>
    <s v="Pipebot"/>
    <x v="807"/>
    <m/>
    <m/>
    <m/>
    <m/>
    <m/>
    <m/>
    <m/>
    <m/>
    <m/>
    <m/>
    <m/>
    <m/>
    <m/>
    <m/>
    <m/>
    <m/>
    <m/>
    <m/>
    <m/>
    <m/>
    <m/>
    <m/>
    <n v="213.1476865161967"/>
    <x v="0"/>
    <x v="5"/>
    <x v="0"/>
    <n v="177"/>
    <n v="130"/>
    <n v="0.7344632768361582"/>
    <n v="0.7344632768361582"/>
    <n v="1"/>
  </r>
  <r>
    <n v="1255860003"/>
    <s v="50.319.021/0001-42"/>
    <s v="Lidiomar Arcanjo de Novais "/>
    <x v="0"/>
    <s v="Pipebot"/>
    <x v="808"/>
    <m/>
    <m/>
    <d v="2025-12-01T19:03:42"/>
    <d v="2025-12-02T19:04:38"/>
    <n v="1.000648"/>
    <d v="2025-12-06T19:05:30"/>
    <d v="2025-12-20T12:49:36"/>
    <n v="13.738958"/>
    <m/>
    <m/>
    <m/>
    <d v="2025-12-02T19:04:38"/>
    <d v="2025-12-04T19:05:18"/>
    <n v="2.000451"/>
    <d v="2025-12-04T19:05:18"/>
    <d v="2025-12-06T19:05:30"/>
    <n v="2.000127"/>
    <m/>
    <m/>
    <m/>
    <m/>
    <m/>
    <n v="101.20605781248742"/>
    <x v="0"/>
    <x v="0"/>
    <x v="0"/>
    <n v="131"/>
    <n v="87"/>
    <n v="0.66412213740458015"/>
    <n v="0.66412213740458015"/>
    <n v="1"/>
  </r>
  <r>
    <n v="1246331096"/>
    <s v="58.498.090/0001-72"/>
    <s v="Lílian"/>
    <x v="0"/>
    <s v="Pipebot"/>
    <x v="809"/>
    <m/>
    <m/>
    <d v="2025-11-11T19:04:16"/>
    <d v="2025-11-12T19:04:56"/>
    <n v="1.000451"/>
    <d v="2025-11-16T19:06:13"/>
    <d v="2025-12-20T12:30:11"/>
    <n v="33.724964999999997"/>
    <m/>
    <m/>
    <m/>
    <d v="2025-11-12T19:04:56"/>
    <d v="2025-11-14T19:05:14"/>
    <n v="2.0002080000000002"/>
    <d v="2025-11-14T19:05:14"/>
    <d v="2025-11-16T19:06:13"/>
    <n v="2.000683"/>
    <m/>
    <m/>
    <m/>
    <m/>
    <m/>
    <n v="121.20602662036981"/>
    <x v="0"/>
    <x v="6"/>
    <x v="0"/>
    <n v="195"/>
    <n v="132"/>
    <n v="0.67692307692307696"/>
    <n v="0.67692307692307696"/>
    <n v="1"/>
  </r>
  <r>
    <n v="1222689919"/>
    <s v="56.945.621/0001-00"/>
    <s v="Lilian Rolemberg Ferreira"/>
    <x v="0"/>
    <s v="Pipebot"/>
    <x v="810"/>
    <m/>
    <m/>
    <d v="2025-10-11T15:25:47"/>
    <d v="2025-10-12T15:26:00"/>
    <n v="1.0001389999999999"/>
    <d v="2025-10-16T15:28:37"/>
    <d v="2025-10-20T19:38:17"/>
    <n v="4.173368"/>
    <m/>
    <m/>
    <m/>
    <d v="2025-10-12T15:26:00"/>
    <d v="2025-10-14T15:27:45"/>
    <n v="2.0012150000000002"/>
    <d v="2025-10-14T15:27:45"/>
    <d v="2025-10-16T15:28:37"/>
    <n v="2.0006020000000002"/>
    <m/>
    <m/>
    <m/>
    <m/>
    <m/>
    <n v="152.3578104166736"/>
    <x v="0"/>
    <x v="4"/>
    <x v="0"/>
    <n v="197"/>
    <n v="149"/>
    <n v="0.75634517766497467"/>
    <n v="0.75634517766497467"/>
    <n v="1"/>
  </r>
  <r>
    <n v="1242500426"/>
    <s v="49.950.267/0001-39"/>
    <s v="LimaStore Comércio de Produtos Alimentícios "/>
    <x v="8"/>
    <s v="Pipebot"/>
    <x v="811"/>
    <m/>
    <m/>
    <m/>
    <m/>
    <m/>
    <m/>
    <m/>
    <m/>
    <m/>
    <m/>
    <m/>
    <m/>
    <m/>
    <m/>
    <m/>
    <m/>
    <m/>
    <m/>
    <m/>
    <m/>
    <m/>
    <m/>
    <n v="126.20415112269256"/>
    <x v="0"/>
    <x v="6"/>
    <x v="0"/>
    <n v="195"/>
    <n v="132"/>
    <n v="0.67692307692307696"/>
    <n v="0.67692307692307696"/>
    <n v="1"/>
  </r>
  <r>
    <n v="1279343903"/>
    <s v="48.423.484/0001-08"/>
    <s v="Lissandra Gonçalves de Freitas (leitor) - acionado sofia 06/02"/>
    <x v="0"/>
    <s v="Pipebot"/>
    <x v="812"/>
    <m/>
    <m/>
    <d v="2026-01-23T13:06:39"/>
    <d v="2026-02-20T16:51:21"/>
    <n v="2.1762619999999999"/>
    <d v="2026-01-28T13:07:32"/>
    <d v="2026-02-19T12:37:43"/>
    <n v="21.979293999999999"/>
    <m/>
    <m/>
    <m/>
    <d v="2026-01-24T13:06:50"/>
    <d v="2026-02-20T20:30:52"/>
    <n v="2.1528700000000001"/>
    <d v="2026-01-26T13:07:28"/>
    <d v="2026-01-28T13:07:32"/>
    <n v="2.0000460000000002"/>
    <m/>
    <m/>
    <m/>
    <m/>
    <m/>
    <n v="48.454329826388857"/>
    <x v="2"/>
    <x v="3"/>
    <x v="1"/>
    <n v="223"/>
    <n v="147"/>
    <n v="0.65919282511210764"/>
    <n v="0.65919282511210764"/>
    <n v="1"/>
  </r>
  <r>
    <n v="1265627822"/>
    <s v="31.462.233/0001-30"/>
    <s v="Lucas Ferri dos Santos Souza"/>
    <x v="0"/>
    <s v="Pipebot"/>
    <x v="813"/>
    <m/>
    <m/>
    <d v="2025-12-22T22:09:12"/>
    <d v="2025-12-23T22:09:14"/>
    <n v="1.0000119999999999"/>
    <d v="2025-12-27T22:09:49"/>
    <d v="2026-01-12T16:44:24"/>
    <n v="15.774016"/>
    <m/>
    <m/>
    <m/>
    <d v="2025-12-23T22:09:14"/>
    <d v="2025-12-25T22:09:24"/>
    <n v="2.0001159999999998"/>
    <d v="2025-12-25T22:09:24"/>
    <d v="2025-12-27T22:09:49"/>
    <n v="2.000289"/>
    <m/>
    <m/>
    <m/>
    <m/>
    <m/>
    <n v="80.077458888888941"/>
    <x v="0"/>
    <x v="7"/>
    <x v="0"/>
    <n v="207"/>
    <n v="140"/>
    <n v="0.67632850241545894"/>
    <n v="0.67632850241545894"/>
    <n v="1"/>
  </r>
  <r>
    <n v="1270951550"/>
    <s v="53.521.261/0001-13"/>
    <s v="Lucas Prada Christovam"/>
    <x v="0"/>
    <s v="Pipebot"/>
    <x v="814"/>
    <m/>
    <m/>
    <m/>
    <m/>
    <m/>
    <m/>
    <m/>
    <m/>
    <m/>
    <m/>
    <m/>
    <m/>
    <m/>
    <m/>
    <m/>
    <m/>
    <m/>
    <m/>
    <m/>
    <m/>
    <m/>
    <m/>
    <n v="68.403796481477912"/>
    <x v="0"/>
    <x v="7"/>
    <x v="0"/>
    <n v="207"/>
    <n v="140"/>
    <n v="0.67632850241545894"/>
    <n v="0.67632850241545894"/>
    <n v="1"/>
  </r>
  <r>
    <n v="1223687034"/>
    <s v="44.913.543/0001-75"/>
    <s v="Loja das Plantas Ltda"/>
    <x v="0"/>
    <s v="Pipebot"/>
    <x v="815"/>
    <m/>
    <m/>
    <m/>
    <m/>
    <m/>
    <m/>
    <m/>
    <m/>
    <m/>
    <m/>
    <m/>
    <m/>
    <m/>
    <m/>
    <m/>
    <m/>
    <m/>
    <m/>
    <m/>
    <m/>
    <m/>
    <m/>
    <n v="150.35763821760338"/>
    <x v="0"/>
    <x v="4"/>
    <x v="0"/>
    <n v="197"/>
    <n v="149"/>
    <n v="0.75634517766497467"/>
    <n v="0.75634517766497467"/>
    <n v="1"/>
  </r>
  <r>
    <n v="1190507890"/>
    <s v="45.094.457/0001-40"/>
    <s v="Lojas Aguiar LTDA"/>
    <x v="0"/>
    <s v="Pipebot"/>
    <x v="816"/>
    <m/>
    <m/>
    <m/>
    <m/>
    <m/>
    <m/>
    <m/>
    <m/>
    <m/>
    <m/>
    <m/>
    <m/>
    <m/>
    <m/>
    <m/>
    <m/>
    <m/>
    <m/>
    <m/>
    <m/>
    <m/>
    <m/>
    <n v="203.14931578704272"/>
    <x v="0"/>
    <x v="2"/>
    <x v="0"/>
    <n v="146"/>
    <n v="112"/>
    <n v="0.76712328767123283"/>
    <n v="0.76712328767123283"/>
    <n v="1"/>
  </r>
  <r>
    <n v="1202541484"/>
    <s v="60.727.403/0001-69"/>
    <s v="LOPES VARELLA COMÉRCIO"/>
    <x v="0"/>
    <s v="Pipebot"/>
    <x v="817"/>
    <m/>
    <m/>
    <m/>
    <m/>
    <m/>
    <m/>
    <m/>
    <m/>
    <m/>
    <m/>
    <m/>
    <m/>
    <m/>
    <m/>
    <m/>
    <m/>
    <m/>
    <m/>
    <m/>
    <m/>
    <m/>
    <m/>
    <n v="184.15015510417288"/>
    <x v="0"/>
    <x v="2"/>
    <x v="0"/>
    <n v="146"/>
    <n v="112"/>
    <n v="0.76712328767123283"/>
    <n v="0.76712328767123283"/>
    <n v="1"/>
  </r>
  <r>
    <n v="1285080680"/>
    <s v="49.218.265/0001-50"/>
    <s v="Lourencio Lopes do Nascimento"/>
    <x v="0"/>
    <s v="Pipebot"/>
    <x v="818"/>
    <m/>
    <m/>
    <m/>
    <m/>
    <m/>
    <m/>
    <m/>
    <m/>
    <m/>
    <m/>
    <m/>
    <m/>
    <m/>
    <m/>
    <m/>
    <m/>
    <m/>
    <m/>
    <m/>
    <m/>
    <m/>
    <m/>
    <n v="36.373242951391148"/>
    <x v="2"/>
    <x v="3"/>
    <x v="1"/>
    <n v="223"/>
    <n v="147"/>
    <n v="0.65919282511210764"/>
    <n v="0.65919282511210764"/>
    <n v="1"/>
  </r>
  <r>
    <n v="1231463063"/>
    <s v="58.354.969/0001-40"/>
    <s v="Luana de Lima Bernardo Cruz "/>
    <x v="0"/>
    <s v="Pipebot"/>
    <x v="819"/>
    <m/>
    <m/>
    <d v="2025-10-23T20:27:59"/>
    <d v="2025-10-24T20:28:07"/>
    <n v="1.000081"/>
    <m/>
    <m/>
    <m/>
    <m/>
    <m/>
    <m/>
    <d v="2025-10-24T20:28:07"/>
    <d v="2025-10-26T20:28:17"/>
    <n v="2.0001039999999999"/>
    <d v="2025-10-26T20:28:17"/>
    <d v="2025-10-27T18:19:06"/>
    <n v="0.91028900000000001"/>
    <m/>
    <m/>
    <m/>
    <m/>
    <m/>
    <n v="140.14749415509868"/>
    <x v="0"/>
    <x v="6"/>
    <x v="0"/>
    <n v="195"/>
    <n v="132"/>
    <n v="0.67692307692307696"/>
    <n v="0.67692307692307696"/>
    <n v="1"/>
  </r>
  <r>
    <n v="1191398408"/>
    <s v="32.746.480/0001-20"/>
    <s v="LUANA STHEFANY NUNES RENALDINI"/>
    <x v="0"/>
    <s v="Pipebot"/>
    <x v="820"/>
    <m/>
    <m/>
    <m/>
    <m/>
    <m/>
    <m/>
    <m/>
    <m/>
    <m/>
    <m/>
    <m/>
    <m/>
    <m/>
    <m/>
    <m/>
    <m/>
    <m/>
    <m/>
    <m/>
    <m/>
    <m/>
    <m/>
    <n v="202.28643937499874"/>
    <x v="0"/>
    <x v="2"/>
    <x v="0"/>
    <n v="146"/>
    <n v="112"/>
    <n v="0.76712328767123283"/>
    <n v="0.76712328767123283"/>
    <n v="1"/>
  </r>
  <r>
    <n v="1183390911"/>
    <s v="32.746.480/0001-20"/>
    <s v="Luana Sthefany Nunes Renaldini "/>
    <x v="0"/>
    <s v="Pipebot"/>
    <x v="821"/>
    <m/>
    <m/>
    <m/>
    <m/>
    <m/>
    <m/>
    <m/>
    <m/>
    <m/>
    <m/>
    <m/>
    <m/>
    <m/>
    <m/>
    <m/>
    <m/>
    <m/>
    <m/>
    <m/>
    <m/>
    <m/>
    <m/>
    <n v="216.17455232638895"/>
    <x v="0"/>
    <x v="5"/>
    <x v="0"/>
    <n v="177"/>
    <n v="130"/>
    <n v="0.7344632768361582"/>
    <n v="0.7344632768361582"/>
    <n v="1"/>
  </r>
  <r>
    <n v="1200310849"/>
    <s v="58.073.758/0001-30"/>
    <s v="Lucas Alves"/>
    <x v="0"/>
    <s v="Pipebot"/>
    <x v="822"/>
    <m/>
    <m/>
    <d v="2025-09-09T16:37:26"/>
    <d v="2025-09-10T16:37:32"/>
    <n v="1.0000690000000001"/>
    <d v="2025-09-14T16:37:53"/>
    <d v="2025-09-17T20:57:17"/>
    <n v="3.180139"/>
    <m/>
    <m/>
    <m/>
    <d v="2025-09-10T16:37:32"/>
    <d v="2025-09-12T16:37:39"/>
    <n v="2.0000689999999999"/>
    <d v="2025-09-12T16:37:39"/>
    <d v="2025-09-14T16:37:53"/>
    <n v="2.000162"/>
    <m/>
    <m/>
    <m/>
    <m/>
    <m/>
    <n v="188.1484218171172"/>
    <x v="0"/>
    <x v="2"/>
    <x v="0"/>
    <n v="146"/>
    <n v="112"/>
    <n v="0.76712328767123283"/>
    <n v="0.76712328767123283"/>
    <n v="1"/>
  </r>
  <r>
    <n v="1200310916"/>
    <s v="58.073.758/0001-30"/>
    <s v="Lucas Alves "/>
    <x v="0"/>
    <s v="Pipebot"/>
    <x v="823"/>
    <m/>
    <m/>
    <d v="2025-09-05T20:26:40"/>
    <d v="2025-09-06T20:27:24"/>
    <n v="1.0004980000000001"/>
    <d v="2025-09-10T20:27:57"/>
    <d v="2025-09-17T20:55:29"/>
    <n v="7.01912"/>
    <m/>
    <m/>
    <m/>
    <d v="2025-09-06T20:27:24"/>
    <d v="2025-09-08T20:27:30"/>
    <n v="2.0000580000000001"/>
    <d v="2025-09-08T20:27:30"/>
    <d v="2025-09-10T20:27:57"/>
    <n v="2.0003129999999998"/>
    <m/>
    <m/>
    <m/>
    <m/>
    <m/>
    <n v="188.14836819443735"/>
    <x v="0"/>
    <x v="2"/>
    <x v="0"/>
    <n v="146"/>
    <n v="112"/>
    <n v="0.76712328767123283"/>
    <n v="0.76712328767123283"/>
    <n v="1"/>
  </r>
  <r>
    <n v="1171971888"/>
    <s v="42.448.966/0001-36"/>
    <s v="Lucas de rezende Marega"/>
    <x v="8"/>
    <s v="Pipebot"/>
    <x v="824"/>
    <m/>
    <m/>
    <d v="2025-07-18T20:28:13"/>
    <d v="2025-07-19T20:28:33"/>
    <n v="1.0002310000000001"/>
    <d v="2025-07-23T20:29:23"/>
    <d v="2025-11-03T18:45:26"/>
    <n v="102.927813"/>
    <m/>
    <m/>
    <m/>
    <d v="2025-07-19T20:28:33"/>
    <d v="2025-07-21T20:29:08"/>
    <n v="2.000394"/>
    <d v="2025-07-21T20:29:08"/>
    <d v="2025-07-23T20:29:23"/>
    <n v="2.0001739999999999"/>
    <m/>
    <m/>
    <m/>
    <m/>
    <m/>
    <n v="237.14729329860711"/>
    <x v="0"/>
    <x v="5"/>
    <x v="0"/>
    <n v="177"/>
    <n v="130"/>
    <n v="0.7344632768361582"/>
    <n v="0.7344632768361582"/>
    <n v="1"/>
  </r>
  <r>
    <n v="1286721641"/>
    <s v="42.448.966/0001-36"/>
    <s v="LUCAS DE REZENDE MAREGA"/>
    <x v="0"/>
    <s v="Pipebot"/>
    <x v="825"/>
    <m/>
    <m/>
    <d v="2026-02-06T19:07:26"/>
    <d v="2026-02-07T19:08:18"/>
    <n v="1.0005900000000001"/>
    <m/>
    <m/>
    <m/>
    <m/>
    <m/>
    <m/>
    <d v="2026-02-07T19:08:18"/>
    <d v="2026-02-09T19:09:14"/>
    <n v="2.000648"/>
    <d v="2026-02-09T19:09:14"/>
    <d v="2026-02-10T12:32:20"/>
    <n v="0.72437499999999999"/>
    <m/>
    <m/>
    <m/>
    <m/>
    <m/>
    <n v="34.203342731481825"/>
    <x v="2"/>
    <x v="3"/>
    <x v="1"/>
    <n v="223"/>
    <n v="147"/>
    <n v="0.65919282511210764"/>
    <n v="0.65919282511210764"/>
    <n v="1"/>
  </r>
  <r>
    <n v="1195440703"/>
    <s v="42.448.966/0001-36"/>
    <s v="Lucas de Rezende Merega"/>
    <x v="5"/>
    <s v="Pipebot"/>
    <x v="826"/>
    <m/>
    <m/>
    <d v="2025-08-28T20:26:01"/>
    <d v="2026-02-12T12:26:07"/>
    <n v="1.645035"/>
    <d v="2025-09-02T20:27:59"/>
    <d v="2026-02-11T20:58:04"/>
    <n v="162.02089100000001"/>
    <m/>
    <m/>
    <m/>
    <d v="2025-08-29T20:26:49"/>
    <d v="2026-02-13T15:59:50"/>
    <n v="3.1485530000000002"/>
    <d v="2025-08-31T20:27:01"/>
    <d v="2025-09-02T20:27:59"/>
    <n v="15.224225000000001"/>
    <m/>
    <m/>
    <m/>
    <m/>
    <m/>
    <n v="196.14896868055803"/>
    <x v="0"/>
    <x v="2"/>
    <x v="0"/>
    <n v="146"/>
    <n v="112"/>
    <n v="0.76712328767123283"/>
    <n v="0.76712328767123283"/>
    <n v="1"/>
  </r>
  <r>
    <n v="1179654787"/>
    <s v="31.462.233/0001-30"/>
    <s v="Lucas Ferri dos Santos Souza"/>
    <x v="0"/>
    <s v="Pipebot"/>
    <x v="827"/>
    <m/>
    <m/>
    <d v="2025-08-03T15:27:19"/>
    <d v="2025-08-04T15:27:33"/>
    <n v="1.000162"/>
    <d v="2025-08-08T15:28:16"/>
    <d v="2025-08-08T20:15:29"/>
    <n v="0.19945599999999999"/>
    <d v="2025-08-08T20:15:29"/>
    <d v="2025-08-08T20:15:41"/>
    <n v="1.3899999999999999E-4"/>
    <d v="2025-08-04T15:27:33"/>
    <d v="2025-08-06T15:27:40"/>
    <n v="2.0000689999999999"/>
    <d v="2025-08-06T15:27:40"/>
    <d v="2025-08-08T15:28:16"/>
    <n v="2.0004050000000002"/>
    <m/>
    <m/>
    <m/>
    <m/>
    <m/>
    <n v="221.35613729166653"/>
    <x v="0"/>
    <x v="5"/>
    <x v="0"/>
    <n v="177"/>
    <n v="130"/>
    <n v="0.7344632768361582"/>
    <n v="0.7344632768361582"/>
    <n v="1"/>
  </r>
  <r>
    <n v="1177542755"/>
    <s v="31.462.233/0001-30"/>
    <s v="Lucas Ferri dos Santos Souza"/>
    <x v="0"/>
    <s v="Pipebot"/>
    <x v="828"/>
    <m/>
    <m/>
    <d v="2025-07-30T20:26:08"/>
    <d v="2025-07-31T20:26:36"/>
    <n v="1.000313"/>
    <d v="2025-08-04T20:27:42"/>
    <d v="2025-08-08T20:59:34"/>
    <n v="4.0221179999999999"/>
    <d v="2025-08-08T20:59:34"/>
    <d v="2025-08-08T20:59:42"/>
    <n v="8.1000000000000004E-5"/>
    <d v="2025-07-31T20:26:36"/>
    <d v="2025-08-02T20:27:07"/>
    <n v="2.000359"/>
    <d v="2025-08-02T20:27:07"/>
    <d v="2025-08-04T20:27:42"/>
    <n v="2.0004050000000002"/>
    <m/>
    <m/>
    <m/>
    <m/>
    <m/>
    <n v="225.14875723378645"/>
    <x v="0"/>
    <x v="5"/>
    <x v="0"/>
    <n v="177"/>
    <n v="130"/>
    <n v="0.7344632768361582"/>
    <n v="0.7344632768361582"/>
    <n v="1"/>
  </r>
  <r>
    <n v="1260496256"/>
    <s v="31.462.233/0001-30"/>
    <s v="Lucas Ferri dos Santos Souza"/>
    <x v="0"/>
    <s v="Pipebot"/>
    <x v="829"/>
    <m/>
    <m/>
    <d v="2025-12-11T19:08:19"/>
    <d v="2025-12-12T19:08:25"/>
    <n v="1.0000579999999999"/>
    <d v="2025-12-16T19:09:48"/>
    <d v="2026-01-07T15:33:48"/>
    <n v="21.849988"/>
    <m/>
    <m/>
    <m/>
    <d v="2025-12-12T19:08:25"/>
    <d v="2025-12-14T19:09:02"/>
    <n v="2.0004279999999999"/>
    <d v="2025-12-14T19:09:02"/>
    <d v="2025-12-16T19:09:48"/>
    <n v="2.000521"/>
    <m/>
    <m/>
    <m/>
    <m/>
    <m/>
    <n v="91.203182847217249"/>
    <x v="0"/>
    <x v="0"/>
    <x v="0"/>
    <n v="131"/>
    <n v="87"/>
    <n v="0.66412213740458015"/>
    <n v="0.66412213740458015"/>
    <n v="1"/>
  </r>
  <r>
    <n v="1198887678"/>
    <s v="31.462.233/0001-30"/>
    <s v="Lucas Ferri dos Santos Souza"/>
    <x v="0"/>
    <s v="Pipebot"/>
    <x v="830"/>
    <m/>
    <m/>
    <d v="2025-09-03T20:27:21"/>
    <d v="2025-09-04T20:27:53"/>
    <n v="1.000359"/>
    <m/>
    <m/>
    <m/>
    <m/>
    <m/>
    <m/>
    <d v="2025-09-04T20:27:53"/>
    <d v="2025-09-05T15:35:10"/>
    <n v="0.79672500000000002"/>
    <m/>
    <m/>
    <m/>
    <m/>
    <m/>
    <m/>
    <m/>
    <m/>
    <n v="190.14784322916239"/>
    <x v="0"/>
    <x v="2"/>
    <x v="0"/>
    <n v="146"/>
    <n v="112"/>
    <n v="0.76712328767123283"/>
    <n v="0.76712328767123283"/>
    <n v="1"/>
  </r>
  <r>
    <n v="1240711662"/>
    <s v="31.462.233/0001-30"/>
    <s v="Lucas Ferri dos Santos Souza"/>
    <x v="0"/>
    <s v="Pipebot"/>
    <x v="831"/>
    <m/>
    <m/>
    <d v="2025-11-04T19:06:51"/>
    <d v="2025-11-04T20:00:05"/>
    <n v="3.6968000000000001E-2"/>
    <m/>
    <m/>
    <m/>
    <m/>
    <m/>
    <m/>
    <m/>
    <m/>
    <m/>
    <m/>
    <m/>
    <m/>
    <m/>
    <m/>
    <m/>
    <m/>
    <m/>
    <n v="128.20420254628698"/>
    <x v="0"/>
    <x v="6"/>
    <x v="0"/>
    <n v="195"/>
    <n v="132"/>
    <n v="0.67692307692307696"/>
    <n v="0.67692307692307696"/>
    <n v="1"/>
  </r>
  <r>
    <n v="1238505860"/>
    <s v="31.462.233/0001-30"/>
    <s v="Lucas Ferri dos Santos Souza"/>
    <x v="0"/>
    <s v="Pipebot"/>
    <x v="832"/>
    <m/>
    <m/>
    <m/>
    <m/>
    <m/>
    <m/>
    <m/>
    <m/>
    <m/>
    <m/>
    <m/>
    <m/>
    <m/>
    <m/>
    <m/>
    <m/>
    <m/>
    <m/>
    <m/>
    <m/>
    <m/>
    <m/>
    <n v="132.20362040509644"/>
    <x v="0"/>
    <x v="6"/>
    <x v="0"/>
    <n v="195"/>
    <n v="132"/>
    <n v="0.67692307692307696"/>
    <n v="0.67692307692307696"/>
    <n v="1"/>
  </r>
  <r>
    <n v="1198094573"/>
    <s v="31.462.233/0001-30"/>
    <s v="Lucas Ferri dos Santos Souza"/>
    <x v="0"/>
    <s v="Pipebot"/>
    <x v="833"/>
    <m/>
    <m/>
    <d v="2025-09-02T20:26:01"/>
    <d v="2025-09-03T20:26:22"/>
    <n v="1.000243"/>
    <m/>
    <m/>
    <m/>
    <m/>
    <m/>
    <m/>
    <d v="2025-09-03T20:26:22"/>
    <d v="2025-09-05T15:35:01"/>
    <n v="1.7976620000000001"/>
    <m/>
    <m/>
    <m/>
    <m/>
    <m/>
    <m/>
    <m/>
    <m/>
    <n v="191.1489470370434"/>
    <x v="0"/>
    <x v="2"/>
    <x v="0"/>
    <n v="146"/>
    <n v="112"/>
    <n v="0.76712328767123283"/>
    <n v="0.76712328767123283"/>
    <n v="1"/>
  </r>
  <r>
    <n v="1299777975"/>
    <s v="31.462.233/0001-30"/>
    <s v="Lucas Ferri dos Santos Souza"/>
    <x v="7"/>
    <s v="Pipebot"/>
    <x v="834"/>
    <m/>
    <m/>
    <m/>
    <m/>
    <m/>
    <m/>
    <m/>
    <m/>
    <m/>
    <m/>
    <m/>
    <m/>
    <m/>
    <m/>
    <m/>
    <m/>
    <m/>
    <m/>
    <m/>
    <m/>
    <m/>
    <m/>
    <n v="7.2036270717580919"/>
    <x v="4"/>
    <x v="1"/>
    <x v="1"/>
    <n v="189"/>
    <n v="33"/>
    <n v="0.17460317460317459"/>
    <n v="0.17460317460317459"/>
    <n v="1"/>
  </r>
  <r>
    <n v="1255066095"/>
    <s v="31.462.233/0001-30"/>
    <s v="Lucas Ferri dos Santos Souza"/>
    <x v="0"/>
    <s v="Pipebot"/>
    <x v="835"/>
    <m/>
    <m/>
    <d v="2025-11-28T19:06:15"/>
    <d v="2025-11-29T19:07:10"/>
    <n v="1.0006250000000001"/>
    <d v="2025-12-03T19:09:03"/>
    <d v="2025-12-20T15:10:33"/>
    <n v="16.834375000000001"/>
    <d v="2025-12-20T15:10:33"/>
    <d v="2025-12-20T15:10:41"/>
    <n v="9.2999999999999997E-5"/>
    <d v="2025-11-29T19:07:10"/>
    <d v="2025-12-01T19:07:57"/>
    <n v="2.0005440000000001"/>
    <d v="2025-12-01T19:07:57"/>
    <d v="2025-12-03T19:09:03"/>
    <n v="2.0007519999999999"/>
    <m/>
    <m/>
    <m/>
    <m/>
    <m/>
    <n v="104.20460958334297"/>
    <x v="0"/>
    <x v="0"/>
    <x v="0"/>
    <n v="131"/>
    <n v="87"/>
    <n v="0.66412213740458015"/>
    <n v="0.66412213740458015"/>
    <n v="1"/>
  </r>
  <r>
    <n v="1266404579"/>
    <s v="53.521.261/0001-13"/>
    <s v="Lucas Prada Christovam"/>
    <x v="0"/>
    <s v="Pipebot"/>
    <x v="836"/>
    <m/>
    <m/>
    <m/>
    <m/>
    <m/>
    <m/>
    <m/>
    <m/>
    <m/>
    <m/>
    <m/>
    <m/>
    <m/>
    <m/>
    <m/>
    <m/>
    <m/>
    <m/>
    <m/>
    <m/>
    <m/>
    <m/>
    <n v="78.482949791672581"/>
    <x v="0"/>
    <x v="7"/>
    <x v="0"/>
    <n v="207"/>
    <n v="140"/>
    <n v="0.67632850241545894"/>
    <n v="0.67632850241545894"/>
    <n v="1"/>
  </r>
  <r>
    <n v="1279608360"/>
    <s v="31.462.233/0001-30"/>
    <s v="Lucas Ferri dos Santos Souza (máquina) - acionado em 03/02"/>
    <x v="0"/>
    <s v="Pipebot"/>
    <x v="837"/>
    <m/>
    <m/>
    <d v="2026-01-23T19:04:29"/>
    <d v="2026-01-24T19:04:50"/>
    <n v="1.0002310000000001"/>
    <d v="2026-01-28T19:05:37"/>
    <d v="2026-02-05T20:05:50"/>
    <n v="8.0418059999999993"/>
    <m/>
    <m/>
    <m/>
    <d v="2026-01-24T19:04:50"/>
    <d v="2026-01-26T19:05:24"/>
    <n v="2.0003820000000001"/>
    <d v="2026-01-26T19:05:24"/>
    <d v="2026-01-28T19:05:37"/>
    <n v="2.0001500000000001"/>
    <m/>
    <m/>
    <m/>
    <m/>
    <m/>
    <n v="48.205707905086456"/>
    <x v="2"/>
    <x v="3"/>
    <x v="1"/>
    <n v="223"/>
    <n v="147"/>
    <n v="0.65919282511210764"/>
    <n v="0.65919282511210764"/>
    <n v="1"/>
  </r>
  <r>
    <n v="1279607805"/>
    <s v="31.462.233/0001-30"/>
    <s v="Lucas Ferri dos Santos Souza - maquina - acionado 04/02 - novo contato: 11 94351-2069"/>
    <x v="2"/>
    <s v="Pipebot"/>
    <x v="838"/>
    <m/>
    <m/>
    <d v="2026-01-23T19:03:40"/>
    <d v="2026-01-24T19:03:51"/>
    <n v="1.000127"/>
    <d v="2026-01-28T19:04:38"/>
    <d v="2026-02-04T19:50:13"/>
    <n v="7.0316549999999998"/>
    <d v="2026-02-04T19:50:13"/>
    <m/>
    <n v="22.063565000000001"/>
    <d v="2026-01-24T19:03:51"/>
    <d v="2026-01-26T19:04:32"/>
    <n v="2.0004749999999998"/>
    <d v="2026-01-26T19:04:32"/>
    <d v="2026-01-28T19:04:38"/>
    <n v="2.0000580000000001"/>
    <m/>
    <m/>
    <m/>
    <m/>
    <m/>
    <n v="48.206157592590898"/>
    <x v="2"/>
    <x v="3"/>
    <x v="1"/>
    <n v="223"/>
    <n v="147"/>
    <n v="0.65919282511210764"/>
    <n v="0.65919282511210764"/>
    <n v="1"/>
  </r>
  <r>
    <n v="1203713495"/>
    <s v="49.497.295/0001-42"/>
    <s v="Lucas Gibrail"/>
    <x v="0"/>
    <s v="Pipebot"/>
    <x v="839"/>
    <m/>
    <m/>
    <d v="2025-09-11T15:26:56"/>
    <d v="2025-09-12T15:27:39"/>
    <n v="1.0004980000000001"/>
    <d v="2025-09-16T15:28:27"/>
    <d v="2025-09-17T20:19:46"/>
    <n v="1.2023029999999999"/>
    <m/>
    <m/>
    <m/>
    <d v="2025-09-12T15:27:39"/>
    <d v="2025-09-14T15:27:51"/>
    <n v="2.0001389999999999"/>
    <d v="2025-09-14T15:27:51"/>
    <d v="2025-09-16T15:28:27"/>
    <n v="2.0004050000000002"/>
    <m/>
    <m/>
    <m/>
    <m/>
    <m/>
    <n v="182.35652420138649"/>
    <x v="0"/>
    <x v="2"/>
    <x v="0"/>
    <n v="146"/>
    <n v="112"/>
    <n v="0.76712328767123283"/>
    <n v="0.76712328767123283"/>
    <n v="1"/>
  </r>
  <r>
    <n v="1216185896"/>
    <s v="49.497.295/0001-42"/>
    <s v="Lucas Gibrail"/>
    <x v="0"/>
    <s v="Pipebot"/>
    <x v="840"/>
    <m/>
    <m/>
    <d v="2025-10-01T20:26:53"/>
    <d v="2025-10-02T20:27:43"/>
    <n v="1.000567"/>
    <d v="2025-10-06T20:28:38"/>
    <d v="2025-10-13T19:38:32"/>
    <n v="6.9651969999999999"/>
    <m/>
    <m/>
    <m/>
    <d v="2025-10-02T20:27:43"/>
    <d v="2025-10-04T20:28:29"/>
    <n v="2.0005320000000002"/>
    <d v="2025-10-04T20:28:30"/>
    <d v="2025-10-06T20:28:38"/>
    <n v="2.0000930000000001"/>
    <m/>
    <m/>
    <m/>
    <m/>
    <m/>
    <n v="162.14852961806173"/>
    <x v="0"/>
    <x v="4"/>
    <x v="0"/>
    <n v="197"/>
    <n v="149"/>
    <n v="0.75634517766497467"/>
    <n v="0.75634517766497467"/>
    <n v="1"/>
  </r>
  <r>
    <n v="1207416175"/>
    <s v="60.968.878/0001-47"/>
    <s v="Lucas Guerra Ferreira"/>
    <x v="0"/>
    <s v="Pipebot"/>
    <x v="841"/>
    <m/>
    <m/>
    <m/>
    <m/>
    <m/>
    <m/>
    <m/>
    <m/>
    <m/>
    <m/>
    <m/>
    <m/>
    <m/>
    <m/>
    <m/>
    <m/>
    <m/>
    <m/>
    <m/>
    <m/>
    <m/>
    <m/>
    <n v="176.35798497685755"/>
    <x v="0"/>
    <x v="4"/>
    <x v="0"/>
    <n v="197"/>
    <n v="149"/>
    <n v="0.75634517766497467"/>
    <n v="0.75634517766497467"/>
    <n v="1"/>
  </r>
  <r>
    <n v="1240025756"/>
    <s v="60.968.878/0001-47"/>
    <s v="Lucas Guerra Ferreira - V3!!"/>
    <x v="0"/>
    <s v="Pipebot"/>
    <x v="842"/>
    <m/>
    <m/>
    <d v="2025-11-03T19:03:15"/>
    <d v="2025-11-04T19:03:51"/>
    <n v="1.0004169999999999"/>
    <m/>
    <m/>
    <m/>
    <m/>
    <m/>
    <m/>
    <d v="2025-11-04T19:03:51"/>
    <d v="2025-11-06T19:04:07"/>
    <n v="2.0001739999999999"/>
    <d v="2025-11-06T19:04:07"/>
    <d v="2025-11-06T20:20:49"/>
    <n v="5.3263999999999999E-2"/>
    <m/>
    <m/>
    <m/>
    <m/>
    <m/>
    <n v="129.20617374999711"/>
    <x v="0"/>
    <x v="6"/>
    <x v="0"/>
    <n v="195"/>
    <n v="132"/>
    <n v="0.67692307692307696"/>
    <n v="0.67692307692307696"/>
    <n v="1"/>
  </r>
  <r>
    <n v="1270278539"/>
    <s v="62.019.976/0001-63"/>
    <s v="Luciana Silvia Correa "/>
    <x v="5"/>
    <s v="Pipebot"/>
    <x v="843"/>
    <m/>
    <m/>
    <d v="2026-01-01T22:08:37"/>
    <d v="2026-02-19T12:35:19"/>
    <n v="1.964734"/>
    <d v="2026-01-06T22:09:55"/>
    <d v="2026-02-18T13:26:21"/>
    <n v="42.636412"/>
    <m/>
    <m/>
    <m/>
    <d v="2026-01-02T22:08:53"/>
    <d v="2026-02-20T13:02:52"/>
    <n v="3.01919"/>
    <d v="2026-01-04T22:08:59"/>
    <d v="2026-01-06T22:09:55"/>
    <n v="8.3470949999999995"/>
    <m/>
    <m/>
    <m/>
    <m/>
    <m/>
    <n v="70.077728703712637"/>
    <x v="0"/>
    <x v="7"/>
    <x v="0"/>
    <n v="207"/>
    <n v="140"/>
    <n v="0.67632850241545894"/>
    <n v="0.67632850241545894"/>
    <n v="1"/>
  </r>
  <r>
    <n v="1270278513"/>
    <s v="62.019.976/0001-63"/>
    <s v="Luciana Silvia Correa "/>
    <x v="0"/>
    <s v="Pipebot"/>
    <x v="844"/>
    <m/>
    <m/>
    <d v="2026-01-01T22:08:37"/>
    <d v="2026-01-02T22:08:52"/>
    <n v="1.0001739999999999"/>
    <d v="2026-01-06T22:09:55"/>
    <d v="2026-01-16T11:59:40"/>
    <n v="9.5762149999999995"/>
    <m/>
    <m/>
    <m/>
    <d v="2026-01-02T22:08:52"/>
    <d v="2026-01-04T22:08:59"/>
    <n v="2.0000689999999999"/>
    <d v="2026-01-04T22:08:59"/>
    <d v="2026-01-06T22:09:55"/>
    <n v="2.0006370000000002"/>
    <m/>
    <m/>
    <m/>
    <m/>
    <m/>
    <n v="70.077789837960154"/>
    <x v="0"/>
    <x v="7"/>
    <x v="0"/>
    <n v="207"/>
    <n v="140"/>
    <n v="0.67632850241545894"/>
    <n v="0.67632850241545894"/>
    <n v="1"/>
  </r>
  <r>
    <n v="1294280028"/>
    <s v="57.679.817/0001-55"/>
    <s v="Lucas Ribeiro Miranda"/>
    <x v="5"/>
    <s v="Pipebot"/>
    <x v="845"/>
    <m/>
    <m/>
    <d v="2026-02-20T13:38:29"/>
    <d v="2026-02-21T13:38:33"/>
    <n v="1.000035"/>
    <m/>
    <m/>
    <m/>
    <m/>
    <m/>
    <m/>
    <d v="2026-02-21T13:38:33"/>
    <d v="2026-02-23T13:32:47"/>
    <n v="1.995995"/>
    <d v="2026-02-23T13:32:48"/>
    <m/>
    <n v="3.3256600000000001"/>
    <m/>
    <m/>
    <m/>
    <m/>
    <m/>
    <n v="20.432161192133208"/>
    <x v="3"/>
    <x v="1"/>
    <x v="1"/>
    <n v="189"/>
    <n v="33"/>
    <n v="0.17460317460317459"/>
    <n v="0.17460317460317459"/>
    <n v="1"/>
  </r>
  <r>
    <n v="1216480451"/>
    <s v="55.013.637/0001-04"/>
    <s v="Luciana Damasceno de Freitas "/>
    <x v="0"/>
    <s v="Pipebot"/>
    <x v="846"/>
    <m/>
    <m/>
    <m/>
    <m/>
    <m/>
    <m/>
    <m/>
    <m/>
    <m/>
    <m/>
    <m/>
    <m/>
    <m/>
    <m/>
    <m/>
    <m/>
    <m/>
    <m/>
    <m/>
    <m/>
    <m/>
    <m/>
    <n v="161.47063711805822"/>
    <x v="0"/>
    <x v="4"/>
    <x v="0"/>
    <n v="197"/>
    <n v="149"/>
    <n v="0.75634517766497467"/>
    <n v="0.75634517766497467"/>
    <n v="1"/>
  </r>
  <r>
    <n v="1254842601"/>
    <s v="33.142.011/0001-65"/>
    <s v="Luciana de Souza Nakahara "/>
    <x v="5"/>
    <s v="Pipebot"/>
    <x v="847"/>
    <m/>
    <m/>
    <d v="2025-11-28T12:51:53"/>
    <d v="2026-02-16T12:52:01"/>
    <n v="3.866933"/>
    <d v="2025-12-03T12:53:06"/>
    <d v="2026-02-13T16:03:55"/>
    <n v="72.132512000000006"/>
    <m/>
    <m/>
    <m/>
    <d v="2025-11-29T12:52:11"/>
    <d v="2026-02-18T13:22:36"/>
    <n v="4.0215969999999999"/>
    <d v="2025-12-01T12:52:43"/>
    <d v="2025-12-03T12:53:06"/>
    <n v="10.333009000000001"/>
    <m/>
    <m/>
    <m/>
    <m/>
    <m/>
    <n v="104.46445149306237"/>
    <x v="0"/>
    <x v="0"/>
    <x v="0"/>
    <n v="131"/>
    <n v="87"/>
    <n v="0.66412213740458015"/>
    <n v="0.66412213740458015"/>
    <n v="1"/>
  </r>
  <r>
    <n v="1219402199"/>
    <s v="57.954.731/0001-93"/>
    <s v="Luciana Keller"/>
    <x v="0"/>
    <s v="Pipebot"/>
    <x v="848"/>
    <m/>
    <m/>
    <d v="2025-10-06T20:26:40"/>
    <d v="2025-10-07T20:27:27"/>
    <n v="1.000532"/>
    <d v="2025-10-11T20:28:46"/>
    <d v="2025-10-14T20:01:34"/>
    <n v="2.9811000000000001"/>
    <m/>
    <m/>
    <m/>
    <d v="2025-10-07T20:27:27"/>
    <d v="2025-10-09T20:28:04"/>
    <n v="2.0004170000000001"/>
    <d v="2025-10-09T20:28:04"/>
    <d v="2025-10-11T20:28:46"/>
    <n v="2.000486"/>
    <m/>
    <m/>
    <m/>
    <m/>
    <m/>
    <n v="157.14853374999802"/>
    <x v="0"/>
    <x v="4"/>
    <x v="0"/>
    <n v="197"/>
    <n v="149"/>
    <n v="0.75634517766497467"/>
    <n v="0.75634517766497467"/>
    <n v="1"/>
  </r>
  <r>
    <n v="1226265115"/>
    <s v="57.954.731/0001-93"/>
    <s v="Luciana Keller Convenience Village Store Ltda"/>
    <x v="0"/>
    <s v="Pipebot"/>
    <x v="849"/>
    <m/>
    <m/>
    <m/>
    <m/>
    <m/>
    <m/>
    <m/>
    <m/>
    <m/>
    <m/>
    <m/>
    <m/>
    <m/>
    <m/>
    <m/>
    <m/>
    <m/>
    <m/>
    <m/>
    <m/>
    <m/>
    <m/>
    <n v="147.1493563888871"/>
    <x v="0"/>
    <x v="6"/>
    <x v="0"/>
    <n v="195"/>
    <n v="132"/>
    <n v="0.67692307692307696"/>
    <n v="0.67692307692307696"/>
    <n v="1"/>
  </r>
  <r>
    <n v="1264271941"/>
    <s v="44.126.099/0001-48"/>
    <s v="Lúcio Corrêa Oliveira de Oliveira"/>
    <x v="0"/>
    <s v="Pipebot"/>
    <x v="850"/>
    <m/>
    <m/>
    <d v="2025-12-18T19:08:53"/>
    <d v="2025-12-19T19:09:40"/>
    <n v="1.0005440000000001"/>
    <d v="2025-12-23T19:11:16"/>
    <d v="2026-01-07T13:41:07"/>
    <n v="14.770718"/>
    <m/>
    <m/>
    <m/>
    <d v="2025-12-19T19:09:40"/>
    <d v="2025-12-21T19:10:18"/>
    <n v="2.0004279999999999"/>
    <d v="2025-12-21T19:10:18"/>
    <d v="2025-12-23T19:11:16"/>
    <n v="2.0006710000000001"/>
    <m/>
    <m/>
    <m/>
    <m/>
    <m/>
    <n v="84.202682418981567"/>
    <x v="0"/>
    <x v="7"/>
    <x v="0"/>
    <n v="207"/>
    <n v="140"/>
    <n v="0.67632850241545894"/>
    <n v="0.67632850241545894"/>
    <n v="1"/>
  </r>
  <r>
    <n v="1267210463"/>
    <s v="51.694.538/0001-84"/>
    <s v="Luis Gustavo Dalbó Girardi"/>
    <x v="0"/>
    <s v="Pipebot"/>
    <x v="851"/>
    <m/>
    <m/>
    <d v="2025-12-25T19:09:25"/>
    <d v="2025-12-26T19:10:04"/>
    <n v="1.000451"/>
    <d v="2025-12-30T19:11:00"/>
    <d v="2026-01-09T14:03:05"/>
    <n v="9.7861689999999992"/>
    <m/>
    <m/>
    <m/>
    <d v="2025-12-26T19:10:04"/>
    <d v="2025-12-28T19:10:29"/>
    <n v="2.0002779999999998"/>
    <d v="2025-12-28T19:10:29"/>
    <d v="2025-12-30T19:11:00"/>
    <n v="2.000359"/>
    <m/>
    <m/>
    <m/>
    <m/>
    <m/>
    <n v="77.202211655087012"/>
    <x v="0"/>
    <x v="7"/>
    <x v="0"/>
    <n v="207"/>
    <n v="140"/>
    <n v="0.67632850241545894"/>
    <n v="0.67632850241545894"/>
    <n v="1"/>
  </r>
  <r>
    <n v="1172779780"/>
    <s v="37.898.854/0001-47"/>
    <s v="Luciano Campos Reis Junior"/>
    <x v="8"/>
    <s v="Pipebot"/>
    <x v="852"/>
    <m/>
    <m/>
    <d v="2025-07-21T20:25:07"/>
    <d v="2025-07-22T20:25:11"/>
    <n v="1.000046"/>
    <d v="2025-07-26T20:26:13"/>
    <d v="2025-11-03T18:45:20"/>
    <n v="99.929941999999997"/>
    <m/>
    <m/>
    <m/>
    <d v="2025-07-22T20:25:11"/>
    <d v="2025-07-24T20:25:31"/>
    <n v="2.0002200000000001"/>
    <d v="2025-07-24T20:25:31"/>
    <d v="2025-07-26T20:26:12"/>
    <n v="2.0004749999999998"/>
    <m/>
    <m/>
    <m/>
    <m/>
    <m/>
    <n v="234.14987626156653"/>
    <x v="0"/>
    <x v="5"/>
    <x v="0"/>
    <n v="177"/>
    <n v="130"/>
    <n v="0.7344632768361582"/>
    <n v="0.7344632768361582"/>
    <n v="1"/>
  </r>
  <r>
    <n v="1262626685"/>
    <s v="44.833.210/0001-36"/>
    <s v="Luiz Fernando Miguez Seoane"/>
    <x v="0"/>
    <s v="Pipebot"/>
    <x v="853"/>
    <m/>
    <m/>
    <d v="2025-12-20T13:05:11"/>
    <d v="2025-12-21T13:05:18"/>
    <n v="1.0000690000000001"/>
    <d v="2025-12-25T13:06:44"/>
    <d v="2026-01-12T14:26:54"/>
    <n v="18.05566"/>
    <m/>
    <m/>
    <m/>
    <d v="2025-12-21T13:05:18"/>
    <d v="2025-12-23T13:06:14"/>
    <n v="2.000648"/>
    <d v="2025-12-23T13:06:14"/>
    <d v="2025-12-25T13:06:44"/>
    <n v="2.0003470000000001"/>
    <m/>
    <m/>
    <m/>
    <m/>
    <m/>
    <n v="86.204191273151082"/>
    <x v="0"/>
    <x v="7"/>
    <x v="0"/>
    <n v="207"/>
    <n v="140"/>
    <n v="0.67632850241545894"/>
    <n v="0.67632850241545894"/>
    <n v="1"/>
  </r>
  <r>
    <n v="1216800265"/>
    <s v="41.130.750/0001-65"/>
    <s v="LUIS ANTONIO MELLE - 2 leitores e 2 adaptadores chegaram"/>
    <x v="8"/>
    <s v="Pipebot"/>
    <x v="854"/>
    <m/>
    <m/>
    <d v="2025-10-02T19:54:41"/>
    <d v="2025-10-03T19:54:47"/>
    <n v="1.0000579999999999"/>
    <d v="2025-10-07T19:56:30"/>
    <d v="2025-10-29T19:42:13"/>
    <n v="21.990081"/>
    <m/>
    <m/>
    <m/>
    <d v="2025-10-03T19:54:47"/>
    <d v="2025-10-05T19:55:46"/>
    <n v="2.0006710000000001"/>
    <d v="2025-10-05T19:55:46"/>
    <d v="2025-10-07T19:56:30"/>
    <n v="2.0005090000000001"/>
    <m/>
    <m/>
    <m/>
    <m/>
    <m/>
    <n v="161.17047180556256"/>
    <x v="0"/>
    <x v="4"/>
    <x v="0"/>
    <n v="197"/>
    <n v="149"/>
    <n v="0.75634517766497467"/>
    <n v="0.75634517766497467"/>
    <n v="1"/>
  </r>
  <r>
    <n v="1289705475"/>
    <s v="54.093.464/0001-19"/>
    <s v="Luis Fernando Iamamoto"/>
    <x v="0"/>
    <s v="Pipebot"/>
    <x v="855"/>
    <m/>
    <m/>
    <m/>
    <m/>
    <m/>
    <m/>
    <m/>
    <m/>
    <m/>
    <m/>
    <m/>
    <m/>
    <m/>
    <m/>
    <m/>
    <m/>
    <m/>
    <m/>
    <m/>
    <m/>
    <m/>
    <m/>
    <n v="29.204324722217279"/>
    <x v="5"/>
    <x v="3"/>
    <x v="1"/>
    <n v="223"/>
    <n v="147"/>
    <n v="0.65919282511210764"/>
    <n v="0.65919282511210764"/>
    <n v="1"/>
  </r>
  <r>
    <n v="1261737733"/>
    <s v="61.018.918/0001-52"/>
    <s v="Luiz Gustavo Notario"/>
    <x v="5"/>
    <s v="Pipebot"/>
    <x v="856"/>
    <m/>
    <m/>
    <d v="2025-12-15T13:00:03"/>
    <d v="2026-02-18T13:25:00"/>
    <n v="3.0228359999999999"/>
    <d v="2025-12-20T13:02:12"/>
    <d v="2026-02-16T12:52:56"/>
    <n v="57.993564999999997"/>
    <m/>
    <m/>
    <m/>
    <d v="2025-12-16T13:00:53"/>
    <d v="2026-02-19T12:27:35"/>
    <n v="2.96088"/>
    <d v="2025-12-18T13:01:59"/>
    <d v="2025-12-20T13:02:12"/>
    <n v="9.3711110000000009"/>
    <m/>
    <m/>
    <m/>
    <m/>
    <m/>
    <n v="87.458419583330397"/>
    <x v="0"/>
    <x v="7"/>
    <x v="0"/>
    <n v="207"/>
    <n v="140"/>
    <n v="0.67632850241545894"/>
    <n v="0.67632850241545894"/>
    <n v="1"/>
  </r>
  <r>
    <n v="1171971285"/>
    <s v="44.444.952/0001-70"/>
    <s v="Luis Rafael"/>
    <x v="0"/>
    <s v="Pipebot"/>
    <x v="857"/>
    <m/>
    <m/>
    <m/>
    <m/>
    <m/>
    <m/>
    <m/>
    <m/>
    <m/>
    <m/>
    <m/>
    <m/>
    <m/>
    <m/>
    <m/>
    <m/>
    <m/>
    <m/>
    <m/>
    <m/>
    <m/>
    <m/>
    <n v="237.14853401620348"/>
    <x v="0"/>
    <x v="5"/>
    <x v="0"/>
    <n v="177"/>
    <n v="130"/>
    <n v="0.7344632768361582"/>
    <n v="0.7344632768361582"/>
    <n v="1"/>
  </r>
  <r>
    <n v="1169857192"/>
    <s v="51.397.710/0001-38"/>
    <s v="LUIZ &amp; LUIZ CONVENIENCIA "/>
    <x v="8"/>
    <s v="Pipebot"/>
    <x v="858"/>
    <m/>
    <m/>
    <d v="2025-07-15T20:51:31"/>
    <d v="2025-07-16T20:52:19"/>
    <n v="1.000556"/>
    <d v="2025-07-20T20:54:00"/>
    <d v="2025-10-29T19:42:17"/>
    <n v="100.950197"/>
    <m/>
    <m/>
    <m/>
    <d v="2025-07-16T20:52:20"/>
    <d v="2025-07-18T20:53:16"/>
    <n v="2.000648"/>
    <d v="2025-07-18T20:53:16"/>
    <d v="2025-07-20T20:53:59"/>
    <n v="2.0004979999999999"/>
    <m/>
    <m/>
    <m/>
    <m/>
    <m/>
    <n v="240.14903523148678"/>
    <x v="0"/>
    <x v="5"/>
    <x v="0"/>
    <n v="177"/>
    <n v="130"/>
    <n v="0.7344632768361582"/>
    <n v="0.7344632768361582"/>
    <n v="1"/>
  </r>
  <r>
    <n v="1270549479"/>
    <s v="54.491.483/0001-01"/>
    <s v="M2D Minimercados Ltda"/>
    <x v="0"/>
    <s v="Pipebot"/>
    <x v="859"/>
    <m/>
    <m/>
    <m/>
    <m/>
    <m/>
    <m/>
    <m/>
    <m/>
    <m/>
    <m/>
    <m/>
    <m/>
    <m/>
    <m/>
    <m/>
    <m/>
    <m/>
    <m/>
    <m/>
    <m/>
    <m/>
    <m/>
    <n v="69.388983923607157"/>
    <x v="0"/>
    <x v="7"/>
    <x v="0"/>
    <n v="207"/>
    <n v="140"/>
    <n v="0.67632850241545894"/>
    <n v="0.67632850241545894"/>
    <n v="1"/>
  </r>
  <r>
    <n v="1236816337"/>
    <s v="44.833.210/0001-36"/>
    <s v="Luiz Fernando Miguez Seoane "/>
    <x v="0"/>
    <s v="Pipebot"/>
    <x v="860"/>
    <m/>
    <m/>
    <m/>
    <m/>
    <m/>
    <m/>
    <m/>
    <m/>
    <m/>
    <m/>
    <m/>
    <m/>
    <m/>
    <m/>
    <m/>
    <m/>
    <m/>
    <m/>
    <m/>
    <m/>
    <m/>
    <m/>
    <n v="134.08031347222277"/>
    <x v="0"/>
    <x v="6"/>
    <x v="0"/>
    <n v="195"/>
    <n v="132"/>
    <n v="0.67692307692307696"/>
    <n v="0.67692307692307696"/>
    <n v="1"/>
  </r>
  <r>
    <n v="1269991149"/>
    <s v="49.223.830/0001-77"/>
    <s v="MAB Smart Com de Alimentos"/>
    <x v="0"/>
    <s v="Pipebot"/>
    <x v="861"/>
    <m/>
    <m/>
    <d v="2026-01-01T15:07:50"/>
    <d v="2026-01-02T15:07:54"/>
    <n v="1.000046"/>
    <d v="2026-01-06T15:09:00"/>
    <d v="2026-01-14T17:40:57"/>
    <n v="8.1055089999999996"/>
    <m/>
    <m/>
    <m/>
    <d v="2026-01-02T15:07:54"/>
    <d v="2026-01-04T15:08:46"/>
    <n v="2.0006020000000002"/>
    <d v="2026-01-04T15:08:46"/>
    <d v="2026-01-06T15:09:00"/>
    <n v="2.0001500000000001"/>
    <m/>
    <m/>
    <m/>
    <m/>
    <m/>
    <n v="70.369781666668132"/>
    <x v="0"/>
    <x v="7"/>
    <x v="0"/>
    <n v="207"/>
    <n v="140"/>
    <n v="0.67632850241545894"/>
    <n v="0.67632850241545894"/>
    <n v="1"/>
  </r>
  <r>
    <n v="1229910115"/>
    <s v="61.019.206/0001-58"/>
    <s v="Luiz Henrique Faria Ziquinato "/>
    <x v="0"/>
    <s v="Pipebot"/>
    <x v="862"/>
    <m/>
    <m/>
    <m/>
    <m/>
    <m/>
    <m/>
    <m/>
    <m/>
    <m/>
    <m/>
    <m/>
    <m/>
    <m/>
    <m/>
    <m/>
    <m/>
    <m/>
    <m/>
    <m/>
    <m/>
    <m/>
    <m/>
    <n v="142.13913037037128"/>
    <x v="0"/>
    <x v="6"/>
    <x v="0"/>
    <n v="195"/>
    <n v="132"/>
    <n v="0.67692307692307696"/>
    <n v="0.67692307692307696"/>
    <n v="1"/>
  </r>
  <r>
    <n v="1207537226"/>
    <s v="27.565.497/0001-41"/>
    <s v="Luiz Inacio L. da Silva (teste)"/>
    <x v="3"/>
    <s v="Pipebot"/>
    <x v="863"/>
    <m/>
    <m/>
    <m/>
    <m/>
    <m/>
    <m/>
    <m/>
    <m/>
    <m/>
    <m/>
    <m/>
    <m/>
    <m/>
    <m/>
    <m/>
    <m/>
    <m/>
    <m/>
    <m/>
    <m/>
    <m/>
    <m/>
    <n v="176.24983820600755"/>
    <x v="0"/>
    <x v="4"/>
    <x v="0"/>
    <n v="197"/>
    <n v="149"/>
    <n v="0.75634517766497467"/>
    <n v="0.75634517766497467"/>
    <n v="1"/>
  </r>
  <r>
    <n v="1248229905"/>
    <s v="44.651.600/0001-95"/>
    <s v="Luiz Ricardo Marques"/>
    <x v="0"/>
    <s v="Pipebot"/>
    <x v="864"/>
    <m/>
    <m/>
    <d v="2025-11-14T19:05:15"/>
    <d v="2025-11-15T19:05:39"/>
    <n v="1.0002660000000001"/>
    <m/>
    <m/>
    <m/>
    <d v="2025-11-17T19:58:28"/>
    <d v="2025-11-17T19:58:36"/>
    <n v="8.1000000000000004E-5"/>
    <d v="2025-11-15T19:05:39"/>
    <d v="2025-11-17T19:06:38"/>
    <n v="2.0006710000000001"/>
    <d v="2025-11-17T19:06:38"/>
    <d v="2025-11-17T19:58:24"/>
    <n v="3.5937999999999998E-2"/>
    <m/>
    <m/>
    <m/>
    <m/>
    <m/>
    <n v="118.20485409721732"/>
    <x v="0"/>
    <x v="6"/>
    <x v="0"/>
    <n v="195"/>
    <n v="132"/>
    <n v="0.67692307692307696"/>
    <n v="0.67692307692307696"/>
    <n v="1"/>
  </r>
  <r>
    <n v="1295251924"/>
    <s v="32.704.335/0001-87"/>
    <s v="Lusandro Araújo"/>
    <x v="5"/>
    <s v="Pipebot"/>
    <x v="865"/>
    <m/>
    <m/>
    <d v="2026-02-23T15:44:49"/>
    <d v="2026-02-24T15:44:58"/>
    <n v="1.0001040000000001"/>
    <m/>
    <m/>
    <m/>
    <m/>
    <m/>
    <m/>
    <d v="2026-02-24T15:44:58"/>
    <d v="2026-02-26T15:45:20"/>
    <n v="2.0002430000000002"/>
    <d v="2026-02-26T15:45:20"/>
    <m/>
    <n v="0.23363400000000001"/>
    <m/>
    <m/>
    <m/>
    <m/>
    <m/>
    <n v="17.344052638887661"/>
    <x v="1"/>
    <x v="1"/>
    <x v="1"/>
    <n v="189"/>
    <n v="33"/>
    <n v="0.17460317460317459"/>
    <n v="0.17460317460317459"/>
    <n v="1"/>
  </r>
  <r>
    <n v="1294279392"/>
    <s v="32.704.335/0001-87"/>
    <s v="Lusandro Araújo"/>
    <x v="5"/>
    <s v="Pipebot"/>
    <x v="866"/>
    <m/>
    <m/>
    <d v="2026-02-20T13:37:29"/>
    <d v="2026-02-20T16:52:55"/>
    <n v="0.13571800000000001"/>
    <m/>
    <m/>
    <m/>
    <m/>
    <m/>
    <m/>
    <d v="2026-02-20T16:52:55"/>
    <d v="2026-02-22T16:53:17"/>
    <n v="2.0002430000000002"/>
    <d v="2026-02-22T16:53:17"/>
    <m/>
    <n v="4.1864470000000003"/>
    <m/>
    <m/>
    <m/>
    <m/>
    <m/>
    <n v="20.432697152777109"/>
    <x v="3"/>
    <x v="1"/>
    <x v="1"/>
    <n v="189"/>
    <n v="33"/>
    <n v="0.17460317460317459"/>
    <n v="0.17460317460317459"/>
    <n v="1"/>
  </r>
  <r>
    <n v="1240027133"/>
    <s v="48.399.962/0001-91"/>
    <s v="M A Consultoria &amp; Gestão Empresarial LTDA"/>
    <x v="5"/>
    <s v="Pipebot"/>
    <x v="867"/>
    <m/>
    <m/>
    <d v="2025-11-03T19:05:14"/>
    <d v="2026-02-13T16:01:09"/>
    <n v="2.1470370000000001"/>
    <d v="2025-11-08T19:07:05"/>
    <d v="2026-02-12T12:30:02"/>
    <n v="95.724271000000002"/>
    <m/>
    <m/>
    <m/>
    <d v="2025-11-04T19:05:51"/>
    <d v="2026-02-16T12:50:18"/>
    <n v="4.8676159999999999"/>
    <d v="2025-11-06T19:06:05"/>
    <d v="2025-11-08T19:07:05"/>
    <n v="12.355880000000001"/>
    <m/>
    <m/>
    <m/>
    <m/>
    <m/>
    <n v="129.20478982637724"/>
    <x v="0"/>
    <x v="6"/>
    <x v="0"/>
    <n v="195"/>
    <n v="132"/>
    <n v="0.67692307692307696"/>
    <n v="0.67692307692307696"/>
    <n v="1"/>
  </r>
  <r>
    <n v="1188379280"/>
    <s v="02.163.959/0001-73"/>
    <s v="M V LTDA"/>
    <x v="0"/>
    <s v="Pipebot"/>
    <x v="868"/>
    <m/>
    <m/>
    <d v="2025-08-18T20:24:49"/>
    <d v="2025-08-19T20:25:48"/>
    <n v="1.0006710000000001"/>
    <m/>
    <m/>
    <m/>
    <d v="2025-08-21T22:08:58"/>
    <d v="2025-09-02T20:34:06"/>
    <n v="11.93412"/>
    <d v="2025-08-19T20:25:48"/>
    <d v="2025-08-21T20:26:29"/>
    <n v="2.0004749999999998"/>
    <d v="2025-08-21T20:26:29"/>
    <d v="2025-08-21T22:08:58"/>
    <n v="7.1156999999999998E-2"/>
    <m/>
    <m/>
    <m/>
    <m/>
    <m/>
    <n v="206.14985548611003"/>
    <x v="0"/>
    <x v="2"/>
    <x v="0"/>
    <n v="146"/>
    <n v="112"/>
    <n v="0.76712328767123283"/>
    <n v="0.76712328767123283"/>
    <n v="1"/>
  </r>
  <r>
    <n v="1268335130"/>
    <s v="11.474.658/0001-51"/>
    <s v="Macedo Máquinas e Serviços Eireli"/>
    <x v="5"/>
    <s v="Pipebot"/>
    <x v="869"/>
    <m/>
    <m/>
    <d v="2025-12-29T13:04:58"/>
    <d v="2026-02-19T12:35:00"/>
    <n v="1.9647110000000001"/>
    <d v="2026-01-03T13:06:12"/>
    <d v="2026-02-18T13:26:02"/>
    <n v="46.013762"/>
    <m/>
    <m/>
    <m/>
    <d v="2025-12-30T13:05:12"/>
    <d v="2026-02-20T12:58:40"/>
    <n v="3.0168520000000001"/>
    <d v="2026-01-01T13:05:49"/>
    <d v="2026-01-03T13:06:12"/>
    <n v="8.3496410000000001"/>
    <m/>
    <m/>
    <m/>
    <m/>
    <m/>
    <n v="73.455193622678053"/>
    <x v="0"/>
    <x v="7"/>
    <x v="0"/>
    <n v="207"/>
    <n v="140"/>
    <n v="0.67632850241545894"/>
    <n v="0.67632850241545894"/>
    <n v="1"/>
  </r>
  <r>
    <n v="1299038091"/>
    <s v="60.195.558/0001-00"/>
    <s v="MA MERCADO INTELIGENTE"/>
    <x v="7"/>
    <s v="Pipebot"/>
    <x v="870"/>
    <m/>
    <m/>
    <m/>
    <m/>
    <m/>
    <m/>
    <m/>
    <m/>
    <m/>
    <m/>
    <m/>
    <m/>
    <m/>
    <m/>
    <m/>
    <m/>
    <m/>
    <m/>
    <m/>
    <m/>
    <m/>
    <m/>
    <n v="8.2061605439812411"/>
    <x v="4"/>
    <x v="1"/>
    <x v="1"/>
    <n v="189"/>
    <n v="33"/>
    <n v="0.17460317460317459"/>
    <n v="0.17460317460317459"/>
    <n v="1"/>
  </r>
  <r>
    <n v="1240027334"/>
    <s v="52.411.739/0001-90"/>
    <s v="MA2 Consultoria e gestão empresarial Ltda"/>
    <x v="5"/>
    <s v="Pipebot"/>
    <x v="871"/>
    <m/>
    <m/>
    <d v="2025-11-03T19:06:12"/>
    <d v="2026-02-13T16:01:10"/>
    <n v="2.1470600000000002"/>
    <d v="2025-11-08T19:08:05"/>
    <d v="2026-02-12T12:30:03"/>
    <n v="95.723588000000007"/>
    <m/>
    <m/>
    <m/>
    <d v="2025-11-04T19:06:52"/>
    <d v="2026-02-16T12:50:19"/>
    <n v="4.8676269999999997"/>
    <d v="2025-11-06T19:07:07"/>
    <d v="2025-11-08T19:08:05"/>
    <n v="12.355833000000001"/>
    <m/>
    <m/>
    <m/>
    <m/>
    <m/>
    <n v="129.20458101852273"/>
    <x v="0"/>
    <x v="6"/>
    <x v="0"/>
    <n v="195"/>
    <n v="132"/>
    <n v="0.67692307692307696"/>
    <n v="0.67692307692307696"/>
    <n v="1"/>
  </r>
  <r>
    <n v="1268336497"/>
    <s v="42.927.891/0001-76"/>
    <s v="Manasses Pessoa de Lima - máquina deve vir acompanhada de um leitor e adaptador (hub ou smd)"/>
    <x v="5"/>
    <s v="Pipebot"/>
    <x v="872"/>
    <m/>
    <m/>
    <d v="2025-12-29T13:05:57"/>
    <d v="2026-02-19T12:35:01"/>
    <n v="1.96515"/>
    <d v="2026-01-03T13:08:12"/>
    <d v="2026-02-18T13:26:03"/>
    <n v="46.012383999999997"/>
    <m/>
    <m/>
    <m/>
    <d v="2025-12-30T13:06:49"/>
    <d v="2026-02-20T12:58:41"/>
    <n v="3.0171299999999999"/>
    <d v="2026-01-01T13:07:49"/>
    <d v="2026-01-03T13:08:12"/>
    <n v="8.3496299999999994"/>
    <m/>
    <m/>
    <m/>
    <m/>
    <m/>
    <n v="73.454554930547602"/>
    <x v="0"/>
    <x v="7"/>
    <x v="0"/>
    <n v="207"/>
    <n v="140"/>
    <n v="0.67632850241545894"/>
    <n v="0.67632850241545894"/>
    <n v="1"/>
  </r>
  <r>
    <n v="1265514130"/>
    <s v="51.491.291/0001-07"/>
    <s v="Marcele Ribeiro "/>
    <x v="5"/>
    <s v="Pipebot"/>
    <x v="873"/>
    <m/>
    <m/>
    <d v="2025-12-22T19:09:12"/>
    <d v="2026-02-18T13:25:10"/>
    <n v="3.022049"/>
    <d v="2025-12-27T19:09:52"/>
    <d v="2026-02-16T12:53:28"/>
    <n v="50.738599999999998"/>
    <m/>
    <m/>
    <m/>
    <d v="2025-12-23T19:09:16"/>
    <d v="2026-02-19T12:27:59"/>
    <n v="2.9604050000000002"/>
    <d v="2025-12-25T19:09:26"/>
    <d v="2025-12-27T19:09:52"/>
    <n v="9.3709720000000001"/>
    <m/>
    <m/>
    <m/>
    <m/>
    <m/>
    <n v="80.202211736112076"/>
    <x v="0"/>
    <x v="7"/>
    <x v="0"/>
    <n v="207"/>
    <n v="140"/>
    <n v="0.67632850241545894"/>
    <n v="0.67632850241545894"/>
    <n v="1"/>
  </r>
  <r>
    <n v="1288135223"/>
    <s v="27.839.614/0001-18"/>
    <s v="Maciel Almondes Pereira "/>
    <x v="0"/>
    <s v="Pipebot"/>
    <x v="874"/>
    <m/>
    <m/>
    <m/>
    <m/>
    <m/>
    <m/>
    <m/>
    <m/>
    <m/>
    <m/>
    <m/>
    <m/>
    <m/>
    <m/>
    <m/>
    <m/>
    <m/>
    <m/>
    <m/>
    <m/>
    <m/>
    <m/>
    <n v="31.370870520826429"/>
    <x v="2"/>
    <x v="3"/>
    <x v="1"/>
    <n v="223"/>
    <n v="147"/>
    <n v="0.65919282511210764"/>
    <n v="0.65919282511210764"/>
    <n v="1"/>
  </r>
  <r>
    <n v="1302004468"/>
    <s v="34.756.704/0001-00"/>
    <s v="MAHEL EMPREENDIMENTOS LTDA"/>
    <x v="7"/>
    <s v="Pipebot"/>
    <x v="875"/>
    <m/>
    <m/>
    <m/>
    <m/>
    <m/>
    <m/>
    <m/>
    <m/>
    <m/>
    <m/>
    <m/>
    <m/>
    <m/>
    <m/>
    <m/>
    <m/>
    <m/>
    <m/>
    <m/>
    <m/>
    <m/>
    <m/>
    <n v="3.0815333101927536"/>
    <x v="4"/>
    <x v="1"/>
    <x v="1"/>
    <n v="189"/>
    <n v="33"/>
    <n v="0.17460317460317459"/>
    <n v="0.17460317460317459"/>
    <n v="1"/>
  </r>
  <r>
    <n v="1281987762"/>
    <s v="42.927.891/0001-76"/>
    <s v="Manasses Pessoa de Lima (leitor) - acionado sofia 05/02."/>
    <x v="2"/>
    <s v="Pipebot"/>
    <x v="876"/>
    <m/>
    <m/>
    <d v="2026-01-28T22:04:51"/>
    <d v="2026-01-29T22:05:10"/>
    <n v="1.000208"/>
    <d v="2026-02-02T22:06:42"/>
    <d v="2026-02-05T19:34:18"/>
    <n v="2.894155"/>
    <d v="2026-02-05T19:34:18"/>
    <m/>
    <n v="21.074629999999999"/>
    <d v="2026-01-29T22:05:10"/>
    <d v="2026-01-31T22:05:41"/>
    <n v="2.000359"/>
    <d v="2026-01-31T22:05:41"/>
    <d v="2026-02-02T22:06:42"/>
    <n v="2.0006940000000002"/>
    <m/>
    <m/>
    <m/>
    <m/>
    <m/>
    <n v="43.080554942127492"/>
    <x v="2"/>
    <x v="3"/>
    <x v="1"/>
    <n v="223"/>
    <n v="147"/>
    <n v="0.65919282511210764"/>
    <n v="0.65919282511210764"/>
    <n v="1"/>
  </r>
  <r>
    <n v="1267758056"/>
    <s v="45.592.477/0001-41"/>
    <s v="Marcello Oliveira "/>
    <x v="5"/>
    <s v="Pipebot"/>
    <x v="877"/>
    <m/>
    <m/>
    <d v="2025-12-26T20:00:19"/>
    <d v="2026-02-18T13:25:35"/>
    <n v="3.0225460000000002"/>
    <d v="2025-12-31T20:02:59"/>
    <d v="2026-02-16T12:53:38"/>
    <n v="46.701828999999996"/>
    <m/>
    <m/>
    <m/>
    <d v="2025-12-27T20:00:50"/>
    <d v="2026-02-19T12:28:14"/>
    <n v="2.960521"/>
    <d v="2025-12-29T20:01:20"/>
    <d v="2025-12-31T20:02:59"/>
    <n v="9.3716439999999999"/>
    <m/>
    <m/>
    <m/>
    <m/>
    <m/>
    <n v="76.167322754627094"/>
    <x v="0"/>
    <x v="7"/>
    <x v="0"/>
    <n v="207"/>
    <n v="140"/>
    <n v="0.67632850241545894"/>
    <n v="0.67632850241545894"/>
    <n v="1"/>
  </r>
  <r>
    <n v="1229666764"/>
    <s v="55.980.283/0001-77"/>
    <s v="Manu - entregue por outro código reverso: AD112482427BR"/>
    <x v="0"/>
    <s v="Pipebot"/>
    <x v="878"/>
    <m/>
    <m/>
    <d v="2025-10-21T15:25:59"/>
    <d v="2026-02-13T16:00:52"/>
    <n v="2.1471179999999999"/>
    <d v="2025-10-26T15:28:17"/>
    <d v="2026-02-12T12:29:51"/>
    <n v="108.876088"/>
    <d v="2026-02-19T17:37:46"/>
    <d v="2026-02-25T20:53:01"/>
    <n v="6.1355789999999999"/>
    <d v="2025-10-22T15:26:50"/>
    <d v="2026-02-16T12:49:13"/>
    <n v="4.8674650000000002"/>
    <d v="2025-10-24T15:27:39"/>
    <d v="2026-02-19T17:37:46"/>
    <n v="5.2008099999999997"/>
    <m/>
    <m/>
    <m/>
    <m/>
    <m/>
    <n v="142.35720379628765"/>
    <x v="0"/>
    <x v="6"/>
    <x v="0"/>
    <n v="195"/>
    <n v="132"/>
    <n v="0.67692307692307696"/>
    <n v="0.67692307692307696"/>
    <n v="1"/>
  </r>
  <r>
    <n v="1299194174"/>
    <s v="49.584.002/0001-64"/>
    <s v="mão na roda market "/>
    <x v="7"/>
    <s v="Pipebot"/>
    <x v="879"/>
    <m/>
    <m/>
    <m/>
    <m/>
    <m/>
    <m/>
    <m/>
    <m/>
    <m/>
    <m/>
    <m/>
    <m/>
    <m/>
    <m/>
    <m/>
    <m/>
    <m/>
    <m/>
    <m/>
    <m/>
    <m/>
    <m/>
    <n v="8.0813053472229512"/>
    <x v="4"/>
    <x v="1"/>
    <x v="1"/>
    <n v="189"/>
    <n v="33"/>
    <n v="0.17460317460317459"/>
    <n v="0.17460317460317459"/>
    <n v="1"/>
  </r>
  <r>
    <n v="1299775906"/>
    <s v="49.584.002/0001-64"/>
    <s v="Mão na roda market "/>
    <x v="7"/>
    <s v="Pipebot"/>
    <x v="880"/>
    <m/>
    <m/>
    <m/>
    <m/>
    <m/>
    <m/>
    <m/>
    <m/>
    <m/>
    <m/>
    <m/>
    <m/>
    <m/>
    <m/>
    <m/>
    <m/>
    <m/>
    <m/>
    <m/>
    <m/>
    <m/>
    <m/>
    <n v="7.2052780324083869"/>
    <x v="4"/>
    <x v="1"/>
    <x v="1"/>
    <n v="189"/>
    <n v="33"/>
    <n v="0.17460317460317459"/>
    <n v="0.17460317460317459"/>
    <n v="1"/>
  </r>
  <r>
    <n v="1211284989"/>
    <s v="49.428.495/0001-43"/>
    <s v="Marcela Santos Lima"/>
    <x v="0"/>
    <s v="Pipebot"/>
    <x v="881"/>
    <m/>
    <m/>
    <d v="2025-09-23T20:25:11"/>
    <d v="2025-09-24T20:25:51"/>
    <n v="1.0002660000000001"/>
    <d v="2025-09-28T20:26:22"/>
    <d v="2025-10-02T17:45:21"/>
    <n v="3.8881709999999998"/>
    <m/>
    <m/>
    <m/>
    <d v="2025-09-24T20:25:51"/>
    <d v="2025-09-26T20:26:03"/>
    <n v="2.0001389999999999"/>
    <d v="2025-09-26T20:26:03"/>
    <d v="2025-09-28T20:26:22"/>
    <n v="2.0002200000000001"/>
    <m/>
    <m/>
    <m/>
    <m/>
    <m/>
    <n v="170.14953177083225"/>
    <x v="0"/>
    <x v="4"/>
    <x v="0"/>
    <n v="197"/>
    <n v="149"/>
    <n v="0.75634517766497467"/>
    <n v="0.75634517766497467"/>
    <n v="1"/>
  </r>
  <r>
    <n v="1194446146"/>
    <s v="49.428.495/0001-43"/>
    <s v="Marcela Santos Lima"/>
    <x v="0"/>
    <s v="Pipebot"/>
    <x v="882"/>
    <m/>
    <m/>
    <d v="2025-08-27T15:25:22"/>
    <d v="2025-08-28T15:25:56"/>
    <n v="1.0003820000000001"/>
    <d v="2025-09-01T15:27:09"/>
    <d v="2025-09-01T18:04:36"/>
    <n v="0.10934000000000001"/>
    <d v="2025-09-01T18:04:36"/>
    <d v="2025-09-01T18:04:54"/>
    <n v="1.9699999999999999E-4"/>
    <d v="2025-08-28T15:25:56"/>
    <d v="2025-08-30T15:26:49"/>
    <n v="2.0006020000000002"/>
    <d v="2025-08-30T15:26:49"/>
    <d v="2025-09-01T15:27:08"/>
    <n v="2.0002200000000001"/>
    <m/>
    <m/>
    <m/>
    <m/>
    <m/>
    <n v="197.35808180554886"/>
    <x v="0"/>
    <x v="2"/>
    <x v="0"/>
    <n v="146"/>
    <n v="112"/>
    <n v="0.76712328767123283"/>
    <n v="0.76712328767123283"/>
    <n v="1"/>
  </r>
  <r>
    <n v="1266785501"/>
    <s v="43.604.055/0001-13"/>
    <s v="Marcelo Stanco Bocci"/>
    <x v="0"/>
    <s v="Pipebot"/>
    <x v="883"/>
    <m/>
    <m/>
    <d v="2025-12-24T22:09:52"/>
    <d v="2025-12-25T22:10:23"/>
    <n v="1.000359"/>
    <d v="2025-12-29T22:11:20"/>
    <d v="2026-01-16T12:21:28"/>
    <n v="17.590358999999999"/>
    <m/>
    <m/>
    <m/>
    <d v="2025-12-25T22:10:23"/>
    <d v="2025-12-27T22:10:49"/>
    <n v="2.000289"/>
    <d v="2025-12-27T22:10:49"/>
    <d v="2025-12-29T22:11:20"/>
    <n v="2.0003470000000001"/>
    <m/>
    <m/>
    <m/>
    <m/>
    <m/>
    <n v="78.076939444450545"/>
    <x v="0"/>
    <x v="7"/>
    <x v="0"/>
    <n v="207"/>
    <n v="140"/>
    <n v="0.67632850241545894"/>
    <n v="0.67632850241545894"/>
    <n v="1"/>
  </r>
  <r>
    <n v="1269465285"/>
    <s v="54.346.116/0003-78"/>
    <s v="Márcia Torrezan Minimarket - URGENTE, Mercado parado"/>
    <x v="5"/>
    <s v="Pipebot"/>
    <x v="884"/>
    <m/>
    <m/>
    <d v="2025-12-31T14:36:21"/>
    <d v="2026-02-19T12:35:08"/>
    <n v="1.9648730000000001"/>
    <d v="2026-01-05T14:37:38"/>
    <d v="2026-02-18T13:26:12"/>
    <n v="43.950381999999998"/>
    <m/>
    <m/>
    <m/>
    <d v="2026-01-01T14:36:50"/>
    <d v="2026-02-20T12:58:50"/>
    <n v="3.0167009999999999"/>
    <d v="2026-01-03T14:37:12"/>
    <d v="2026-01-05T14:37:38"/>
    <n v="8.3495600000000003"/>
    <m/>
    <m/>
    <m/>
    <m/>
    <m/>
    <n v="71.391741238432587"/>
    <x v="0"/>
    <x v="7"/>
    <x v="0"/>
    <n v="207"/>
    <n v="140"/>
    <n v="0.67632850241545894"/>
    <n v="0.67632850241545894"/>
    <n v="1"/>
  </r>
  <r>
    <n v="1171784363"/>
    <s v="56.076.124/0001-05"/>
    <s v="Marcelo"/>
    <x v="0"/>
    <s v="Pipebot"/>
    <x v="885"/>
    <m/>
    <m/>
    <d v="2025-07-18T15:27:42"/>
    <d v="2025-07-19T15:27:49"/>
    <n v="1.000081"/>
    <d v="2025-07-22T16:26:55"/>
    <d v="2025-08-07T17:21:02"/>
    <n v="16.037580999999999"/>
    <d v="2025-08-07T17:21:02"/>
    <d v="2025-08-07T17:21:08"/>
    <n v="5.8E-5"/>
    <d v="2025-07-19T15:27:49"/>
    <d v="2025-07-21T15:28:11"/>
    <n v="2.0002430000000002"/>
    <d v="2025-07-21T15:28:11"/>
    <d v="2025-07-21T22:15:01"/>
    <n v="0.28252300000000002"/>
    <m/>
    <m/>
    <m/>
    <m/>
    <m/>
    <n v="237.35643864583108"/>
    <x v="0"/>
    <x v="5"/>
    <x v="0"/>
    <n v="177"/>
    <n v="130"/>
    <n v="0.7344632768361582"/>
    <n v="0.7344632768361582"/>
    <n v="1"/>
  </r>
  <r>
    <n v="1294277809"/>
    <s v="43.333.852/0001-03"/>
    <s v="Marcelo Campos"/>
    <x v="5"/>
    <s v="Pipebot"/>
    <x v="886"/>
    <m/>
    <m/>
    <d v="2026-02-20T13:36:31"/>
    <d v="2026-02-20T16:52:49"/>
    <n v="0.13630800000000001"/>
    <m/>
    <m/>
    <m/>
    <m/>
    <m/>
    <m/>
    <d v="2026-02-20T16:52:49"/>
    <d v="2026-02-22T16:53:16"/>
    <n v="2.0003129999999998"/>
    <d v="2026-02-22T16:53:17"/>
    <m/>
    <n v="4.1864470000000003"/>
    <m/>
    <m/>
    <m/>
    <m/>
    <m/>
    <n v="20.434109259258548"/>
    <x v="3"/>
    <x v="1"/>
    <x v="1"/>
    <n v="189"/>
    <n v="33"/>
    <n v="0.17460317460317459"/>
    <n v="0.17460317460317459"/>
    <n v="1"/>
  </r>
  <r>
    <n v="1251842101"/>
    <m/>
    <s v="Marcelo Campos"/>
    <x v="0"/>
    <s v="Pipebot"/>
    <x v="887"/>
    <m/>
    <m/>
    <d v="2025-11-21T21:25:51"/>
    <d v="2025-11-22T21:26:04"/>
    <n v="1.0001500000000001"/>
    <d v="2025-11-26T21:27:28"/>
    <d v="2026-01-12T14:56:25"/>
    <n v="46.728425999999999"/>
    <m/>
    <m/>
    <m/>
    <d v="2025-11-22T21:26:04"/>
    <d v="2025-11-24T21:26:48"/>
    <n v="2.0004979999999999"/>
    <d v="2025-11-24T21:26:48"/>
    <d v="2025-11-26T21:27:28"/>
    <n v="2.0004629999999999"/>
    <m/>
    <m/>
    <m/>
    <m/>
    <m/>
    <n v="111.10775534722779"/>
    <x v="0"/>
    <x v="0"/>
    <x v="0"/>
    <n v="131"/>
    <n v="87"/>
    <n v="0.66412213740458015"/>
    <n v="0.66412213740458015"/>
    <n v="1"/>
  </r>
  <r>
    <n v="1256130004"/>
    <s v="43.333.852/0001-03"/>
    <s v="Marcelo Campos (ler comentario)"/>
    <x v="0"/>
    <s v="Pipebot"/>
    <x v="888"/>
    <m/>
    <m/>
    <d v="2025-12-02T12:10:23"/>
    <d v="2026-02-18T13:24:46"/>
    <n v="3.022697"/>
    <d v="2025-12-07T12:11:40"/>
    <d v="2026-02-16T12:52:46"/>
    <n v="71.028542000000002"/>
    <m/>
    <m/>
    <m/>
    <d v="2025-12-03T12:11:05"/>
    <d v="2026-02-18T16:35:45"/>
    <n v="2.1328939999999998"/>
    <d v="2025-12-05T12:11:30"/>
    <d v="2025-12-07T12:11:40"/>
    <n v="2.0001159999999998"/>
    <m/>
    <m/>
    <m/>
    <m/>
    <m/>
    <n v="100.49323712963087"/>
    <x v="0"/>
    <x v="0"/>
    <x v="0"/>
    <n v="131"/>
    <n v="87"/>
    <n v="0.66412213740458015"/>
    <n v="0.66412213740458015"/>
    <n v="1"/>
  </r>
  <r>
    <n v="1296637631"/>
    <s v="46.909.848/0001-39"/>
    <s v="Marcelo de Jesus"/>
    <x v="6"/>
    <s v="Pipebot"/>
    <x v="889"/>
    <m/>
    <m/>
    <d v="2026-02-25T22:07:53"/>
    <m/>
    <n v="0.96797500000000003"/>
    <m/>
    <m/>
    <m/>
    <m/>
    <m/>
    <m/>
    <m/>
    <m/>
    <m/>
    <m/>
    <m/>
    <m/>
    <m/>
    <m/>
    <m/>
    <m/>
    <m/>
    <n v="15.078406053253275"/>
    <x v="1"/>
    <x v="1"/>
    <x v="1"/>
    <n v="189"/>
    <n v="33"/>
    <n v="0.17460317460317459"/>
    <n v="0.17460317460317459"/>
    <n v="1"/>
  </r>
  <r>
    <n v="1281394926"/>
    <s v="46.909.848/0001-39"/>
    <s v="Marcelo de Jesus (máquina) - acionado sofia 02/02"/>
    <x v="5"/>
    <s v="Pipebot"/>
    <x v="890"/>
    <m/>
    <m/>
    <d v="2026-01-27T22:04:43"/>
    <d v="2026-02-20T16:51:32"/>
    <n v="2.17625"/>
    <d v="2026-02-01T22:06:00"/>
    <d v="2026-02-19T12:37:53"/>
    <n v="17.605474999999998"/>
    <m/>
    <m/>
    <m/>
    <d v="2026-01-28T22:04:52"/>
    <d v="2026-02-23T13:32:47"/>
    <n v="4.8623380000000003"/>
    <d v="2026-01-30T22:05:24"/>
    <d v="2026-02-01T22:06:00"/>
    <n v="5.3260759999999996"/>
    <m/>
    <m/>
    <m/>
    <m/>
    <m/>
    <n v="44.080350358803116"/>
    <x v="2"/>
    <x v="3"/>
    <x v="1"/>
    <n v="223"/>
    <n v="147"/>
    <n v="0.65919282511210764"/>
    <n v="0.65919282511210764"/>
    <n v="1"/>
  </r>
  <r>
    <n v="1299779053"/>
    <s v="46.909.848/0001-39"/>
    <s v="Marcelo de Jesus:"/>
    <x v="7"/>
    <s v="Pipebot"/>
    <x v="891"/>
    <m/>
    <m/>
    <m/>
    <m/>
    <m/>
    <m/>
    <m/>
    <m/>
    <m/>
    <m/>
    <m/>
    <m/>
    <m/>
    <m/>
    <m/>
    <m/>
    <m/>
    <m/>
    <m/>
    <m/>
    <m/>
    <m/>
    <n v="7.2024545254680561"/>
    <x v="4"/>
    <x v="1"/>
    <x v="1"/>
    <n v="189"/>
    <n v="33"/>
    <n v="0.17460317460317459"/>
    <n v="0.17460317460317459"/>
    <n v="1"/>
  </r>
  <r>
    <n v="1173790666"/>
    <s v="41.682.067/0001-30"/>
    <s v="Marcelo de Macedo Araújo cabo de carregador"/>
    <x v="3"/>
    <s v="Pipebot"/>
    <x v="892"/>
    <m/>
    <m/>
    <d v="2025-07-23T20:25:28"/>
    <d v="2025-07-24T20:26:39"/>
    <n v="1.00081"/>
    <d v="2025-07-28T20:27:40"/>
    <d v="2025-09-26T21:32:39"/>
    <n v="60.045127000000001"/>
    <m/>
    <m/>
    <m/>
    <d v="2025-07-24T20:26:39"/>
    <d v="2025-07-26T20:27:13"/>
    <n v="2.000394"/>
    <d v="2025-07-26T20:27:13"/>
    <d v="2025-07-28T20:27:40"/>
    <n v="2.0003009999999999"/>
    <m/>
    <m/>
    <m/>
    <m/>
    <m/>
    <n v="232.14911467592174"/>
    <x v="0"/>
    <x v="5"/>
    <x v="0"/>
    <n v="177"/>
    <n v="130"/>
    <n v="0.7344632768361582"/>
    <n v="0.7344632768361582"/>
    <n v="1"/>
  </r>
  <r>
    <n v="1200644964"/>
    <s v="45.654.610/0001-47"/>
    <s v="Marcelo Granieri Oliveira"/>
    <x v="0"/>
    <s v="Pipebot"/>
    <x v="893"/>
    <m/>
    <m/>
    <d v="2025-09-06T15:27:24"/>
    <d v="2025-09-07T15:28:09"/>
    <n v="1.000521"/>
    <m/>
    <m/>
    <m/>
    <m/>
    <m/>
    <m/>
    <d v="2025-09-07T15:28:09"/>
    <d v="2025-09-08T18:06:27"/>
    <n v="1.109931"/>
    <m/>
    <m/>
    <m/>
    <m/>
    <m/>
    <m/>
    <m/>
    <m/>
    <n v="187.35668341435667"/>
    <x v="0"/>
    <x v="2"/>
    <x v="0"/>
    <n v="146"/>
    <n v="112"/>
    <n v="0.76712328767123283"/>
    <n v="0.76712328767123283"/>
    <n v="1"/>
  </r>
  <r>
    <n v="1245632839"/>
    <s v="45.230.964/0001-64"/>
    <s v="Marcelo Guimarães Xavier - Chegou"/>
    <x v="8"/>
    <s v="Pipebot"/>
    <x v="894"/>
    <m/>
    <m/>
    <m/>
    <m/>
    <m/>
    <m/>
    <m/>
    <m/>
    <m/>
    <m/>
    <m/>
    <m/>
    <m/>
    <m/>
    <m/>
    <m/>
    <m/>
    <m/>
    <m/>
    <m/>
    <m/>
    <m/>
    <n v="122.20419063657755"/>
    <x v="0"/>
    <x v="6"/>
    <x v="0"/>
    <n v="195"/>
    <n v="132"/>
    <n v="0.67692307692307696"/>
    <n v="0.67692307692307696"/>
    <n v="1"/>
  </r>
  <r>
    <n v="1248815705"/>
    <s v="45.230.964/0001-64"/>
    <s v="Marcelo Guimarães Xavier @melesque ler quando chegar os itens faltantes (protocolo 200134 - ler comentário)"/>
    <x v="0"/>
    <s v="Pipebot"/>
    <x v="895"/>
    <m/>
    <m/>
    <d v="2025-11-17T13:05:44"/>
    <d v="2026-02-16T12:51:20"/>
    <n v="3.8676970000000002"/>
    <d v="2025-11-22T13:06:40"/>
    <d v="2026-02-13T16:02:16"/>
    <n v="60.190972000000002"/>
    <d v="2025-11-27T17:05:57"/>
    <d v="2026-02-20T19:47:27"/>
    <n v="22.940995000000001"/>
    <d v="2025-11-18T13:06:09"/>
    <d v="2026-02-18T13:21:14"/>
    <n v="4.0209489999999999"/>
    <d v="2025-11-20T13:06:26"/>
    <d v="2026-02-20T19:28:28"/>
    <n v="4.255185"/>
    <m/>
    <m/>
    <m/>
    <m/>
    <m/>
    <n v="115.45484074074193"/>
    <x v="0"/>
    <x v="0"/>
    <x v="0"/>
    <n v="131"/>
    <n v="87"/>
    <n v="0.66412213740458015"/>
    <n v="0.66412213740458015"/>
    <n v="1"/>
  </r>
  <r>
    <n v="1185030411"/>
    <m/>
    <s v="Marcelo Henrique Oliveira Silva"/>
    <x v="0"/>
    <s v="Pipebot"/>
    <x v="896"/>
    <m/>
    <m/>
    <d v="2025-08-12T12:52:18"/>
    <d v="2025-08-13T12:53:09"/>
    <n v="1.0005900000000001"/>
    <d v="2025-08-17T12:54:06"/>
    <d v="2025-12-10T17:27:08"/>
    <n v="115.189606"/>
    <m/>
    <m/>
    <m/>
    <d v="2025-08-13T12:53:09"/>
    <d v="2025-08-15T12:54:01"/>
    <n v="2.0005899999999999"/>
    <d v="2025-08-15T12:54:01"/>
    <d v="2025-08-17T12:54:06"/>
    <n v="2.0000580000000001"/>
    <m/>
    <m/>
    <m/>
    <m/>
    <m/>
    <n v="212.46439798610663"/>
    <x v="0"/>
    <x v="5"/>
    <x v="0"/>
    <n v="177"/>
    <n v="130"/>
    <n v="0.7344632768361582"/>
    <n v="0.7344632768361582"/>
    <n v="1"/>
  </r>
  <r>
    <n v="1265302614"/>
    <s v="48.807.415/0001-06"/>
    <s v="Márcio Lima"/>
    <x v="0"/>
    <s v="Pipebot"/>
    <x v="897"/>
    <m/>
    <m/>
    <d v="2025-12-22T13:09:09"/>
    <d v="2025-12-23T13:09:15"/>
    <n v="1.0000690000000001"/>
    <d v="2025-12-27T13:09:52"/>
    <d v="2026-01-12T14:43:05"/>
    <n v="16.064734000000001"/>
    <m/>
    <m/>
    <m/>
    <d v="2025-12-23T13:09:15"/>
    <d v="2025-12-25T13:09:44"/>
    <n v="2.0003359999999999"/>
    <d v="2025-12-25T13:09:44"/>
    <d v="2025-12-27T13:09:52"/>
    <n v="2.0000810000000002"/>
    <m/>
    <m/>
    <m/>
    <m/>
    <m/>
    <n v="80.452653055559495"/>
    <x v="0"/>
    <x v="7"/>
    <x v="0"/>
    <n v="207"/>
    <n v="140"/>
    <n v="0.67632850241545894"/>
    <n v="0.67632850241545894"/>
    <n v="1"/>
  </r>
  <r>
    <n v="1238505819"/>
    <s v="43.604.055/0001-13"/>
    <s v="Marcelo Stanco Bocci - Adaptador smd chegou"/>
    <x v="8"/>
    <s v="Pipebot"/>
    <x v="898"/>
    <m/>
    <m/>
    <d v="2025-10-31T19:07:04"/>
    <d v="2025-11-01T19:07:57"/>
    <n v="1.000602"/>
    <m/>
    <m/>
    <m/>
    <m/>
    <m/>
    <m/>
    <d v="2025-11-01T19:07:57"/>
    <d v="2025-11-03T18:45:34"/>
    <n v="1.9844440000000001"/>
    <m/>
    <m/>
    <m/>
    <m/>
    <m/>
    <m/>
    <m/>
    <m/>
    <n v="132.20368168981804"/>
    <x v="0"/>
    <x v="6"/>
    <x v="0"/>
    <n v="195"/>
    <n v="132"/>
    <n v="0.67692307692307696"/>
    <n v="0.67692307692307696"/>
    <n v="1"/>
  </r>
  <r>
    <n v="1190508299"/>
    <s v="59.331.457/0001-21"/>
    <s v="Marcelo Tamietti Jardim"/>
    <x v="0"/>
    <s v="Pipebot"/>
    <x v="899"/>
    <m/>
    <m/>
    <d v="2025-08-21T20:26:29"/>
    <d v="2025-08-22T20:27:34"/>
    <n v="1.0007410000000001"/>
    <d v="2025-08-26T20:28:41"/>
    <d v="2025-08-29T18:29:47"/>
    <n v="2.9174310000000001"/>
    <d v="2025-08-29T18:29:47"/>
    <d v="2025-08-29T18:29:59"/>
    <n v="1.27E-4"/>
    <d v="2025-08-22T20:27:34"/>
    <d v="2025-08-24T20:27:59"/>
    <n v="2.0002779999999998"/>
    <d v="2025-08-24T20:27:59"/>
    <d v="2025-08-26T20:28:41"/>
    <n v="2.0004749999999998"/>
    <m/>
    <m/>
    <m/>
    <m/>
    <m/>
    <n v="203.14883350693708"/>
    <x v="0"/>
    <x v="2"/>
    <x v="0"/>
    <n v="146"/>
    <n v="112"/>
    <n v="0.76712328767123283"/>
    <n v="0.76712328767123283"/>
    <n v="1"/>
  </r>
  <r>
    <n v="1226088784"/>
    <s v="18.552.180/0001-80"/>
    <s v="marcia cristina schetini zica"/>
    <x v="0"/>
    <s v="Pipebot"/>
    <x v="900"/>
    <m/>
    <m/>
    <m/>
    <m/>
    <m/>
    <m/>
    <m/>
    <m/>
    <m/>
    <m/>
    <m/>
    <m/>
    <m/>
    <m/>
    <m/>
    <m/>
    <m/>
    <m/>
    <m/>
    <m/>
    <m/>
    <m/>
    <n v="147.26530699073919"/>
    <x v="0"/>
    <x v="6"/>
    <x v="0"/>
    <n v="195"/>
    <n v="132"/>
    <n v="0.67692307692307696"/>
    <n v="0.67692307692307696"/>
    <n v="1"/>
  </r>
  <r>
    <n v="1261830904"/>
    <s v="40.732.736/0001-79"/>
    <s v="Márcio Roberto Buscariolo"/>
    <x v="0"/>
    <s v="Pipebot"/>
    <x v="901"/>
    <m/>
    <m/>
    <d v="2025-12-15T15:07:48"/>
    <d v="2025-12-16T15:08:44"/>
    <n v="1.000637"/>
    <m/>
    <m/>
    <m/>
    <m/>
    <m/>
    <m/>
    <d v="2025-12-16T15:08:44"/>
    <d v="2025-12-18T15:08:56"/>
    <n v="2.0001389999999999"/>
    <d v="2025-12-18T15:08:56"/>
    <d v="2025-12-19T14:20:23"/>
    <n v="0.96628499999999995"/>
    <m/>
    <m/>
    <m/>
    <m/>
    <m/>
    <n v="87.370156851851789"/>
    <x v="0"/>
    <x v="7"/>
    <x v="0"/>
    <n v="207"/>
    <n v="140"/>
    <n v="0.67632850241545894"/>
    <n v="0.67632850241545894"/>
    <n v="1"/>
  </r>
  <r>
    <n v="1204000332"/>
    <s v="51.772.420/0001-27"/>
    <s v="Marciel da Rocha Tomaz"/>
    <x v="0"/>
    <s v="Pipebot"/>
    <x v="902"/>
    <m/>
    <m/>
    <d v="2025-09-11T20:24:55"/>
    <d v="2025-09-12T20:25:14"/>
    <n v="1.0002200000000001"/>
    <d v="2025-09-16T20:26:46"/>
    <d v="2025-09-23T20:41:48"/>
    <n v="7.0104280000000001"/>
    <m/>
    <m/>
    <m/>
    <d v="2025-09-12T20:25:14"/>
    <d v="2025-09-14T20:25:52"/>
    <n v="2.0004279999999999"/>
    <d v="2025-09-14T20:25:52"/>
    <d v="2025-09-16T20:26:46"/>
    <n v="2.0006249999999999"/>
    <m/>
    <m/>
    <m/>
    <m/>
    <m/>
    <n v="182.1497884606506"/>
    <x v="0"/>
    <x v="2"/>
    <x v="0"/>
    <n v="146"/>
    <n v="112"/>
    <n v="0.76712328767123283"/>
    <n v="0.76712328767123283"/>
    <n v="1"/>
  </r>
  <r>
    <n v="1209597295"/>
    <s v="57.409.640/0001-77"/>
    <s v="Márcio Deana de Oliveira"/>
    <x v="0"/>
    <s v="Pipebot"/>
    <x v="903"/>
    <m/>
    <m/>
    <m/>
    <m/>
    <m/>
    <m/>
    <m/>
    <m/>
    <m/>
    <m/>
    <m/>
    <m/>
    <m/>
    <m/>
    <m/>
    <m/>
    <m/>
    <m/>
    <m/>
    <m/>
    <m/>
    <m/>
    <n v="173.35677968749951"/>
    <x v="0"/>
    <x v="4"/>
    <x v="0"/>
    <n v="197"/>
    <n v="149"/>
    <n v="0.75634517766497467"/>
    <n v="0.75634517766497467"/>
    <n v="1"/>
  </r>
  <r>
    <n v="1229898350"/>
    <s v="57.227.020/0001-17"/>
    <s v="Márcio Gonçalves Pereira"/>
    <x v="0"/>
    <s v="Pipebot"/>
    <x v="904"/>
    <m/>
    <m/>
    <d v="2025-10-21T20:26:28"/>
    <d v="2025-10-22T20:26:41"/>
    <n v="1.0001389999999999"/>
    <d v="2025-10-26T20:27:18"/>
    <d v="2025-10-27T20:03:11"/>
    <n v="0.98325200000000001"/>
    <m/>
    <m/>
    <m/>
    <d v="2025-10-22T20:26:41"/>
    <d v="2025-10-24T20:27:09"/>
    <n v="2.000324"/>
    <d v="2025-10-24T20:27:09"/>
    <d v="2025-10-26T20:27:18"/>
    <n v="2.0000930000000001"/>
    <m/>
    <m/>
    <m/>
    <m/>
    <m/>
    <n v="142.14893215277698"/>
    <x v="0"/>
    <x v="6"/>
    <x v="0"/>
    <n v="195"/>
    <n v="132"/>
    <n v="0.67692307692307696"/>
    <n v="0.67692307692307696"/>
    <n v="1"/>
  </r>
  <r>
    <n v="1270220229"/>
    <s v="40.732.736/0001-79"/>
    <s v="Márcio Roberto Buscariolo"/>
    <x v="0"/>
    <s v="Pipebot"/>
    <x v="905"/>
    <m/>
    <m/>
    <m/>
    <m/>
    <m/>
    <m/>
    <m/>
    <m/>
    <m/>
    <m/>
    <m/>
    <m/>
    <m/>
    <m/>
    <m/>
    <m/>
    <m/>
    <m/>
    <m/>
    <m/>
    <m/>
    <m/>
    <n v="70.165510370366974"/>
    <x v="0"/>
    <x v="7"/>
    <x v="0"/>
    <n v="207"/>
    <n v="140"/>
    <n v="0.67632850241545894"/>
    <n v="0.67632850241545894"/>
    <n v="1"/>
  </r>
  <r>
    <n v="1272469792"/>
    <s v="50.600.886/0001-82"/>
    <s v="MARCO AURÉLIO SOARES "/>
    <x v="0"/>
    <s v="Pipebot"/>
    <x v="906"/>
    <m/>
    <m/>
    <d v="2026-01-07T13:06:49"/>
    <d v="2026-01-08T13:07:48"/>
    <n v="1.0006710000000001"/>
    <d v="2026-01-12T13:08:25"/>
    <d v="2026-01-14T17:30:32"/>
    <n v="2.1820140000000001"/>
    <m/>
    <m/>
    <m/>
    <d v="2026-01-08T13:07:48"/>
    <d v="2026-01-10T13:08:11"/>
    <n v="2.0002659999999999"/>
    <d v="2026-01-10T13:08:11"/>
    <d v="2026-01-12T13:08:25"/>
    <n v="2.000162"/>
    <m/>
    <m/>
    <m/>
    <m/>
    <m/>
    <n v="64.454287800923339"/>
    <x v="0"/>
    <x v="7"/>
    <x v="0"/>
    <n v="207"/>
    <n v="140"/>
    <n v="0.67632850241545894"/>
    <n v="0.67632850241545894"/>
    <n v="1"/>
  </r>
  <r>
    <n v="1270229514"/>
    <s v="04.509.294/0001-32"/>
    <s v="Marcone Soares"/>
    <x v="5"/>
    <s v="Pipebot"/>
    <x v="907"/>
    <m/>
    <m/>
    <d v="2026-01-01T20:18:37"/>
    <d v="2026-02-19T12:35:15"/>
    <n v="1.96485"/>
    <d v="2026-01-06T20:20:55"/>
    <d v="2026-02-18T13:26:18"/>
    <n v="42.712071999999999"/>
    <m/>
    <m/>
    <m/>
    <d v="2026-01-02T20:19:04"/>
    <d v="2026-02-20T12:58:58"/>
    <n v="3.0172110000000001"/>
    <d v="2026-01-04T20:20:08"/>
    <d v="2026-01-06T20:20:55"/>
    <n v="8.3496989999999993"/>
    <m/>
    <m/>
    <m/>
    <m/>
    <m/>
    <n v="70.154069340278511"/>
    <x v="0"/>
    <x v="7"/>
    <x v="0"/>
    <n v="207"/>
    <n v="140"/>
    <n v="0.67632850241545894"/>
    <n v="0.67632850241545894"/>
    <n v="1"/>
  </r>
  <r>
    <n v="1286719800"/>
    <s v="40.732.736/0001-79"/>
    <s v="MARCIO ROBERTO BUSCARIOLO"/>
    <x v="10"/>
    <s v="Pipebot"/>
    <x v="908"/>
    <m/>
    <m/>
    <d v="2026-02-06T19:05:31"/>
    <d v="2026-02-20T16:52:32"/>
    <n v="2.1743169999999998"/>
    <d v="2026-02-10T13:05:49"/>
    <d v="2026-02-19T12:42:17"/>
    <n v="8.9836460000000002"/>
    <m/>
    <m/>
    <m/>
    <d v="2026-02-07T19:06:18"/>
    <d v="2026-02-23T13:32:47"/>
    <n v="4.86191"/>
    <d v="2026-02-09T19:07:13"/>
    <d v="2026-02-26T14:49:49"/>
    <n v="3.8025120000000001"/>
    <m/>
    <m/>
    <m/>
    <m/>
    <m/>
    <n v="34.205084618057299"/>
    <x v="2"/>
    <x v="3"/>
    <x v="1"/>
    <n v="223"/>
    <n v="147"/>
    <n v="0.65919282511210764"/>
    <n v="0.65919282511210764"/>
    <n v="1"/>
  </r>
  <r>
    <n v="1296072573"/>
    <s v="47.868.101/0001-42"/>
    <s v="Marco Antônio Pimpão Machado Cunha - enviado"/>
    <x v="2"/>
    <s v="Pipebot"/>
    <x v="909"/>
    <d v="2026-02-12T20:27:31"/>
    <d v="2026-02-12T20:27:46"/>
    <m/>
    <m/>
    <m/>
    <d v="2026-02-12T20:28:01"/>
    <d v="2026-02-19T19:13:17"/>
    <n v="6.9229050000000001"/>
    <d v="2026-02-19T19:13:17"/>
    <m/>
    <n v="7.0892249999999999"/>
    <m/>
    <m/>
    <m/>
    <m/>
    <m/>
    <m/>
    <m/>
    <m/>
    <m/>
    <m/>
    <m/>
    <n v="16.122606805547548"/>
    <x v="1"/>
    <x v="1"/>
    <x v="1"/>
    <n v="189"/>
    <n v="33"/>
    <n v="0.17460317460317459"/>
    <n v="0.17460317460317459"/>
    <n v="1"/>
  </r>
  <r>
    <n v="1270228997"/>
    <s v="39.644.124/0001-45"/>
    <s v="Marcone Soares"/>
    <x v="5"/>
    <s v="Pipebot"/>
    <x v="910"/>
    <m/>
    <m/>
    <d v="2026-01-01T20:17:37"/>
    <d v="2026-02-19T12:35:14"/>
    <n v="1.9647570000000001"/>
    <d v="2026-01-06T20:18:59"/>
    <d v="2026-02-18T13:26:17"/>
    <n v="42.713403"/>
    <m/>
    <m/>
    <m/>
    <d v="2026-01-02T20:17:57"/>
    <d v="2026-02-20T12:58:57"/>
    <n v="3.0166780000000002"/>
    <d v="2026-01-04T20:18:15"/>
    <d v="2026-01-06T20:18:59"/>
    <n v="8.3496760000000005"/>
    <m/>
    <m/>
    <m/>
    <m/>
    <m/>
    <n v="70.154745081017609"/>
    <x v="0"/>
    <x v="7"/>
    <x v="0"/>
    <n v="207"/>
    <n v="140"/>
    <n v="0.67632850241545894"/>
    <n v="0.67632850241545894"/>
    <n v="1"/>
  </r>
  <r>
    <n v="1239651776"/>
    <s v="60.163.740/0001-70"/>
    <s v="Marco Aurélio ubirajara Garcia Gomes"/>
    <x v="0"/>
    <s v="Pipebot"/>
    <x v="911"/>
    <m/>
    <m/>
    <m/>
    <m/>
    <m/>
    <m/>
    <m/>
    <m/>
    <m/>
    <m/>
    <m/>
    <m/>
    <m/>
    <m/>
    <m/>
    <m/>
    <m/>
    <m/>
    <m/>
    <m/>
    <m/>
    <m/>
    <n v="129.46038252315338"/>
    <x v="0"/>
    <x v="6"/>
    <x v="0"/>
    <n v="195"/>
    <n v="132"/>
    <n v="0.67692307692307696"/>
    <n v="0.67692307692307696"/>
    <n v="1"/>
  </r>
  <r>
    <n v="1181880108"/>
    <s v="60.163.740/0001-70"/>
    <s v="Marco Aurélio ubirajara Garcia Gomes"/>
    <x v="0"/>
    <s v="Pipebot"/>
    <x v="912"/>
    <m/>
    <m/>
    <d v="2025-08-06T15:26:40"/>
    <d v="2025-08-07T15:26:46"/>
    <n v="1.0000690000000001"/>
    <d v="2025-08-11T15:27:06"/>
    <d v="2025-08-19T20:33:56"/>
    <n v="8.2130670000000006"/>
    <m/>
    <m/>
    <m/>
    <d v="2025-08-07T15:26:46"/>
    <d v="2025-08-09T15:26:59"/>
    <n v="2.0001389999999999"/>
    <d v="2025-08-09T15:26:59"/>
    <d v="2025-08-11T15:27:06"/>
    <n v="2.0000810000000002"/>
    <m/>
    <m/>
    <m/>
    <m/>
    <m/>
    <n v="218.35700767360686"/>
    <x v="0"/>
    <x v="5"/>
    <x v="0"/>
    <n v="177"/>
    <n v="130"/>
    <n v="0.7344632768361582"/>
    <n v="0.7344632768361582"/>
    <n v="1"/>
  </r>
  <r>
    <n v="1262164361"/>
    <s v="54.194.925/0001-40"/>
    <s v="Marcos Vinicius Dutra dos Santos"/>
    <x v="0"/>
    <s v="Pipebot"/>
    <x v="913"/>
    <m/>
    <m/>
    <d v="2025-12-15T22:03:09"/>
    <d v="2025-12-16T22:04:51"/>
    <n v="1.001169"/>
    <d v="2025-12-20T22:06:07"/>
    <d v="2026-01-12T16:51:01"/>
    <n v="22.781181"/>
    <m/>
    <m/>
    <m/>
    <d v="2025-12-16T22:04:51"/>
    <d v="2025-12-18T22:05:36"/>
    <n v="2.000521"/>
    <d v="2025-12-18T22:05:36"/>
    <d v="2025-12-20T22:06:07"/>
    <n v="2.000359"/>
    <m/>
    <m/>
    <m/>
    <m/>
    <m/>
    <n v="87.081231736112386"/>
    <x v="0"/>
    <x v="7"/>
    <x v="0"/>
    <n v="207"/>
    <n v="140"/>
    <n v="0.67632850241545894"/>
    <n v="0.67632850241545894"/>
    <n v="1"/>
  </r>
  <r>
    <n v="1270413346"/>
    <s v="51.804.238/0001-00"/>
    <s v="Marcus Paulo Caldas Silveira"/>
    <x v="5"/>
    <s v="Pipebot"/>
    <x v="914"/>
    <m/>
    <m/>
    <d v="2026-01-02T12:24:52"/>
    <d v="2026-02-19T12:35:21"/>
    <n v="1.9648030000000001"/>
    <d v="2026-01-07T12:25:48"/>
    <d v="2026-02-18T13:26:23"/>
    <n v="42.042071999999997"/>
    <m/>
    <m/>
    <m/>
    <d v="2026-01-03T12:25:13"/>
    <d v="2026-02-20T13:02:54"/>
    <n v="3.0192589999999999"/>
    <d v="2026-01-05T12:25:25"/>
    <d v="2026-01-07T12:25:47"/>
    <n v="8.3466900000000006"/>
    <m/>
    <m/>
    <m/>
    <m/>
    <m/>
    <n v="69.48295204860915"/>
    <x v="0"/>
    <x v="7"/>
    <x v="0"/>
    <n v="207"/>
    <n v="140"/>
    <n v="0.67632850241545894"/>
    <n v="0.67632850241545894"/>
    <n v="1"/>
  </r>
  <r>
    <n v="1249617679"/>
    <s v="51.338.352/0001-92"/>
    <s v="Marcos Andre da Silva Ferreira"/>
    <x v="5"/>
    <s v="Pipebot"/>
    <x v="915"/>
    <m/>
    <m/>
    <d v="2025-11-18T16:18:59"/>
    <d v="2026-02-16T12:51:22"/>
    <n v="3.8676740000000001"/>
    <d v="2025-11-23T16:20:14"/>
    <d v="2026-02-13T16:02:19"/>
    <n v="81.987545999999995"/>
    <m/>
    <m/>
    <m/>
    <d v="2025-11-19T16:19:23"/>
    <d v="2026-02-18T13:21:17"/>
    <n v="4.0210999999999997"/>
    <d v="2025-11-21T16:19:52"/>
    <d v="2025-11-23T16:20:14"/>
    <n v="10.333924"/>
    <m/>
    <m/>
    <m/>
    <m/>
    <m/>
    <n v="114.32033607638732"/>
    <x v="0"/>
    <x v="0"/>
    <x v="0"/>
    <n v="131"/>
    <n v="87"/>
    <n v="0.66412213740458015"/>
    <n v="0.66412213740458015"/>
    <n v="1"/>
  </r>
  <r>
    <n v="1288315189"/>
    <s v="51.338.352/0001-92"/>
    <s v="Marcos Andre da Silva Ferreira"/>
    <x v="5"/>
    <s v="Pipebot"/>
    <x v="916"/>
    <m/>
    <m/>
    <d v="2026-02-09T19:07:15"/>
    <d v="2026-02-23T13:37:13"/>
    <n v="3.8604630000000002"/>
    <d v="2026-02-11T20:42:37"/>
    <d v="2026-02-20T16:58:19"/>
    <n v="8.8442249999999998"/>
    <m/>
    <m/>
    <m/>
    <d v="2026-02-10T19:07:26"/>
    <d v="2026-02-25T13:37:51"/>
    <n v="2.000451"/>
    <d v="2026-02-10T19:07:27"/>
    <d v="2026-02-11T20:42:37"/>
    <n v="2.388252"/>
    <m/>
    <m/>
    <m/>
    <m/>
    <m/>
    <n v="31.203738877316937"/>
    <x v="2"/>
    <x v="3"/>
    <x v="1"/>
    <n v="223"/>
    <n v="147"/>
    <n v="0.65919282511210764"/>
    <n v="0.65919282511210764"/>
    <n v="1"/>
  </r>
  <r>
    <n v="1255709448"/>
    <s v="51.468.455/0001-77"/>
    <s v="Marcos Favarão (ler comentário se atender!!!)"/>
    <x v="2"/>
    <s v="Pipebot"/>
    <x v="917"/>
    <m/>
    <m/>
    <d v="2025-12-01T15:06:01"/>
    <d v="2026-02-16T12:52:03"/>
    <n v="3.8671180000000001"/>
    <d v="2025-12-06T15:08:28"/>
    <d v="2026-02-13T16:03:57"/>
    <n v="69.034317000000001"/>
    <d v="2026-02-19T19:12:59"/>
    <m/>
    <n v="7.0894209999999998"/>
    <d v="2025-12-02T15:06:36"/>
    <d v="2026-02-18T13:22:39"/>
    <n v="4.0218980000000002"/>
    <d v="2025-12-04T15:07:32"/>
    <d v="2026-02-19T19:12:59"/>
    <n v="3.243935"/>
    <m/>
    <m/>
    <m/>
    <m/>
    <m/>
    <n v="101.37099844907061"/>
    <x v="0"/>
    <x v="0"/>
    <x v="0"/>
    <n v="131"/>
    <n v="87"/>
    <n v="0.66412213740458015"/>
    <n v="0.66412213740458015"/>
    <n v="1"/>
  </r>
  <r>
    <n v="1254591096"/>
    <s v="61.578.958/0001-59"/>
    <s v="Marcos Gomes da Silva"/>
    <x v="2"/>
    <s v="Pipebot"/>
    <x v="918"/>
    <m/>
    <m/>
    <d v="2025-11-27T19:04:24"/>
    <d v="2026-02-16T12:51:59"/>
    <n v="3.8673030000000002"/>
    <d v="2025-12-02T19:05:39"/>
    <d v="2026-02-13T16:03:52"/>
    <n v="72.873750000000001"/>
    <d v="2026-02-19T18:29:30"/>
    <m/>
    <n v="7.119618"/>
    <d v="2025-11-28T19:05:13"/>
    <d v="2026-02-18T13:22:29"/>
    <n v="4.0213429999999999"/>
    <d v="2025-11-30T19:05:27"/>
    <d v="2026-02-19T18:29:30"/>
    <n v="3.2133449999999999"/>
    <m/>
    <m/>
    <m/>
    <m/>
    <m/>
    <n v="105.20584815971961"/>
    <x v="0"/>
    <x v="0"/>
    <x v="0"/>
    <n v="131"/>
    <n v="87"/>
    <n v="0.66412213740458015"/>
    <n v="0.66412213740458015"/>
    <n v="1"/>
  </r>
  <r>
    <n v="1269142181"/>
    <s v="54.443.185/0001-38"/>
    <s v="MARIA BETANIA GOMES DA SILVA"/>
    <x v="0"/>
    <s v="Pipebot"/>
    <x v="919"/>
    <m/>
    <m/>
    <d v="2025-12-30T19:07:01"/>
    <d v="2025-12-31T19:07:16"/>
    <n v="1.000162"/>
    <d v="2026-01-04T19:08:59"/>
    <d v="2026-01-12T16:44:52"/>
    <n v="7.8999069999999998"/>
    <m/>
    <m/>
    <m/>
    <d v="2025-12-31T19:07:16"/>
    <d v="2026-01-02T19:08:14"/>
    <n v="2.0006710000000001"/>
    <d v="2026-01-02T19:08:14"/>
    <d v="2026-01-04T19:08:59"/>
    <n v="2.000521"/>
    <m/>
    <m/>
    <m/>
    <m/>
    <m/>
    <n v="72.203577951389889"/>
    <x v="0"/>
    <x v="7"/>
    <x v="0"/>
    <n v="207"/>
    <n v="140"/>
    <n v="0.67632850241545894"/>
    <n v="0.67632850241545894"/>
    <n v="1"/>
  </r>
  <r>
    <n v="1269142420"/>
    <s v="63.230.117/0001-81"/>
    <s v="Maria Eduarda"/>
    <x v="5"/>
    <s v="Pipebot"/>
    <x v="920"/>
    <m/>
    <m/>
    <d v="2025-12-30T19:07:59"/>
    <d v="2026-02-19T12:35:06"/>
    <n v="1.964745"/>
    <d v="2026-01-04T19:09:00"/>
    <d v="2026-02-18T13:26:08"/>
    <n v="44.761898000000002"/>
    <m/>
    <m/>
    <m/>
    <d v="2025-12-31T19:08:16"/>
    <d v="2026-02-20T12:58:48"/>
    <n v="3.0168629999999999"/>
    <d v="2026-01-02T19:08:53"/>
    <d v="2026-01-04T19:09:00"/>
    <n v="8.3493630000000003"/>
    <m/>
    <m/>
    <m/>
    <m/>
    <m/>
    <n v="72.203351851851039"/>
    <x v="0"/>
    <x v="7"/>
    <x v="0"/>
    <n v="207"/>
    <n v="140"/>
    <n v="0.67632850241545894"/>
    <n v="0.67632850241545894"/>
    <n v="1"/>
  </r>
  <r>
    <n v="1257672072"/>
    <m/>
    <s v="Marcus Paulo Caldas Silveira (51.804.238/0001-00) - NF gerada e anexada"/>
    <x v="5"/>
    <s v="Pipebot"/>
    <x v="921"/>
    <m/>
    <m/>
    <d v="2025-12-05T13:04:44"/>
    <d v="2026-02-18T13:24:49"/>
    <n v="3.0227430000000002"/>
    <d v="2025-12-10T13:05:52"/>
    <d v="2026-02-16T12:52:49"/>
    <n v="67.990926000000002"/>
    <m/>
    <m/>
    <m/>
    <d v="2025-12-06T13:05:29"/>
    <d v="2026-02-19T12:27:25"/>
    <n v="2.9603130000000002"/>
    <d v="2025-12-08T13:05:45"/>
    <d v="2025-12-10T13:05:52"/>
    <n v="9.3711459999999995"/>
    <m/>
    <m/>
    <m/>
    <m/>
    <m/>
    <n v="97.45568523149268"/>
    <x v="0"/>
    <x v="0"/>
    <x v="0"/>
    <n v="131"/>
    <n v="87"/>
    <n v="0.66412213740458015"/>
    <n v="0.66412213740458015"/>
    <n v="1"/>
  </r>
  <r>
    <n v="1222240108"/>
    <s v="50.459.790/0001-46"/>
    <s v="Maria Amélia Madeiro dos Santos Lima"/>
    <x v="0"/>
    <s v="Pipebot"/>
    <x v="922"/>
    <m/>
    <m/>
    <d v="2025-10-10T20:26:47"/>
    <d v="2025-10-11T20:27:46"/>
    <n v="1.000683"/>
    <d v="2025-10-15T20:29:15"/>
    <d v="2025-10-20T19:55:42"/>
    <n v="4.9767010000000003"/>
    <m/>
    <m/>
    <m/>
    <d v="2025-10-11T20:27:46"/>
    <d v="2025-10-13T20:28:31"/>
    <n v="2.0005090000000001"/>
    <d v="2025-10-13T20:28:31"/>
    <d v="2025-10-15T20:29:15"/>
    <n v="2.0005090000000001"/>
    <m/>
    <m/>
    <m/>
    <m/>
    <m/>
    <n v="153.14863089119899"/>
    <x v="0"/>
    <x v="4"/>
    <x v="0"/>
    <n v="197"/>
    <n v="149"/>
    <n v="0.75634517766497467"/>
    <n v="0.75634517766497467"/>
    <n v="1"/>
  </r>
  <r>
    <n v="1296921231"/>
    <s v="49.723.590/0001-70"/>
    <s v="MARIA BAENA MANRIQUE"/>
    <x v="6"/>
    <s v="Pipebot"/>
    <x v="923"/>
    <m/>
    <m/>
    <d v="2026-02-26T16:32:47"/>
    <m/>
    <n v="0.20067099999999999"/>
    <m/>
    <m/>
    <m/>
    <m/>
    <m/>
    <m/>
    <m/>
    <m/>
    <m/>
    <m/>
    <m/>
    <m/>
    <m/>
    <m/>
    <m/>
    <m/>
    <m/>
    <n v="14.311061319436703"/>
    <x v="1"/>
    <x v="1"/>
    <x v="1"/>
    <n v="189"/>
    <n v="33"/>
    <n v="0.17460317460317459"/>
    <n v="0.17460317460317459"/>
    <n v="1"/>
  </r>
  <r>
    <n v="1274487183"/>
    <s v="63.448.337/0001-86"/>
    <s v="Mariane Gabriela Chaves de Souza"/>
    <x v="0"/>
    <s v="Pipebot"/>
    <x v="924"/>
    <m/>
    <m/>
    <d v="2026-01-12T19:07:39"/>
    <d v="2026-01-13T19:08:10"/>
    <n v="1.000359"/>
    <m/>
    <m/>
    <m/>
    <m/>
    <m/>
    <m/>
    <d v="2026-01-13T19:08:10"/>
    <d v="2026-01-15T16:42:26"/>
    <n v="1.8987849999999999"/>
    <m/>
    <m/>
    <m/>
    <m/>
    <m/>
    <m/>
    <m/>
    <m/>
    <n v="59.203652048607182"/>
    <x v="2"/>
    <x v="7"/>
    <x v="0"/>
    <n v="207"/>
    <n v="140"/>
    <n v="0.67632850241545894"/>
    <n v="0.67632850241545894"/>
    <n v="1"/>
  </r>
  <r>
    <n v="1286721350"/>
    <s v="28.520.967/0001-13"/>
    <s v="Maria Costa"/>
    <x v="0"/>
    <s v="Pipebot"/>
    <x v="925"/>
    <m/>
    <m/>
    <d v="2026-02-06T19:07:29"/>
    <d v="2026-02-07T19:08:18"/>
    <n v="1.000556"/>
    <d v="2026-02-10T13:05:51"/>
    <d v="2026-02-16T14:44:10"/>
    <n v="6.0682749999999999"/>
    <d v="2026-02-16T14:44:10"/>
    <d v="2026-02-16T14:44:17"/>
    <n v="6.8999999999999997E-5"/>
    <d v="2026-02-07T19:08:18"/>
    <d v="2026-02-09T19:09:14"/>
    <n v="2.000648"/>
    <d v="2026-02-09T19:09:14"/>
    <d v="2026-02-10T13:05:51"/>
    <n v="0.74765000000000004"/>
    <m/>
    <m/>
    <m/>
    <m/>
    <m/>
    <n v="34.203665763889148"/>
    <x v="2"/>
    <x v="3"/>
    <x v="1"/>
    <n v="223"/>
    <n v="147"/>
    <n v="0.65919282511210764"/>
    <n v="0.65919282511210764"/>
    <n v="1"/>
  </r>
  <r>
    <n v="1293338430"/>
    <s v="28.520.967/0001-13"/>
    <s v="Maria Costa"/>
    <x v="5"/>
    <s v="Pipebot"/>
    <x v="926"/>
    <m/>
    <m/>
    <d v="2026-02-18T19:07:05"/>
    <d v="2026-02-19T12:36:06"/>
    <n v="0.72848400000000002"/>
    <m/>
    <m/>
    <m/>
    <m/>
    <m/>
    <m/>
    <d v="2026-02-19T12:36:06"/>
    <d v="2026-02-20T16:50:22"/>
    <n v="1.176574"/>
    <d v="2026-02-20T16:50:22"/>
    <m/>
    <n v="6.1884610000000002"/>
    <m/>
    <m/>
    <m/>
    <m/>
    <m/>
    <n v="22.204204120367649"/>
    <x v="3"/>
    <x v="1"/>
    <x v="1"/>
    <n v="189"/>
    <n v="33"/>
    <n v="0.17460317460317459"/>
    <n v="0.17460317460317459"/>
    <n v="1"/>
  </r>
  <r>
    <n v="1257102951"/>
    <s v="62.996.888/0001-11"/>
    <s v="Maria das Graças Camilo Gimenez"/>
    <x v="0"/>
    <s v="Pipebot"/>
    <x v="927"/>
    <m/>
    <m/>
    <d v="2025-12-03T19:06:56"/>
    <d v="2025-12-04T19:07:19"/>
    <n v="1.0002549999999999"/>
    <d v="2025-12-08T19:08:26"/>
    <d v="2025-12-10T17:39:34"/>
    <n v="1.9382870000000001"/>
    <m/>
    <m/>
    <m/>
    <d v="2025-12-04T19:07:19"/>
    <d v="2025-12-06T19:07:29"/>
    <n v="2.0001159999999998"/>
    <d v="2025-12-06T19:07:29"/>
    <d v="2025-12-08T19:08:25"/>
    <n v="2.000648"/>
    <m/>
    <m/>
    <m/>
    <m/>
    <m/>
    <n v="99.204143611110339"/>
    <x v="0"/>
    <x v="0"/>
    <x v="0"/>
    <n v="131"/>
    <n v="87"/>
    <n v="0.66412213740458015"/>
    <n v="0.66412213740458015"/>
    <n v="1"/>
  </r>
  <r>
    <n v="1267755310"/>
    <s v="62.689.159/0001-12"/>
    <s v="Marielli Rivieri Neves "/>
    <x v="5"/>
    <s v="Pipebot"/>
    <x v="928"/>
    <m/>
    <m/>
    <d v="2025-12-26T19:55:11"/>
    <d v="2026-02-18T13:25:34"/>
    <n v="3.022627"/>
    <d v="2025-12-31T19:57:16"/>
    <d v="2026-02-16T12:53:37"/>
    <n v="46.705798999999999"/>
    <m/>
    <m/>
    <m/>
    <d v="2025-12-27T19:55:49"/>
    <d v="2026-02-19T12:28:13"/>
    <n v="2.9605899999999998"/>
    <d v="2025-12-29T19:56:25"/>
    <d v="2025-12-31T19:57:16"/>
    <n v="9.3711000000000002"/>
    <m/>
    <m/>
    <m/>
    <m/>
    <m/>
    <n v="76.170746956020594"/>
    <x v="0"/>
    <x v="7"/>
    <x v="0"/>
    <n v="207"/>
    <n v="140"/>
    <n v="0.67632850241545894"/>
    <n v="0.67632850241545894"/>
    <n v="1"/>
  </r>
  <r>
    <n v="1221522070"/>
    <s v="28.520.967/0001-13"/>
    <s v="Maria Fernanda"/>
    <x v="0"/>
    <s v="Pipebot"/>
    <x v="929"/>
    <m/>
    <m/>
    <m/>
    <m/>
    <m/>
    <m/>
    <m/>
    <m/>
    <m/>
    <m/>
    <m/>
    <m/>
    <m/>
    <m/>
    <m/>
    <m/>
    <m/>
    <m/>
    <m/>
    <m/>
    <m/>
    <m/>
    <n v="154.14883739582729"/>
    <x v="0"/>
    <x v="4"/>
    <x v="0"/>
    <n v="197"/>
    <n v="149"/>
    <n v="0.75634517766497467"/>
    <n v="0.75634517766497467"/>
    <n v="1"/>
  </r>
  <r>
    <n v="1180430092"/>
    <s v="28.520.967/0001-13"/>
    <s v="Maria Fernanda Costa"/>
    <x v="0"/>
    <s v="Ademir da Silva Vitor Junior"/>
    <x v="930"/>
    <m/>
    <m/>
    <m/>
    <m/>
    <m/>
    <m/>
    <m/>
    <m/>
    <m/>
    <m/>
    <m/>
    <m/>
    <m/>
    <m/>
    <m/>
    <m/>
    <m/>
    <m/>
    <m/>
    <m/>
    <m/>
    <m/>
    <n v="220.15910189814895"/>
    <x v="0"/>
    <x v="5"/>
    <x v="0"/>
    <n v="177"/>
    <n v="130"/>
    <n v="0.7344632768361582"/>
    <n v="0.7344632768361582"/>
    <n v="1"/>
  </r>
  <r>
    <n v="1299776782"/>
    <s v="37.751.094/0001-40"/>
    <s v="Maria Gasolina"/>
    <x v="7"/>
    <s v="Pipebot"/>
    <x v="931"/>
    <m/>
    <m/>
    <m/>
    <m/>
    <m/>
    <m/>
    <m/>
    <m/>
    <m/>
    <m/>
    <m/>
    <m/>
    <m/>
    <m/>
    <m/>
    <m/>
    <m/>
    <m/>
    <m/>
    <m/>
    <m/>
    <m/>
    <n v="7.2046044560192968"/>
    <x v="4"/>
    <x v="1"/>
    <x v="1"/>
    <n v="189"/>
    <n v="33"/>
    <n v="0.17460317460317459"/>
    <n v="0.17460317460317459"/>
    <n v="1"/>
  </r>
  <r>
    <n v="1293193722"/>
    <s v="58.362.537/0001-81"/>
    <s v="Maria Gasolina Office Park "/>
    <x v="0"/>
    <s v="Pipebot"/>
    <x v="932"/>
    <m/>
    <m/>
    <m/>
    <m/>
    <m/>
    <m/>
    <m/>
    <m/>
    <m/>
    <m/>
    <m/>
    <m/>
    <m/>
    <m/>
    <m/>
    <m/>
    <m/>
    <m/>
    <m/>
    <m/>
    <m/>
    <m/>
    <n v="22.31654662037181"/>
    <x v="3"/>
    <x v="1"/>
    <x v="1"/>
    <n v="189"/>
    <n v="33"/>
    <n v="0.17460317460317459"/>
    <n v="0.17460317460317459"/>
    <n v="1"/>
  </r>
  <r>
    <n v="1202993917"/>
    <s v="50.693.970/0001-98"/>
    <s v="Maria Lenita Chaves"/>
    <x v="0"/>
    <s v="Pipebot"/>
    <x v="933"/>
    <m/>
    <m/>
    <m/>
    <m/>
    <m/>
    <m/>
    <m/>
    <m/>
    <m/>
    <m/>
    <m/>
    <m/>
    <m/>
    <m/>
    <m/>
    <m/>
    <m/>
    <m/>
    <m/>
    <m/>
    <m/>
    <m/>
    <n v="183.3576611342578"/>
    <x v="0"/>
    <x v="2"/>
    <x v="0"/>
    <n v="146"/>
    <n v="112"/>
    <n v="0.76712328767123283"/>
    <n v="0.76712328767123283"/>
    <n v="1"/>
  </r>
  <r>
    <n v="1232432072"/>
    <s v="60.195.558/0001-00"/>
    <s v="Maria Mariluze dos Santos Bastos Afonso "/>
    <x v="0"/>
    <s v="Pipebot"/>
    <x v="934"/>
    <m/>
    <m/>
    <d v="2025-10-24T20:26:17"/>
    <d v="2025-10-25T20:26:50"/>
    <n v="1.00037"/>
    <m/>
    <m/>
    <m/>
    <m/>
    <m/>
    <m/>
    <d v="2025-10-25T20:26:50"/>
    <d v="2025-10-27T20:27:33"/>
    <n v="2.0004979999999999"/>
    <d v="2025-10-27T20:27:33"/>
    <d v="2025-10-28T11:56:44"/>
    <n v="0.64525500000000002"/>
    <m/>
    <m/>
    <m/>
    <m/>
    <m/>
    <n v="139.14868662037043"/>
    <x v="0"/>
    <x v="6"/>
    <x v="0"/>
    <n v="195"/>
    <n v="132"/>
    <n v="0.67692307692307696"/>
    <n v="0.67692307692307696"/>
    <n v="1"/>
  </r>
  <r>
    <n v="1290442992"/>
    <s v="61.522.150/0001-50"/>
    <s v="Mariana Freire Passos"/>
    <x v="0"/>
    <s v="Pipebot"/>
    <x v="935"/>
    <m/>
    <m/>
    <m/>
    <m/>
    <m/>
    <m/>
    <m/>
    <m/>
    <m/>
    <m/>
    <m/>
    <m/>
    <m/>
    <m/>
    <m/>
    <m/>
    <m/>
    <m/>
    <m/>
    <m/>
    <m/>
    <m/>
    <n v="28.301361481477215"/>
    <x v="5"/>
    <x v="3"/>
    <x v="1"/>
    <n v="223"/>
    <n v="147"/>
    <n v="0.65919282511210764"/>
    <n v="0.65919282511210764"/>
    <n v="1"/>
  </r>
  <r>
    <n v="1297181708"/>
    <s v="62.875.304/0001-50"/>
    <s v="Mariana Miranda Corcetti"/>
    <x v="7"/>
    <s v="Pipebot"/>
    <x v="936"/>
    <m/>
    <m/>
    <m/>
    <m/>
    <m/>
    <m/>
    <m/>
    <m/>
    <m/>
    <m/>
    <m/>
    <m/>
    <m/>
    <m/>
    <m/>
    <m/>
    <m/>
    <m/>
    <m/>
    <m/>
    <m/>
    <m/>
    <n v="14.079455763887381"/>
    <x v="1"/>
    <x v="1"/>
    <x v="1"/>
    <n v="189"/>
    <n v="33"/>
    <n v="0.17460317460317459"/>
    <n v="0.17460317460317459"/>
    <n v="1"/>
  </r>
  <r>
    <n v="1294279536"/>
    <s v="62.875.304/0001-50"/>
    <s v="Mariana Miranda Corcetti "/>
    <x v="0"/>
    <s v="Pipebot"/>
    <x v="937"/>
    <m/>
    <m/>
    <m/>
    <m/>
    <m/>
    <m/>
    <m/>
    <m/>
    <m/>
    <m/>
    <m/>
    <m/>
    <m/>
    <m/>
    <m/>
    <m/>
    <m/>
    <m/>
    <m/>
    <m/>
    <m/>
    <m/>
    <n v="20.432553715283575"/>
    <x v="3"/>
    <x v="1"/>
    <x v="1"/>
    <n v="189"/>
    <n v="33"/>
    <n v="0.17460317460317459"/>
    <n v="0.17460317460317459"/>
    <n v="1"/>
  </r>
  <r>
    <n v="1274229104"/>
    <s v="41.313.670/0001-45"/>
    <s v="Mercadinho Alto São Francisco Ltda - Adaptador HUB 12v"/>
    <x v="0"/>
    <s v="Pipebot"/>
    <x v="938"/>
    <m/>
    <m/>
    <m/>
    <m/>
    <m/>
    <m/>
    <m/>
    <m/>
    <m/>
    <m/>
    <m/>
    <m/>
    <m/>
    <m/>
    <m/>
    <m/>
    <m/>
    <m/>
    <m/>
    <m/>
    <m/>
    <m/>
    <n v="59.45448071759165"/>
    <x v="2"/>
    <x v="7"/>
    <x v="0"/>
    <n v="207"/>
    <n v="140"/>
    <n v="0.67632850241545894"/>
    <n v="0.67632850241545894"/>
    <n v="1"/>
  </r>
  <r>
    <n v="1267303029"/>
    <s v="55.510.335/0001-41"/>
    <s v="Minimercado Sabias LTDA"/>
    <x v="0"/>
    <s v="Pipebot"/>
    <x v="939"/>
    <m/>
    <m/>
    <d v="2025-12-25T22:08:24"/>
    <d v="2025-12-26T22:09:02"/>
    <n v="1.0004280000000001"/>
    <d v="2025-12-30T22:10:00"/>
    <d v="2026-01-26T17:56:12"/>
    <n v="26.82375"/>
    <m/>
    <m/>
    <m/>
    <d v="2025-12-26T22:09:02"/>
    <d v="2025-12-28T22:09:28"/>
    <n v="2.0003009999999999"/>
    <d v="2025-12-28T22:09:29"/>
    <d v="2025-12-30T22:10:00"/>
    <n v="2.000359"/>
    <m/>
    <m/>
    <m/>
    <m/>
    <m/>
    <n v="77.077613113433472"/>
    <x v="0"/>
    <x v="7"/>
    <x v="0"/>
    <n v="207"/>
    <n v="140"/>
    <n v="0.67632850241545894"/>
    <n v="0.67632850241545894"/>
    <n v="1"/>
  </r>
  <r>
    <n v="1304130918"/>
    <s v="59.315.072/0001-70"/>
    <s v="Marilene dos Santos pinho "/>
    <x v="7"/>
    <s v="Pipebot"/>
    <x v="940"/>
    <m/>
    <m/>
    <m/>
    <m/>
    <m/>
    <m/>
    <m/>
    <m/>
    <m/>
    <m/>
    <m/>
    <m/>
    <m/>
    <m/>
    <m/>
    <m/>
    <m/>
    <m/>
    <m/>
    <m/>
    <m/>
    <m/>
    <n v="1.2023390625035972"/>
    <x v="4"/>
    <x v="1"/>
    <x v="1"/>
    <n v="189"/>
    <n v="33"/>
    <n v="0.17460317460317459"/>
    <n v="0.17460317460317459"/>
    <n v="1"/>
  </r>
  <r>
    <n v="1286511676"/>
    <s v="59.315.072/0001-70"/>
    <s v="Marilene dos Santos pinho "/>
    <x v="5"/>
    <s v="Pipebot"/>
    <x v="941"/>
    <m/>
    <m/>
    <d v="2026-02-06T15:06:57"/>
    <d v="2026-02-20T16:52:31"/>
    <n v="2.1740050000000002"/>
    <d v="2026-02-10T13:05:49"/>
    <d v="2026-02-19T12:42:16"/>
    <n v="8.9836460000000002"/>
    <m/>
    <m/>
    <m/>
    <d v="2026-02-07T15:07:17"/>
    <d v="2026-02-23T13:32:47"/>
    <n v="4.8614930000000003"/>
    <d v="2026-02-09T15:07:35"/>
    <d v="2026-02-10T13:05:49"/>
    <n v="4.2411000000000003"/>
    <m/>
    <m/>
    <m/>
    <m/>
    <m/>
    <n v="34.370333310187561"/>
    <x v="2"/>
    <x v="3"/>
    <x v="1"/>
    <n v="223"/>
    <n v="147"/>
    <n v="0.65919282511210764"/>
    <n v="0.65919282511210764"/>
    <n v="1"/>
  </r>
  <r>
    <n v="1291113018"/>
    <s v="31.954.622/0001-82"/>
    <s v="Marisa Nogueira Oliveira "/>
    <x v="0"/>
    <s v="Pipebot"/>
    <x v="942"/>
    <m/>
    <m/>
    <d v="2026-02-13T19:08:30"/>
    <d v="2026-02-14T19:09:28"/>
    <n v="1.0006600000000001"/>
    <m/>
    <m/>
    <m/>
    <d v="2026-02-19T18:38:26"/>
    <d v="2026-02-19T18:38:43"/>
    <n v="1.85E-4"/>
    <d v="2026-02-14T19:09:28"/>
    <d v="2026-02-16T12:50:25"/>
    <n v="1.7367710000000001"/>
    <d v="2026-02-16T12:50:25"/>
    <d v="2026-02-19T18:38:24"/>
    <n v="3.2416550000000002"/>
    <m/>
    <m/>
    <m/>
    <m/>
    <m/>
    <n v="27.203577141197457"/>
    <x v="5"/>
    <x v="3"/>
    <x v="1"/>
    <n v="223"/>
    <n v="147"/>
    <n v="0.65919282511210764"/>
    <n v="0.65919282511210764"/>
    <n v="1"/>
  </r>
  <r>
    <n v="1179015856"/>
    <s v="45.536.999/0001-26"/>
    <s v="Market Center Mini Comércio Varejista Ltda "/>
    <x v="0"/>
    <s v="Pipebot"/>
    <x v="943"/>
    <m/>
    <m/>
    <m/>
    <m/>
    <m/>
    <m/>
    <m/>
    <m/>
    <m/>
    <m/>
    <m/>
    <m/>
    <m/>
    <m/>
    <m/>
    <m/>
    <m/>
    <m/>
    <m/>
    <m/>
    <m/>
    <m/>
    <n v="223.14833822916262"/>
    <x v="0"/>
    <x v="5"/>
    <x v="0"/>
    <n v="177"/>
    <n v="130"/>
    <n v="0.7344632768361582"/>
    <n v="0.7344632768361582"/>
    <n v="1"/>
  </r>
  <r>
    <n v="1284620730"/>
    <s v="63.831.818/0001-76"/>
    <s v="Market do Villa"/>
    <x v="0"/>
    <s v="Pipebot"/>
    <x v="944"/>
    <m/>
    <m/>
    <m/>
    <m/>
    <m/>
    <m/>
    <m/>
    <m/>
    <m/>
    <m/>
    <m/>
    <m/>
    <m/>
    <m/>
    <m/>
    <m/>
    <m/>
    <m/>
    <m/>
    <m/>
    <m/>
    <m/>
    <n v="37.204609583342972"/>
    <x v="2"/>
    <x v="3"/>
    <x v="1"/>
    <n v="223"/>
    <n v="147"/>
    <n v="0.65919282511210764"/>
    <n v="0.65919282511210764"/>
    <n v="1"/>
  </r>
  <r>
    <n v="1237690764"/>
    <s v="04.976.108/0001-75"/>
    <s v="MARKET IN HOUSE"/>
    <x v="0"/>
    <s v="Pipebot"/>
    <x v="945"/>
    <m/>
    <m/>
    <d v="2025-10-30T19:06:33"/>
    <d v="2025-10-31T19:07:04"/>
    <n v="1.0003470000000001"/>
    <m/>
    <m/>
    <m/>
    <m/>
    <m/>
    <m/>
    <d v="2025-10-31T19:07:04"/>
    <d v="2025-10-31T20:19:35"/>
    <n v="5.0359000000000001E-2"/>
    <m/>
    <m/>
    <m/>
    <m/>
    <m/>
    <m/>
    <m/>
    <m/>
    <n v="133.20418315972347"/>
    <x v="0"/>
    <x v="6"/>
    <x v="0"/>
    <n v="195"/>
    <n v="132"/>
    <n v="0.67692307692307696"/>
    <n v="0.67692307692307696"/>
    <n v="1"/>
  </r>
  <r>
    <n v="1240711391"/>
    <s v="04.976.108/0001-75"/>
    <s v="MARKET IN HOUSE"/>
    <x v="8"/>
    <s v="Pipebot"/>
    <x v="946"/>
    <m/>
    <m/>
    <m/>
    <m/>
    <m/>
    <m/>
    <m/>
    <m/>
    <m/>
    <m/>
    <m/>
    <m/>
    <m/>
    <m/>
    <m/>
    <m/>
    <m/>
    <m/>
    <m/>
    <m/>
    <m/>
    <m/>
    <n v="128.20436031249847"/>
    <x v="0"/>
    <x v="6"/>
    <x v="0"/>
    <n v="195"/>
    <n v="132"/>
    <n v="0.67692307692307696"/>
    <n v="0.67692307692307696"/>
    <n v="1"/>
  </r>
  <r>
    <n v="1238633104"/>
    <s v="44.242.826/0001-32"/>
    <s v="market minimercados"/>
    <x v="5"/>
    <s v="Pipebot"/>
    <x v="947"/>
    <m/>
    <m/>
    <d v="2025-10-31T22:05:13"/>
    <d v="2026-02-13T16:01:07"/>
    <n v="2.1471179999999999"/>
    <d v="2025-11-05T22:07:35"/>
    <d v="2026-02-12T12:29:59"/>
    <n v="98.598889"/>
    <m/>
    <m/>
    <m/>
    <d v="2025-11-01T22:05:58"/>
    <d v="2026-02-16T12:50:16"/>
    <n v="4.8678699999999999"/>
    <d v="2025-11-03T22:06:33"/>
    <d v="2025-11-05T22:07:35"/>
    <n v="12.355914"/>
    <m/>
    <m/>
    <m/>
    <m/>
    <m/>
    <n v="132.08050885416742"/>
    <x v="0"/>
    <x v="6"/>
    <x v="0"/>
    <n v="195"/>
    <n v="132"/>
    <n v="0.67692307692307696"/>
    <n v="0.67692307692307696"/>
    <n v="1"/>
  </r>
  <r>
    <n v="1300569869"/>
    <s v="44.242.826/0001-32"/>
    <s v="Market minimercados autônomos ltda"/>
    <x v="7"/>
    <s v="Pipebot"/>
    <x v="948"/>
    <m/>
    <m/>
    <m/>
    <m/>
    <m/>
    <m/>
    <m/>
    <m/>
    <m/>
    <m/>
    <m/>
    <m/>
    <m/>
    <m/>
    <m/>
    <m/>
    <m/>
    <m/>
    <m/>
    <m/>
    <m/>
    <m/>
    <n v="6.0799340046287398"/>
    <x v="4"/>
    <x v="1"/>
    <x v="1"/>
    <n v="189"/>
    <n v="33"/>
    <n v="0.17460317460317459"/>
    <n v="0.17460317460317459"/>
    <n v="1"/>
  </r>
  <r>
    <n v="1186998984"/>
    <s v="52.876.904/0001-89"/>
    <s v="Market+ Mercados inteligentes"/>
    <x v="5"/>
    <s v="Pipebot"/>
    <x v="949"/>
    <m/>
    <m/>
    <d v="2025-08-15T15:25:18"/>
    <d v="2026-02-12T12:25:40"/>
    <n v="1.645891"/>
    <d v="2025-08-20T15:27:16"/>
    <d v="2026-02-11T20:56:12"/>
    <n v="175.22842600000001"/>
    <m/>
    <m/>
    <m/>
    <d v="2025-08-16T15:25:56"/>
    <d v="2026-02-13T15:59:34"/>
    <n v="3.1492010000000001"/>
    <d v="2025-08-18T15:26:54"/>
    <d v="2025-08-20T15:27:15"/>
    <n v="15.223993"/>
    <m/>
    <m/>
    <m/>
    <m/>
    <m/>
    <n v="209.35766496528231"/>
    <x v="0"/>
    <x v="2"/>
    <x v="0"/>
    <n v="146"/>
    <n v="112"/>
    <n v="0.76712328767123283"/>
    <n v="0.76712328767123283"/>
    <n v="1"/>
  </r>
  <r>
    <n v="1303236708"/>
    <s v="44.380.164/0001-67"/>
    <s v="Masako Horibe Takemoto "/>
    <x v="7"/>
    <s v="Pipebot"/>
    <x v="950"/>
    <m/>
    <m/>
    <m/>
    <m/>
    <m/>
    <m/>
    <m/>
    <m/>
    <m/>
    <m/>
    <m/>
    <m/>
    <m/>
    <m/>
    <m/>
    <m/>
    <m/>
    <m/>
    <m/>
    <m/>
    <m/>
    <m/>
    <n v="2.2048014930624049"/>
    <x v="4"/>
    <x v="1"/>
    <x v="1"/>
    <n v="189"/>
    <n v="33"/>
    <n v="0.17460317460317459"/>
    <n v="0.17460317460317459"/>
    <n v="1"/>
  </r>
  <r>
    <n v="1296528306"/>
    <s v="38.193.791/0001-96"/>
    <s v="Mateus Magalhães Menezes"/>
    <x v="1"/>
    <s v="Pipebot"/>
    <x v="951"/>
    <m/>
    <m/>
    <d v="2026-02-25T19:06:52"/>
    <d v="2026-02-26T19:07:36"/>
    <n v="1.0005090000000001"/>
    <m/>
    <m/>
    <m/>
    <m/>
    <m/>
    <m/>
    <d v="2026-02-26T19:07:36"/>
    <m/>
    <n v="9.3160000000000007E-2"/>
    <m/>
    <m/>
    <m/>
    <m/>
    <m/>
    <m/>
    <m/>
    <m/>
    <n v="15.203900324071583"/>
    <x v="1"/>
    <x v="1"/>
    <x v="1"/>
    <n v="189"/>
    <n v="33"/>
    <n v="0.17460317460317459"/>
    <n v="0.17460317460317459"/>
    <n v="1"/>
  </r>
  <r>
    <n v="1300427968"/>
    <s v="38.193.791/0001-96"/>
    <s v="Mateus Magalhães Menezes"/>
    <x v="7"/>
    <s v="Pipebot"/>
    <x v="952"/>
    <m/>
    <m/>
    <m/>
    <m/>
    <m/>
    <m/>
    <m/>
    <m/>
    <m/>
    <m/>
    <m/>
    <m/>
    <m/>
    <m/>
    <m/>
    <m/>
    <m/>
    <m/>
    <m/>
    <m/>
    <m/>
    <m/>
    <n v="6.2033612036975683"/>
    <x v="4"/>
    <x v="1"/>
    <x v="1"/>
    <n v="189"/>
    <n v="33"/>
    <n v="0.17460317460317459"/>
    <n v="0.17460317460317459"/>
    <n v="1"/>
  </r>
  <r>
    <n v="1207654680"/>
    <s v="53.197.862/0001-12"/>
    <s v="Mateus ramos de souza"/>
    <x v="0"/>
    <s v="Pipebot"/>
    <x v="953"/>
    <m/>
    <m/>
    <m/>
    <m/>
    <m/>
    <m/>
    <m/>
    <m/>
    <m/>
    <m/>
    <m/>
    <m/>
    <m/>
    <m/>
    <m/>
    <m/>
    <m/>
    <m/>
    <m/>
    <m/>
    <m/>
    <m/>
    <n v="176.14975613424758"/>
    <x v="0"/>
    <x v="4"/>
    <x v="0"/>
    <n v="197"/>
    <n v="149"/>
    <n v="0.75634517766497467"/>
    <n v="0.75634517766497467"/>
    <n v="1"/>
  </r>
  <r>
    <n v="1235451437"/>
    <s v="61.824.733/0001-35"/>
    <s v="Matheus Fernandes Neris"/>
    <x v="0"/>
    <s v="Pipebot"/>
    <x v="954"/>
    <m/>
    <m/>
    <d v="2025-10-28T19:05:51"/>
    <d v="2025-10-29T19:05:54"/>
    <n v="1.000035"/>
    <d v="2025-11-02T19:06:38"/>
    <d v="2025-11-06T20:47:54"/>
    <n v="4.0703240000000003"/>
    <d v="2025-11-06T20:47:54"/>
    <d v="2025-11-06T20:48:03"/>
    <n v="9.2999999999999997E-5"/>
    <d v="2025-10-29T19:05:54"/>
    <d v="2025-10-31T19:06:06"/>
    <n v="2.000127"/>
    <d v="2025-10-31T19:06:06"/>
    <d v="2025-11-02T19:06:38"/>
    <n v="2.000359"/>
    <m/>
    <m/>
    <m/>
    <m/>
    <m/>
    <n v="135.20488374999695"/>
    <x v="0"/>
    <x v="6"/>
    <x v="0"/>
    <n v="195"/>
    <n v="132"/>
    <n v="0.67692307692307696"/>
    <n v="0.67692307692307696"/>
    <n v="1"/>
  </r>
  <r>
    <n v="1174283299"/>
    <s v="60.865.336/0001-49"/>
    <s v="Matheus Garcia Alves"/>
    <x v="0"/>
    <s v="Pipebot"/>
    <x v="955"/>
    <m/>
    <m/>
    <m/>
    <m/>
    <m/>
    <m/>
    <m/>
    <m/>
    <m/>
    <m/>
    <m/>
    <m/>
    <m/>
    <m/>
    <m/>
    <m/>
    <m/>
    <m/>
    <m/>
    <m/>
    <m/>
    <m/>
    <n v="231.14846557871351"/>
    <x v="0"/>
    <x v="5"/>
    <x v="0"/>
    <n v="177"/>
    <n v="130"/>
    <n v="0.7344632768361582"/>
    <n v="0.7344632768361582"/>
    <n v="1"/>
  </r>
  <r>
    <n v="1176236201"/>
    <s v="39.766.503/0001-08"/>
    <s v="MATUTINU"/>
    <x v="8"/>
    <s v="Pipebot"/>
    <x v="956"/>
    <m/>
    <m/>
    <d v="2025-07-28T20:27:38"/>
    <d v="2025-07-29T20:28:08"/>
    <n v="1.0003359999999999"/>
    <d v="2025-08-02T20:29:07"/>
    <d v="2025-10-29T19:42:54"/>
    <n v="87.967905000000002"/>
    <m/>
    <m/>
    <m/>
    <d v="2025-07-29T20:28:08"/>
    <d v="2025-07-31T20:28:34"/>
    <n v="2.0003009999999999"/>
    <d v="2025-07-31T20:28:34"/>
    <d v="2025-08-02T20:29:07"/>
    <n v="2.0003700000000002"/>
    <m/>
    <m/>
    <m/>
    <m/>
    <m/>
    <n v="227.14823836806318"/>
    <x v="0"/>
    <x v="5"/>
    <x v="0"/>
    <n v="177"/>
    <n v="130"/>
    <n v="0.7344632768361582"/>
    <n v="0.7344632768361582"/>
    <n v="1"/>
  </r>
  <r>
    <n v="1290342244"/>
    <s v="55.534.351/0001-74"/>
    <s v="Maurício Beckhauser nunes"/>
    <x v="0"/>
    <s v="Pipebot"/>
    <x v="957"/>
    <m/>
    <m/>
    <d v="2026-02-12T15:05:14"/>
    <d v="2026-02-13T15:06:14"/>
    <n v="1.000694"/>
    <m/>
    <m/>
    <m/>
    <d v="2026-02-16T12:23:21"/>
    <d v="2026-02-16T12:24:17"/>
    <n v="6.3699999999999998E-4"/>
    <d v="2026-02-13T15:06:14"/>
    <d v="2026-02-13T15:06:14"/>
    <n v="0"/>
    <d v="2026-02-13T15:06:14"/>
    <d v="2026-02-16T12:22:58"/>
    <n v="2.8866200000000002"/>
    <m/>
    <m/>
    <m/>
    <m/>
    <m/>
    <n v="28.371830393516575"/>
    <x v="5"/>
    <x v="3"/>
    <x v="1"/>
    <n v="223"/>
    <n v="147"/>
    <n v="0.65919282511210764"/>
    <n v="0.65919282511210764"/>
    <n v="1"/>
  </r>
  <r>
    <n v="1304612757"/>
    <s v="13.728.392/0001-51"/>
    <s v="Mauricio Nascimento"/>
    <x v="7"/>
    <s v="Pipebot"/>
    <x v="958"/>
    <m/>
    <m/>
    <m/>
    <m/>
    <m/>
    <m/>
    <m/>
    <m/>
    <m/>
    <m/>
    <m/>
    <m/>
    <m/>
    <m/>
    <m/>
    <m/>
    <m/>
    <m/>
    <m/>
    <m/>
    <m/>
    <m/>
    <n v="0.37023263888841029"/>
    <x v="4"/>
    <x v="1"/>
    <x v="1"/>
    <n v="189"/>
    <n v="33"/>
    <n v="0.17460317460317459"/>
    <n v="0.17460317460317459"/>
    <n v="1"/>
  </r>
  <r>
    <n v="1198548109"/>
    <s v="48.202.687/0001-74"/>
    <s v="Mauro Cesar Saraiva de Barros"/>
    <x v="0"/>
    <s v="Pipebot"/>
    <x v="959"/>
    <m/>
    <m/>
    <m/>
    <m/>
    <m/>
    <m/>
    <m/>
    <m/>
    <m/>
    <m/>
    <m/>
    <m/>
    <m/>
    <m/>
    <m/>
    <m/>
    <m/>
    <m/>
    <m/>
    <m/>
    <m/>
    <m/>
    <n v="190.43748593748751"/>
    <x v="0"/>
    <x v="2"/>
    <x v="0"/>
    <n v="146"/>
    <n v="112"/>
    <n v="0.76712328767123283"/>
    <n v="0.76712328767123283"/>
    <n v="1"/>
  </r>
  <r>
    <n v="1261161041"/>
    <s v="62.859.974/0001-82"/>
    <s v="Mayara da Rocha Santana"/>
    <x v="5"/>
    <s v="Pipebot"/>
    <x v="960"/>
    <m/>
    <m/>
    <d v="2025-12-12T22:04:18"/>
    <d v="2026-02-18T13:24:59"/>
    <n v="3.0224769999999999"/>
    <d v="2025-12-17T22:05:38"/>
    <d v="2026-02-16T12:52:56"/>
    <n v="60.616168999999999"/>
    <m/>
    <m/>
    <m/>
    <d v="2025-12-13T22:04:36"/>
    <d v="2026-02-19T12:27:34"/>
    <n v="2.9606020000000002"/>
    <d v="2025-12-15T22:05:18"/>
    <d v="2025-12-17T22:05:38"/>
    <n v="9.3712040000000005"/>
    <m/>
    <m/>
    <m/>
    <m/>
    <m/>
    <n v="90.081005740743421"/>
    <x v="0"/>
    <x v="0"/>
    <x v="0"/>
    <n v="131"/>
    <n v="87"/>
    <n v="0.66412213740458015"/>
    <n v="0.66412213740458015"/>
    <n v="1"/>
  </r>
  <r>
    <n v="1249873528"/>
    <s v="50.740.615/0001-22"/>
    <s v="Mayara Gonçalves malheiros "/>
    <x v="0"/>
    <s v="Pipebot"/>
    <x v="961"/>
    <m/>
    <m/>
    <m/>
    <m/>
    <m/>
    <m/>
    <m/>
    <m/>
    <m/>
    <m/>
    <m/>
    <m/>
    <m/>
    <m/>
    <m/>
    <m/>
    <m/>
    <m/>
    <m/>
    <m/>
    <m/>
    <m/>
    <n v="114.08021361112333"/>
    <x v="0"/>
    <x v="0"/>
    <x v="0"/>
    <n v="131"/>
    <n v="87"/>
    <n v="0.66412213740458015"/>
    <n v="0.66412213740458015"/>
    <n v="1"/>
  </r>
  <r>
    <n v="1238504710"/>
    <s v="58.997.303/0001-00"/>
    <s v="MC Home Market Ltda - adaptador chegou 00014643"/>
    <x v="8"/>
    <s v="Pipebot"/>
    <x v="962"/>
    <m/>
    <m/>
    <m/>
    <m/>
    <m/>
    <m/>
    <m/>
    <m/>
    <m/>
    <m/>
    <m/>
    <m/>
    <m/>
    <m/>
    <m/>
    <m/>
    <m/>
    <m/>
    <m/>
    <m/>
    <m/>
    <m/>
    <n v="132.20443914351927"/>
    <x v="0"/>
    <x v="6"/>
    <x v="0"/>
    <n v="195"/>
    <n v="132"/>
    <n v="0.67692307692307696"/>
    <n v="0.67692307692307696"/>
    <n v="1"/>
  </r>
  <r>
    <n v="1302469017"/>
    <s v="14.590.318/0001-84"/>
    <s v="MEGGAMIX SISTEMAS AUTOMATICOS DE VENDA LTDA"/>
    <x v="0"/>
    <s v="Pipebot"/>
    <x v="963"/>
    <m/>
    <m/>
    <m/>
    <m/>
    <m/>
    <m/>
    <m/>
    <m/>
    <m/>
    <m/>
    <m/>
    <m/>
    <m/>
    <m/>
    <m/>
    <m/>
    <m/>
    <m/>
    <m/>
    <m/>
    <m/>
    <m/>
    <n v="2.5068977662012912"/>
    <x v="4"/>
    <x v="1"/>
    <x v="1"/>
    <n v="189"/>
    <n v="33"/>
    <n v="0.17460317460317459"/>
    <n v="0.17460317460317459"/>
    <n v="1"/>
  </r>
  <r>
    <n v="1303829096"/>
    <s v="14.590.318/0001-84"/>
    <s v="MEGGAMIX SISTEMAS AUTOMATICOS DE VENDA LTDA."/>
    <x v="0"/>
    <s v="Pipebot"/>
    <x v="964"/>
    <m/>
    <m/>
    <m/>
    <m/>
    <m/>
    <m/>
    <m/>
    <m/>
    <m/>
    <m/>
    <m/>
    <m/>
    <m/>
    <m/>
    <m/>
    <m/>
    <m/>
    <m/>
    <m/>
    <m/>
    <m/>
    <m/>
    <n v="1.4429644675910822"/>
    <x v="4"/>
    <x v="1"/>
    <x v="1"/>
    <n v="189"/>
    <n v="33"/>
    <n v="0.17460317460317459"/>
    <n v="0.17460317460317459"/>
    <n v="1"/>
  </r>
  <r>
    <n v="1231180120"/>
    <s v="14.590.318/0001-84"/>
    <s v="Meggamix sistemas automáticos de vendas"/>
    <x v="0"/>
    <s v="Pipebot"/>
    <x v="965"/>
    <m/>
    <m/>
    <m/>
    <m/>
    <m/>
    <m/>
    <m/>
    <m/>
    <m/>
    <m/>
    <m/>
    <m/>
    <m/>
    <m/>
    <m/>
    <m/>
    <m/>
    <m/>
    <m/>
    <m/>
    <m/>
    <m/>
    <n v="140.35581810185249"/>
    <x v="0"/>
    <x v="6"/>
    <x v="0"/>
    <n v="195"/>
    <n v="132"/>
    <n v="0.67692307692307696"/>
    <n v="0.67692307692307696"/>
    <n v="1"/>
  </r>
  <r>
    <n v="1252598921"/>
    <s v="14.590.318/0001-84"/>
    <s v="Meggamix sistemas automáticos de vendas"/>
    <x v="0"/>
    <s v="Pipebot"/>
    <x v="966"/>
    <m/>
    <m/>
    <m/>
    <m/>
    <m/>
    <m/>
    <m/>
    <m/>
    <m/>
    <m/>
    <m/>
    <m/>
    <m/>
    <m/>
    <m/>
    <m/>
    <m/>
    <m/>
    <m/>
    <m/>
    <m/>
    <m/>
    <n v="108.49900724537292"/>
    <x v="0"/>
    <x v="0"/>
    <x v="0"/>
    <n v="131"/>
    <n v="87"/>
    <n v="0.66412213740458015"/>
    <n v="0.66412213740458015"/>
    <n v="1"/>
  </r>
  <r>
    <n v="1256407617"/>
    <s v="14.590.318/0001-84"/>
    <s v="Meggamix sistemas automáticos de vendas "/>
    <x v="3"/>
    <s v="Pipebot"/>
    <x v="967"/>
    <m/>
    <m/>
    <d v="2025-12-02T17:52:47"/>
    <d v="2025-12-03T17:52:58"/>
    <n v="1.000116"/>
    <d v="2025-12-07T17:53:56"/>
    <d v="2026-01-08T17:50:27"/>
    <n v="31.997581"/>
    <m/>
    <m/>
    <m/>
    <d v="2025-12-03T17:52:58"/>
    <d v="2025-12-05T17:53:33"/>
    <n v="2.0004050000000002"/>
    <d v="2025-12-05T17:53:33"/>
    <d v="2025-12-07T17:53:56"/>
    <n v="2.0002550000000001"/>
    <m/>
    <m/>
    <m/>
    <m/>
    <m/>
    <n v="100.25579172454309"/>
    <x v="0"/>
    <x v="0"/>
    <x v="0"/>
    <n v="131"/>
    <n v="87"/>
    <n v="0.66412213740458015"/>
    <n v="0.66412213740458015"/>
    <n v="1"/>
  </r>
  <r>
    <n v="1278932354"/>
    <s v="14.590.318/0001-84"/>
    <s v="Meggamix sistemas automáticos de vendas - ORIGEM NÃO IDENTIFICADA"/>
    <x v="0"/>
    <s v="Vinícius Melesque dos Santos"/>
    <x v="968"/>
    <m/>
    <m/>
    <m/>
    <m/>
    <m/>
    <m/>
    <m/>
    <m/>
    <m/>
    <m/>
    <m/>
    <m/>
    <m/>
    <m/>
    <m/>
    <m/>
    <m/>
    <m/>
    <m/>
    <m/>
    <m/>
    <m/>
    <n v="49.253015532412974"/>
    <x v="2"/>
    <x v="3"/>
    <x v="1"/>
    <n v="223"/>
    <n v="147"/>
    <n v="0.65919282511210764"/>
    <n v="0.65919282511210764"/>
    <n v="1"/>
  </r>
  <r>
    <n v="1279390726"/>
    <s v="55.507.991/0001-95"/>
    <s v="Meire Fernandes Boaventura Ferreira"/>
    <x v="0"/>
    <s v="Pipebot"/>
    <x v="969"/>
    <m/>
    <m/>
    <m/>
    <m/>
    <m/>
    <m/>
    <m/>
    <m/>
    <m/>
    <m/>
    <m/>
    <m/>
    <m/>
    <m/>
    <m/>
    <m/>
    <m/>
    <m/>
    <m/>
    <m/>
    <m/>
    <m/>
    <n v="48.42838511573791"/>
    <x v="2"/>
    <x v="3"/>
    <x v="1"/>
    <n v="223"/>
    <n v="147"/>
    <n v="0.65919282511210764"/>
    <n v="0.65919282511210764"/>
    <n v="1"/>
  </r>
  <r>
    <n v="1193960110"/>
    <s v="55.507.991/0001-95"/>
    <s v="Meire Fernandes Boaventura Ferreira "/>
    <x v="0"/>
    <s v="Pipebot"/>
    <x v="970"/>
    <m/>
    <m/>
    <m/>
    <m/>
    <m/>
    <m/>
    <m/>
    <m/>
    <m/>
    <m/>
    <m/>
    <m/>
    <m/>
    <m/>
    <m/>
    <m/>
    <m/>
    <m/>
    <m/>
    <m/>
    <m/>
    <m/>
    <n v="198.14924153935135"/>
    <x v="0"/>
    <x v="2"/>
    <x v="0"/>
    <n v="146"/>
    <n v="112"/>
    <n v="0.76712328767123283"/>
    <n v="0.76712328767123283"/>
    <n v="1"/>
  </r>
  <r>
    <n v="1258627951"/>
    <s v="55.507.991/0001-95"/>
    <s v="Meire Fernandes Boaventura Ferreira - cliente já devovleu comprovante nos anexos"/>
    <x v="0"/>
    <s v="Pipebot"/>
    <x v="971"/>
    <m/>
    <m/>
    <d v="2025-12-08T14:21:48"/>
    <d v="2025-12-10T18:19:18"/>
    <n v="1.0003470000000001"/>
    <m/>
    <m/>
    <m/>
    <m/>
    <m/>
    <m/>
    <d v="2025-12-09T14:22:12"/>
    <d v="2025-12-10T18:19:02"/>
    <n v="1.1644559999999999"/>
    <m/>
    <m/>
    <m/>
    <m/>
    <m/>
    <m/>
    <m/>
    <m/>
    <n v="94.401763668982312"/>
    <x v="0"/>
    <x v="0"/>
    <x v="0"/>
    <n v="131"/>
    <n v="87"/>
    <n v="0.66412213740458015"/>
    <n v="0.66412213740458015"/>
    <n v="1"/>
  </r>
  <r>
    <n v="1296102136"/>
    <s v="63.134.042/0001-35"/>
    <s v="Melissa Fornazari Silveira"/>
    <x v="1"/>
    <s v="Pipebot"/>
    <x v="972"/>
    <m/>
    <m/>
    <d v="2026-02-24T22:04:01"/>
    <d v="2026-02-25T22:04:53"/>
    <n v="1.000602"/>
    <m/>
    <m/>
    <m/>
    <m/>
    <m/>
    <m/>
    <d v="2026-02-25T22:04:53"/>
    <m/>
    <n v="0.97004599999999996"/>
    <m/>
    <m/>
    <m/>
    <m/>
    <m/>
    <m/>
    <m/>
    <m/>
    <n v="16.081028506952862"/>
    <x v="1"/>
    <x v="1"/>
    <x v="1"/>
    <n v="189"/>
    <n v="33"/>
    <n v="0.17460317460317459"/>
    <n v="0.17460317460317459"/>
    <n v="1"/>
  </r>
  <r>
    <n v="1304259137"/>
    <s v="63.134.042/0001-35"/>
    <s v="Melissa Fornazari Silveira"/>
    <x v="7"/>
    <s v="Pipebot"/>
    <x v="973"/>
    <m/>
    <m/>
    <m/>
    <m/>
    <m/>
    <m/>
    <m/>
    <m/>
    <m/>
    <m/>
    <m/>
    <m/>
    <m/>
    <m/>
    <m/>
    <m/>
    <m/>
    <m/>
    <m/>
    <m/>
    <m/>
    <m/>
    <n v="1.0782021064806031"/>
    <x v="4"/>
    <x v="1"/>
    <x v="1"/>
    <n v="189"/>
    <n v="33"/>
    <n v="0.17460317460317459"/>
    <n v="0.17460317460317459"/>
    <n v="1"/>
  </r>
  <r>
    <n v="1303240355"/>
    <s v="60.054.968/0001-22"/>
    <s v="MENULIFE CONVENIENCIA LTDA"/>
    <x v="7"/>
    <s v="Pipebot"/>
    <x v="974"/>
    <m/>
    <m/>
    <m/>
    <m/>
    <m/>
    <m/>
    <m/>
    <m/>
    <m/>
    <m/>
    <m/>
    <m/>
    <m/>
    <m/>
    <m/>
    <m/>
    <m/>
    <m/>
    <m/>
    <m/>
    <m/>
    <m/>
    <n v="2.203935914352769"/>
    <x v="4"/>
    <x v="1"/>
    <x v="1"/>
    <n v="189"/>
    <n v="33"/>
    <n v="0.17460317460317459"/>
    <n v="0.17460317460317459"/>
    <n v="1"/>
  </r>
  <r>
    <n v="1210588115"/>
    <s v="46.442.684/0001-82"/>
    <s v="MERAKI Com Varejista Ltda (ler comentário!)"/>
    <x v="2"/>
    <s v="Pipebot"/>
    <x v="975"/>
    <m/>
    <m/>
    <d v="2025-09-22T21:47:47"/>
    <d v="2026-02-16T12:51:11"/>
    <n v="3.8728590000000001"/>
    <d v="2025-09-25T21:49:28"/>
    <d v="2026-02-13T16:02:06"/>
    <n v="140.75386599999999"/>
    <d v="2026-02-20T19:12:10"/>
    <m/>
    <n v="6.09"/>
    <d v="2025-09-23T21:48:34"/>
    <d v="2026-02-18T12:52:03"/>
    <n v="2.0006020000000002"/>
    <d v="2025-09-23T21:48:34"/>
    <d v="2026-02-20T19:12:10"/>
    <n v="4.264583"/>
    <m/>
    <m/>
    <m/>
    <m/>
    <m/>
    <n v="171.09249896991241"/>
    <x v="0"/>
    <x v="4"/>
    <x v="0"/>
    <n v="197"/>
    <n v="149"/>
    <n v="0.75634517766497467"/>
    <n v="0.75634517766497467"/>
    <n v="1"/>
  </r>
  <r>
    <n v="1248230347"/>
    <s v="46.442.684/0001-82"/>
    <s v="MERAKI Com Varejista Ltda - 1 máquina recebida (ler comentário)"/>
    <x v="0"/>
    <s v="Pipebot"/>
    <x v="976"/>
    <m/>
    <m/>
    <d v="2025-11-14T19:06:12"/>
    <d v="2026-02-16T12:51:19"/>
    <n v="3.8677079999999999"/>
    <d v="2025-11-17T18:09:58"/>
    <d v="2026-02-13T16:02:15"/>
    <n v="87.911295999999993"/>
    <d v="2026-02-20T19:12:04"/>
    <d v="2026-02-23T17:21:10"/>
    <n v="2.9229859999999999"/>
    <d v="2025-11-15T19:06:38"/>
    <d v="2026-02-16T13:49:23"/>
    <n v="2.0003129999999998"/>
    <d v="2026-02-16T13:49:23"/>
    <d v="2026-02-20T19:12:04"/>
    <n v="4.2240859999999998"/>
    <m/>
    <m/>
    <m/>
    <m/>
    <m/>
    <n v="118.20448899304756"/>
    <x v="0"/>
    <x v="6"/>
    <x v="0"/>
    <n v="195"/>
    <n v="132"/>
    <n v="0.67692307692307696"/>
    <n v="0.67692307692307696"/>
    <n v="1"/>
  </r>
  <r>
    <n v="1298250873"/>
    <s v="41.712.976/0001-74"/>
    <s v="Mercadex"/>
    <x v="7"/>
    <s v="Pipebot"/>
    <x v="977"/>
    <m/>
    <m/>
    <m/>
    <m/>
    <m/>
    <m/>
    <m/>
    <m/>
    <m/>
    <m/>
    <m/>
    <m/>
    <m/>
    <m/>
    <m/>
    <m/>
    <m/>
    <m/>
    <m/>
    <m/>
    <m/>
    <m/>
    <n v="10.45372832177236"/>
    <x v="4"/>
    <x v="1"/>
    <x v="1"/>
    <n v="189"/>
    <n v="33"/>
    <n v="0.17460317460317459"/>
    <n v="0.17460317460317459"/>
    <n v="1"/>
  </r>
  <r>
    <n v="1301743703"/>
    <s v="41.712.976/0001-74"/>
    <s v="Mercadex"/>
    <x v="7"/>
    <s v="Pipebot"/>
    <x v="978"/>
    <m/>
    <m/>
    <m/>
    <m/>
    <m/>
    <m/>
    <m/>
    <m/>
    <m/>
    <m/>
    <m/>
    <m/>
    <m/>
    <m/>
    <m/>
    <m/>
    <m/>
    <m/>
    <m/>
    <m/>
    <m/>
    <m/>
    <n v="3.2051502777831047"/>
    <x v="4"/>
    <x v="1"/>
    <x v="1"/>
    <n v="189"/>
    <n v="33"/>
    <n v="0.17460317460317459"/>
    <n v="0.17460317460317459"/>
    <n v="1"/>
  </r>
  <r>
    <n v="1231630196"/>
    <s v="41.712.976/0001-74"/>
    <s v="Mercadex serviços"/>
    <x v="5"/>
    <s v="Pipebot"/>
    <x v="979"/>
    <m/>
    <m/>
    <d v="2025-10-24T00:26:35"/>
    <d v="2026-02-13T16:00:55"/>
    <n v="2.1465969999999999"/>
    <d v="2025-10-29T00:27:57"/>
    <d v="2026-02-12T12:29:54"/>
    <n v="106.50135400000001"/>
    <m/>
    <m/>
    <m/>
    <d v="2025-10-25T00:26:41"/>
    <d v="2026-02-16T12:49:15"/>
    <n v="4.8673149999999996"/>
    <d v="2025-10-27T00:27:17"/>
    <d v="2025-10-29T00:27:57"/>
    <n v="12.356366"/>
    <m/>
    <m/>
    <m/>
    <m/>
    <m/>
    <n v="139.98175844906655"/>
    <x v="0"/>
    <x v="6"/>
    <x v="0"/>
    <n v="195"/>
    <n v="132"/>
    <n v="0.67692307692307696"/>
    <n v="0.67692307692307696"/>
    <n v="1"/>
  </r>
  <r>
    <n v="1255860100"/>
    <s v="54.196.440/0001-95"/>
    <s v="MERCADEX VIVENDAS DO IMBUI "/>
    <x v="5"/>
    <s v="Pipebot"/>
    <x v="980"/>
    <m/>
    <m/>
    <d v="2025-12-01T19:03:42"/>
    <d v="2026-02-18T13:24:46"/>
    <n v="3.0228700000000002"/>
    <d v="2025-12-06T19:05:29"/>
    <d v="2026-02-16T12:52:46"/>
    <n v="71.741157000000001"/>
    <m/>
    <m/>
    <m/>
    <d v="2025-12-02T19:04:38"/>
    <d v="2026-02-19T12:27:21"/>
    <n v="2.9605899999999998"/>
    <d v="2025-12-04T19:05:18"/>
    <d v="2025-12-06T19:05:29"/>
    <n v="9.3712499999999999"/>
    <m/>
    <m/>
    <m/>
    <m/>
    <m/>
    <n v="101.20594939815055"/>
    <x v="0"/>
    <x v="0"/>
    <x v="0"/>
    <n v="131"/>
    <n v="87"/>
    <n v="0.66412213740458015"/>
    <n v="0.66412213740458015"/>
    <n v="1"/>
  </r>
  <r>
    <n v="1294226194"/>
    <s v="48.798.711/0001-80"/>
    <s v="Mercadinho 24h Ltda "/>
    <x v="5"/>
    <s v="Pipebot"/>
    <x v="981"/>
    <m/>
    <m/>
    <d v="2026-02-20T12:13:04"/>
    <d v="2026-02-20T16:52:46"/>
    <n v="0.19423599999999999"/>
    <m/>
    <m/>
    <m/>
    <m/>
    <m/>
    <m/>
    <d v="2026-02-20T16:52:46"/>
    <d v="2026-02-22T16:53:16"/>
    <n v="2.0003470000000001"/>
    <d v="2026-02-22T16:53:16"/>
    <m/>
    <n v="4.1864470000000003"/>
    <m/>
    <m/>
    <m/>
    <m/>
    <m/>
    <n v="20.491480775468517"/>
    <x v="3"/>
    <x v="1"/>
    <x v="1"/>
    <n v="189"/>
    <n v="33"/>
    <n v="0.17460317460317459"/>
    <n v="0.17460317460317459"/>
    <n v="1"/>
  </r>
  <r>
    <n v="1270227579"/>
    <s v="36.601.806/0001-82"/>
    <s v="MR. BOX COMERCIO DE ALIMENTOS LTDA"/>
    <x v="0"/>
    <s v="Pipebot"/>
    <x v="982"/>
    <m/>
    <m/>
    <m/>
    <m/>
    <m/>
    <m/>
    <m/>
    <m/>
    <m/>
    <m/>
    <m/>
    <m/>
    <m/>
    <m/>
    <m/>
    <m/>
    <m/>
    <m/>
    <m/>
    <m/>
    <m/>
    <m/>
    <n v="70.156666446746385"/>
    <x v="0"/>
    <x v="7"/>
    <x v="0"/>
    <n v="207"/>
    <n v="140"/>
    <n v="0.67632850241545894"/>
    <n v="0.67632850241545894"/>
    <n v="1"/>
  </r>
  <r>
    <n v="1207656324"/>
    <s v="29.801.679/0001-08"/>
    <s v="Mercadinho Lago Azul Comercial de Alimentos Ltda"/>
    <x v="5"/>
    <s v="Pipebot"/>
    <x v="983"/>
    <m/>
    <m/>
    <d v="2025-09-17T20:26:58"/>
    <d v="2026-02-16T12:51:08"/>
    <n v="3.8728590000000001"/>
    <d v="2025-09-22T20:28:50"/>
    <d v="2026-02-13T16:02:04"/>
    <n v="143.80977999999999"/>
    <m/>
    <m/>
    <m/>
    <d v="2025-09-18T20:27:40"/>
    <d v="2026-02-18T13:20:54"/>
    <n v="4.0207990000000002"/>
    <d v="2025-09-20T20:27:52"/>
    <d v="2025-09-22T20:28:50"/>
    <n v="10.334595"/>
    <m/>
    <m/>
    <m/>
    <m/>
    <m/>
    <n v="176.14856679399236"/>
    <x v="0"/>
    <x v="4"/>
    <x v="0"/>
    <n v="197"/>
    <n v="149"/>
    <n v="0.75634517766497467"/>
    <n v="0.75634517766497467"/>
    <n v="1"/>
  </r>
  <r>
    <n v="1211285984"/>
    <s v="04.819.011/0001-59"/>
    <s v="Mercado barato demais"/>
    <x v="3"/>
    <s v="Pipebot"/>
    <x v="984"/>
    <m/>
    <m/>
    <d v="2025-09-23T20:26:15"/>
    <d v="2026-02-16T12:51:12"/>
    <n v="3.8725689999999999"/>
    <d v="2025-09-28T20:27:23"/>
    <d v="2026-02-13T16:02:08"/>
    <n v="137.81094899999999"/>
    <m/>
    <m/>
    <m/>
    <d v="2025-09-24T20:26:43"/>
    <d v="2026-02-18T13:21:02"/>
    <n v="4.0209260000000002"/>
    <d v="2025-09-26T20:27:01"/>
    <d v="2026-02-18T18:25:02"/>
    <n v="2.211354"/>
    <m/>
    <m/>
    <m/>
    <m/>
    <m/>
    <n v="170.14854247684707"/>
    <x v="0"/>
    <x v="4"/>
    <x v="0"/>
    <n v="197"/>
    <n v="149"/>
    <n v="0.75634517766497467"/>
    <n v="0.75634517766497467"/>
    <n v="1"/>
  </r>
  <r>
    <n v="1171784401"/>
    <s v="37.916.002/0001-35"/>
    <s v="MERCADO HONESTO LTDA"/>
    <x v="8"/>
    <s v="Pipebot"/>
    <x v="985"/>
    <m/>
    <m/>
    <d v="2025-07-18T15:27:42"/>
    <d v="2025-07-19T15:27:49"/>
    <n v="1.000081"/>
    <d v="2025-07-23T15:28:22"/>
    <d v="2025-10-29T19:43:04"/>
    <n v="98.176874999999995"/>
    <m/>
    <m/>
    <m/>
    <d v="2025-07-19T15:27:49"/>
    <d v="2025-07-21T15:28:10"/>
    <n v="2.0002430000000002"/>
    <d v="2025-07-21T15:28:11"/>
    <d v="2025-07-23T15:28:21"/>
    <n v="2.0001159999999998"/>
    <m/>
    <m/>
    <m/>
    <m/>
    <m/>
    <n v="237.3563379513871"/>
    <x v="0"/>
    <x v="5"/>
    <x v="0"/>
    <n v="177"/>
    <n v="130"/>
    <n v="0.7344632768361582"/>
    <n v="0.7344632768361582"/>
    <n v="1"/>
  </r>
  <r>
    <n v="1238233530"/>
    <s v="54.802.583/0001-01"/>
    <s v="Mercado imagine - Fabiano"/>
    <x v="5"/>
    <s v="Pipebot"/>
    <x v="986"/>
    <m/>
    <m/>
    <d v="2025-10-31T13:32:00"/>
    <d v="2026-02-13T16:01:06"/>
    <n v="2.1472799999999999"/>
    <d v="2025-11-05T13:34:18"/>
    <d v="2026-02-12T12:29:58"/>
    <n v="98.955324000000005"/>
    <m/>
    <m/>
    <m/>
    <d v="2025-11-01T13:32:58"/>
    <d v="2026-02-16T12:50:16"/>
    <n v="4.867801"/>
    <d v="2025-11-03T13:33:27"/>
    <d v="2025-11-05T13:34:18"/>
    <n v="12.355798999999999"/>
    <m/>
    <m/>
    <m/>
    <m/>
    <m/>
    <n v="132.43652075232239"/>
    <x v="0"/>
    <x v="6"/>
    <x v="0"/>
    <n v="195"/>
    <n v="132"/>
    <n v="0.67692307692307696"/>
    <n v="0.67692307692307696"/>
    <n v="1"/>
  </r>
  <r>
    <n v="1213466827"/>
    <s v="57.592.706/0001-07"/>
    <s v="Mercado Prime box "/>
    <x v="0"/>
    <s v="Pipebot"/>
    <x v="987"/>
    <m/>
    <m/>
    <d v="2025-09-26T20:28:01"/>
    <d v="2025-09-27T20:28:49"/>
    <n v="1.0005440000000001"/>
    <d v="2025-10-01T20:30:08"/>
    <d v="2025-10-08T17:32:51"/>
    <n v="6.8768750000000001"/>
    <m/>
    <m/>
    <m/>
    <d v="2025-09-27T20:28:49"/>
    <d v="2025-09-29T20:29:51"/>
    <n v="2.000718"/>
    <d v="2025-09-29T20:29:51"/>
    <d v="2025-10-01T20:30:08"/>
    <n v="2.000197"/>
    <m/>
    <m/>
    <m/>
    <m/>
    <m/>
    <n v="167.14794946758775"/>
    <x v="0"/>
    <x v="4"/>
    <x v="0"/>
    <n v="197"/>
    <n v="149"/>
    <n v="0.75634517766497467"/>
    <n v="0.75634517766497467"/>
    <n v="1"/>
  </r>
  <r>
    <n v="1278988801"/>
    <s v="54.537.187/0001-96"/>
    <s v="MERCADOS SANDEI (adaptador e módulo) - acionado sofia 06/02."/>
    <x v="5"/>
    <s v="Pipebot"/>
    <x v="988"/>
    <m/>
    <m/>
    <d v="2026-01-22T19:04:46"/>
    <d v="2026-02-20T16:51:18"/>
    <n v="2.176644"/>
    <d v="2026-01-27T19:05:46"/>
    <d v="2026-02-19T12:37:40"/>
    <n v="22.730474999999998"/>
    <m/>
    <m/>
    <m/>
    <d v="2026-01-23T19:05:31"/>
    <d v="2026-02-23T13:32:47"/>
    <n v="4.8621879999999997"/>
    <d v="2026-01-25T19:05:35"/>
    <d v="2026-01-27T19:05:46"/>
    <n v="5.3257989999999999"/>
    <m/>
    <m/>
    <m/>
    <m/>
    <m/>
    <n v="49.205969282396836"/>
    <x v="2"/>
    <x v="3"/>
    <x v="1"/>
    <n v="223"/>
    <n v="147"/>
    <n v="0.65919282511210764"/>
    <n v="0.65919282511210764"/>
    <n v="1"/>
  </r>
  <r>
    <n v="1220203766"/>
    <s v="53.450.911/0001-87"/>
    <s v="MERCANTE LTDA"/>
    <x v="0"/>
    <s v="Pipebot"/>
    <x v="989"/>
    <m/>
    <m/>
    <d v="2025-10-07T20:25:28"/>
    <d v="2025-10-08T20:26:13"/>
    <n v="1.000521"/>
    <d v="2025-10-12T20:26:59"/>
    <d v="2025-10-20T20:55:41"/>
    <n v="8.0199309999999997"/>
    <m/>
    <m/>
    <m/>
    <d v="2025-10-08T20:26:13"/>
    <d v="2025-10-10T20:26:47"/>
    <n v="2.0003820000000001"/>
    <d v="2025-10-10T20:26:47"/>
    <d v="2025-10-12T20:26:59"/>
    <n v="2.000127"/>
    <m/>
    <m/>
    <m/>
    <m/>
    <m/>
    <n v="156.14915401620965"/>
    <x v="0"/>
    <x v="4"/>
    <x v="0"/>
    <n v="197"/>
    <n v="149"/>
    <n v="0.75634517766497467"/>
    <n v="0.75634517766497467"/>
    <n v="1"/>
  </r>
  <r>
    <n v="1285964868"/>
    <s v="51.007.313/0001-02"/>
    <s v="Merisa minimercado Ltda"/>
    <x v="0"/>
    <s v="Pipebot"/>
    <x v="990"/>
    <m/>
    <m/>
    <m/>
    <m/>
    <m/>
    <m/>
    <m/>
    <m/>
    <m/>
    <m/>
    <m/>
    <m/>
    <m/>
    <m/>
    <m/>
    <m/>
    <m/>
    <m/>
    <m/>
    <m/>
    <m/>
    <m/>
    <n v="35.203536134256865"/>
    <x v="2"/>
    <x v="3"/>
    <x v="1"/>
    <n v="223"/>
    <n v="147"/>
    <n v="0.65919282511210764"/>
    <n v="0.65919282511210764"/>
    <n v="1"/>
  </r>
  <r>
    <n v="1193056589"/>
    <s v="58.482.676/0001-49"/>
    <s v="Messias Alves de Aquino - Cliente devolveu a máquina sem querer, vamos enviá-la para ele"/>
    <x v="0"/>
    <s v="Pipebot"/>
    <x v="991"/>
    <m/>
    <m/>
    <m/>
    <m/>
    <m/>
    <m/>
    <m/>
    <m/>
    <m/>
    <m/>
    <m/>
    <m/>
    <m/>
    <m/>
    <m/>
    <m/>
    <m/>
    <m/>
    <m/>
    <m/>
    <m/>
    <m/>
    <n v="199.35786568288313"/>
    <x v="0"/>
    <x v="2"/>
    <x v="0"/>
    <n v="146"/>
    <n v="112"/>
    <n v="0.76712328767123283"/>
    <n v="0.76712328767123283"/>
    <n v="1"/>
  </r>
  <r>
    <n v="1210539939"/>
    <s v="46.565.233/0001-32"/>
    <s v="Meumercado.com"/>
    <x v="8"/>
    <s v="Pipebot"/>
    <x v="992"/>
    <m/>
    <m/>
    <d v="2025-09-22T20:26:52"/>
    <d v="2025-09-23T20:27:12"/>
    <n v="1.0002310000000001"/>
    <d v="2025-09-27T20:27:55"/>
    <d v="2025-10-29T19:43:09"/>
    <n v="31.968900000000001"/>
    <m/>
    <m/>
    <m/>
    <d v="2025-09-23T20:27:12"/>
    <d v="2025-09-25T20:27:29"/>
    <n v="2.0001850000000001"/>
    <d v="2025-09-25T20:27:29"/>
    <d v="2025-09-27T20:27:55"/>
    <n v="2.0003009999999999"/>
    <m/>
    <m/>
    <m/>
    <m/>
    <m/>
    <n v="171.148256793982"/>
    <x v="0"/>
    <x v="4"/>
    <x v="0"/>
    <n v="197"/>
    <n v="149"/>
    <n v="0.75634517766497467"/>
    <n v="0.75634517766497467"/>
    <n v="1"/>
  </r>
  <r>
    <n v="1220845296"/>
    <s v="57.841.225/0001-98"/>
    <s v="Michele Bastos da Costa "/>
    <x v="0"/>
    <s v="Pipebot"/>
    <x v="993"/>
    <m/>
    <m/>
    <m/>
    <m/>
    <m/>
    <m/>
    <m/>
    <m/>
    <m/>
    <m/>
    <m/>
    <m/>
    <m/>
    <m/>
    <m/>
    <m/>
    <m/>
    <m/>
    <m/>
    <m/>
    <m/>
    <m/>
    <n v="155.14685015045688"/>
    <x v="0"/>
    <x v="4"/>
    <x v="0"/>
    <n v="197"/>
    <n v="149"/>
    <n v="0.75634517766497467"/>
    <n v="0.75634517766497467"/>
    <n v="1"/>
  </r>
  <r>
    <n v="1282983946"/>
    <s v="57.841.225/0001-98"/>
    <s v="Michele Bastos da Costa (adaptador e módulo) - acionado Sofia 04/02 (aguardando resolver o problema com a máquina para realizar a devolução)"/>
    <x v="5"/>
    <s v="Pipebot"/>
    <x v="994"/>
    <m/>
    <m/>
    <d v="2026-01-30T19:08:21"/>
    <d v="2026-02-20T12:38:21"/>
    <n v="1.000243"/>
    <d v="2026-02-03T19:09:46"/>
    <d v="2026-02-19T12:38:02"/>
    <n v="15.727963000000001"/>
    <m/>
    <m/>
    <m/>
    <d v="2026-01-30T19:08:23"/>
    <d v="2026-02-20T16:50:18"/>
    <n v="2.17537"/>
    <d v="2026-02-01T19:08:59"/>
    <d v="2026-02-03T19:09:46"/>
    <n v="8.1890509999999992"/>
    <m/>
    <m/>
    <m/>
    <m/>
    <m/>
    <n v="41.20309347222792"/>
    <x v="2"/>
    <x v="3"/>
    <x v="1"/>
    <n v="223"/>
    <n v="147"/>
    <n v="0.65919282511210764"/>
    <n v="0.65919282511210764"/>
    <n v="1"/>
  </r>
  <r>
    <n v="1265512286"/>
    <s v="53.175.271/0001-44"/>
    <s v="Nadia Aparecida Marrega Fortes"/>
    <x v="0"/>
    <s v="Pipebot"/>
    <x v="995"/>
    <m/>
    <m/>
    <m/>
    <m/>
    <m/>
    <m/>
    <m/>
    <m/>
    <m/>
    <m/>
    <m/>
    <m/>
    <m/>
    <m/>
    <m/>
    <m/>
    <m/>
    <m/>
    <m/>
    <m/>
    <m/>
    <m/>
    <n v="80.204141226837237"/>
    <x v="0"/>
    <x v="7"/>
    <x v="0"/>
    <n v="207"/>
    <n v="140"/>
    <n v="0.67632850241545894"/>
    <n v="0.67632850241545894"/>
    <n v="1"/>
  </r>
  <r>
    <n v="1243426666"/>
    <s v="43.292.435/0001-60"/>
    <s v="Michele Evelin Faneco - máquina e adapt chegou 1170465751"/>
    <x v="8"/>
    <s v="Pipebot"/>
    <x v="996"/>
    <m/>
    <m/>
    <m/>
    <m/>
    <m/>
    <m/>
    <m/>
    <m/>
    <m/>
    <m/>
    <m/>
    <m/>
    <m/>
    <m/>
    <m/>
    <m/>
    <m/>
    <m/>
    <m/>
    <m/>
    <m/>
    <m/>
    <n v="125.204495937498"/>
    <x v="0"/>
    <x v="6"/>
    <x v="0"/>
    <n v="195"/>
    <n v="132"/>
    <n v="0.67692307692307696"/>
    <n v="0.67692307692307696"/>
    <n v="1"/>
  </r>
  <r>
    <n v="1242271959"/>
    <s v="51.220.602/0001-95"/>
    <s v="MILENE SOTTORIVA ANDREIA"/>
    <x v="0"/>
    <s v="Pipebot"/>
    <x v="997"/>
    <m/>
    <m/>
    <d v="2025-11-06T15:05:22"/>
    <d v="2025-11-06T20:09:12"/>
    <n v="0.21099499999999999"/>
    <m/>
    <m/>
    <m/>
    <m/>
    <m/>
    <m/>
    <m/>
    <m/>
    <m/>
    <m/>
    <m/>
    <m/>
    <m/>
    <m/>
    <m/>
    <m/>
    <m/>
    <n v="126.37212940971949"/>
    <x v="0"/>
    <x v="6"/>
    <x v="0"/>
    <n v="195"/>
    <n v="132"/>
    <n v="0.67692307692307696"/>
    <n v="0.67692307692307696"/>
    <n v="1"/>
  </r>
  <r>
    <n v="1198093378"/>
    <s v="59.132.596/0001-26"/>
    <s v="milla Cerqueira Leal "/>
    <x v="0"/>
    <s v="Pipebot"/>
    <x v="998"/>
    <m/>
    <m/>
    <d v="2025-09-02T20:25:00"/>
    <d v="2025-09-03T20:25:17"/>
    <n v="1.000197"/>
    <m/>
    <m/>
    <m/>
    <m/>
    <m/>
    <m/>
    <d v="2025-09-03T20:25:17"/>
    <d v="2025-09-05T18:56:58"/>
    <n v="1.9386570000000001"/>
    <m/>
    <m/>
    <m/>
    <m/>
    <m/>
    <m/>
    <m/>
    <m/>
    <n v="191.14983297453728"/>
    <x v="0"/>
    <x v="2"/>
    <x v="0"/>
    <n v="146"/>
    <n v="112"/>
    <n v="0.76712328767123283"/>
    <n v="0.76712328767123283"/>
    <n v="1"/>
  </r>
  <r>
    <n v="1229642450"/>
    <s v="38.486.639/0001-00"/>
    <s v="Mineiro delivery Americana "/>
    <x v="0"/>
    <s v="Pipebot"/>
    <x v="999"/>
    <m/>
    <m/>
    <m/>
    <m/>
    <m/>
    <m/>
    <m/>
    <m/>
    <m/>
    <m/>
    <m/>
    <m/>
    <m/>
    <m/>
    <m/>
    <m/>
    <m/>
    <m/>
    <m/>
    <m/>
    <m/>
    <m/>
    <n v="142.3816607175977"/>
    <x v="0"/>
    <x v="6"/>
    <x v="0"/>
    <n v="195"/>
    <n v="132"/>
    <n v="0.67692307692307696"/>
    <n v="0.67692307692307696"/>
    <n v="1"/>
  </r>
  <r>
    <n v="1215275803"/>
    <s v="29.174.895/0001-62"/>
    <s v="Mini mercado inteligente Ltda "/>
    <x v="0"/>
    <s v="Pipebot"/>
    <x v="1000"/>
    <m/>
    <m/>
    <m/>
    <m/>
    <m/>
    <m/>
    <m/>
    <m/>
    <m/>
    <m/>
    <m/>
    <m/>
    <m/>
    <m/>
    <m/>
    <m/>
    <m/>
    <m/>
    <m/>
    <m/>
    <m/>
    <m/>
    <n v="163.35786520833062"/>
    <x v="0"/>
    <x v="4"/>
    <x v="0"/>
    <n v="197"/>
    <n v="149"/>
    <n v="0.75634517766497467"/>
    <n v="0.75634517766497467"/>
    <n v="1"/>
  </r>
  <r>
    <n v="1219993185"/>
    <s v="29.174.895/0001-62"/>
    <s v="Mini mercado inteligente Ltda - Rose"/>
    <x v="0"/>
    <s v="Pipebot"/>
    <x v="1001"/>
    <m/>
    <m/>
    <m/>
    <m/>
    <m/>
    <m/>
    <m/>
    <m/>
    <m/>
    <m/>
    <m/>
    <m/>
    <m/>
    <m/>
    <m/>
    <m/>
    <m/>
    <m/>
    <m/>
    <m/>
    <m/>
    <m/>
    <n v="156.35792372684955"/>
    <x v="0"/>
    <x v="4"/>
    <x v="0"/>
    <n v="197"/>
    <n v="149"/>
    <n v="0.75634517766497467"/>
    <n v="0.75634517766497467"/>
    <n v="1"/>
  </r>
  <r>
    <n v="1180159271"/>
    <s v="60.916.321/0001-62"/>
    <s v="MINI27BR COMERCIO E SERVICOS LTDA"/>
    <x v="8"/>
    <s v="Pipebot"/>
    <x v="1002"/>
    <m/>
    <m/>
    <d v="2025-08-04T15:27:33"/>
    <d v="2025-08-05T15:27:51"/>
    <n v="1.000208"/>
    <d v="2025-08-09T15:28:59"/>
    <d v="2025-10-29T19:43:15"/>
    <n v="81.176574000000002"/>
    <m/>
    <m/>
    <m/>
    <d v="2025-08-05T15:27:51"/>
    <d v="2025-08-07T15:28:42"/>
    <n v="2.0005790000000001"/>
    <d v="2025-08-07T15:28:42"/>
    <d v="2025-08-09T15:28:59"/>
    <n v="2.0001850000000001"/>
    <m/>
    <m/>
    <m/>
    <m/>
    <m/>
    <n v="220.35626450231939"/>
    <x v="0"/>
    <x v="5"/>
    <x v="0"/>
    <n v="177"/>
    <n v="130"/>
    <n v="0.7344632768361582"/>
    <n v="0.7344632768361582"/>
    <n v="1"/>
  </r>
  <r>
    <n v="1282981208"/>
    <s v="51.320.460/0001-38"/>
    <s v="MiniBox 2 (máquina) - acionado sofia 05/02. Telefone: 21 99845-5246"/>
    <x v="5"/>
    <s v="Pipebot"/>
    <x v="1003"/>
    <m/>
    <m/>
    <d v="2026-01-30T19:04:23"/>
    <d v="2026-02-20T16:51:40"/>
    <n v="2.176539"/>
    <d v="2026-02-04T19:06:38"/>
    <d v="2026-02-19T12:37:59"/>
    <n v="14.730093"/>
    <m/>
    <m/>
    <m/>
    <d v="2026-01-31T19:04:55"/>
    <d v="2026-02-23T13:32:47"/>
    <n v="4.862419"/>
    <d v="2026-02-02T19:05:41"/>
    <d v="2026-02-04T19:06:38"/>
    <n v="5.3263309999999997"/>
    <m/>
    <m/>
    <m/>
    <m/>
    <m/>
    <n v="41.206070624997665"/>
    <x v="2"/>
    <x v="3"/>
    <x v="1"/>
    <n v="223"/>
    <n v="147"/>
    <n v="0.65919282511210764"/>
    <n v="0.65919282511210764"/>
    <n v="1"/>
  </r>
  <r>
    <n v="1249613852"/>
    <s v="58.577.195/0001-17"/>
    <s v="Minimercado Cerboncini - dev parcial - protocolo 200243 (ler comentário)"/>
    <x v="5"/>
    <s v="Pipebot"/>
    <x v="1004"/>
    <m/>
    <m/>
    <d v="2025-11-18T16:12:58"/>
    <d v="2026-02-13T17:11:13"/>
    <n v="1.0003359999999999"/>
    <d v="2025-11-19T15:09:17"/>
    <d v="2026-02-13T16:02:18"/>
    <n v="86.036816999999999"/>
    <m/>
    <m/>
    <m/>
    <d v="2026-02-13T17:11:13"/>
    <d v="2026-02-15T17:11:53"/>
    <n v="2.0004629999999999"/>
    <d v="2026-02-15T17:11:53"/>
    <m/>
    <n v="11.173541999999999"/>
    <m/>
    <m/>
    <m/>
    <m/>
    <m/>
    <n v="114.32473670139007"/>
    <x v="0"/>
    <x v="0"/>
    <x v="0"/>
    <n v="131"/>
    <n v="87"/>
    <n v="0.66412213740458015"/>
    <n v="0.66412213740458015"/>
    <n v="1"/>
  </r>
  <r>
    <n v="1266541103"/>
    <s v="51.335.030/0001-90"/>
    <s v="Nathalia Maria de Andrade Camargo "/>
    <x v="0"/>
    <s v="Pipebot"/>
    <x v="1005"/>
    <m/>
    <m/>
    <d v="2025-12-24T15:08:53"/>
    <d v="2025-12-25T15:09:44"/>
    <n v="1.0005900000000001"/>
    <d v="2025-12-29T15:09:58"/>
    <d v="2026-01-12T14:24:51"/>
    <n v="13.968657"/>
    <m/>
    <m/>
    <m/>
    <d v="2025-12-25T15:09:45"/>
    <d v="2025-12-27T15:09:50"/>
    <n v="2.0000580000000001"/>
    <d v="2025-12-27T15:09:50"/>
    <d v="2025-12-29T15:09:58"/>
    <n v="2.0000810000000002"/>
    <m/>
    <m/>
    <m/>
    <m/>
    <m/>
    <n v="78.369425891200081"/>
    <x v="0"/>
    <x v="7"/>
    <x v="0"/>
    <n v="207"/>
    <n v="140"/>
    <n v="0.67632850241545894"/>
    <n v="0.67632850241545894"/>
    <n v="1"/>
  </r>
  <r>
    <n v="1245763901"/>
    <s v="59.940.665/0001-28"/>
    <s v="Minimercado24h"/>
    <x v="5"/>
    <s v="Pipebot"/>
    <x v="1006"/>
    <m/>
    <m/>
    <d v="2025-11-10T22:03:55"/>
    <d v="2026-02-16T12:51:16"/>
    <n v="3.867998"/>
    <d v="2025-11-15T22:05:38"/>
    <d v="2026-02-13T16:02:11"/>
    <n v="89.747603999999995"/>
    <m/>
    <m/>
    <m/>
    <d v="2025-11-11T22:04:47"/>
    <d v="2026-02-18T13:21:09"/>
    <n v="4.0211459999999999"/>
    <d v="2025-11-13T22:05:21"/>
    <d v="2025-11-15T22:05:38"/>
    <n v="10.333958000000001"/>
    <m/>
    <m/>
    <m/>
    <m/>
    <m/>
    <n v="122.08079813657969"/>
    <x v="0"/>
    <x v="6"/>
    <x v="0"/>
    <n v="195"/>
    <n v="132"/>
    <n v="0.67692307692307696"/>
    <n v="0.67692307692307696"/>
    <n v="1"/>
  </r>
  <r>
    <n v="1293739133"/>
    <s v="48.429.178/0001-89"/>
    <s v="Minimercados TW LTDA"/>
    <x v="5"/>
    <s v="Pipebot"/>
    <x v="1007"/>
    <m/>
    <m/>
    <d v="2026-02-19T15:06:16"/>
    <d v="2026-02-20T15:06:52"/>
    <n v="1.0004169999999999"/>
    <m/>
    <m/>
    <m/>
    <m/>
    <m/>
    <m/>
    <d v="2026-02-20T15:06:52"/>
    <d v="2026-02-20T16:50:31"/>
    <n v="7.1968000000000004E-2"/>
    <d v="2026-02-20T16:50:31"/>
    <m/>
    <n v="6.1883800000000004"/>
    <m/>
    <m/>
    <m/>
    <m/>
    <m/>
    <n v="21.371420092589688"/>
    <x v="3"/>
    <x v="1"/>
    <x v="1"/>
    <n v="189"/>
    <n v="33"/>
    <n v="0.17460317460317459"/>
    <n v="0.17460317460317459"/>
    <n v="1"/>
  </r>
  <r>
    <n v="1235644394"/>
    <s v="38.428.490/0001-02"/>
    <s v="Mirela"/>
    <x v="0"/>
    <s v="Pipebot"/>
    <x v="1008"/>
    <m/>
    <m/>
    <m/>
    <m/>
    <m/>
    <m/>
    <m/>
    <m/>
    <m/>
    <m/>
    <m/>
    <m/>
    <m/>
    <m/>
    <m/>
    <m/>
    <m/>
    <m/>
    <m/>
    <m/>
    <m/>
    <m/>
    <n v="135.07948604165722"/>
    <x v="0"/>
    <x v="6"/>
    <x v="0"/>
    <n v="195"/>
    <n v="132"/>
    <n v="0.67692307692307696"/>
    <n v="0.67692307692307696"/>
    <n v="1"/>
  </r>
  <r>
    <n v="1297689770"/>
    <s v="43.845.402/0001-08"/>
    <s v="Mirian Cristina Orias Amaral "/>
    <x v="7"/>
    <s v="Pipebot"/>
    <x v="1009"/>
    <m/>
    <m/>
    <m/>
    <m/>
    <m/>
    <m/>
    <m/>
    <m/>
    <m/>
    <m/>
    <m/>
    <m/>
    <m/>
    <m/>
    <m/>
    <m/>
    <m/>
    <m/>
    <m/>
    <m/>
    <m/>
    <m/>
    <n v="13.204505439818604"/>
    <x v="4"/>
    <x v="1"/>
    <x v="1"/>
    <n v="189"/>
    <n v="33"/>
    <n v="0.17460317460317459"/>
    <n v="0.17460317460317459"/>
    <n v="1"/>
  </r>
  <r>
    <n v="1186999099"/>
    <s v="49.584.002/0001-64"/>
    <s v="Miriane AVILA PEREIRA "/>
    <x v="5"/>
    <s v="Pipebot"/>
    <x v="1010"/>
    <m/>
    <m/>
    <d v="2025-08-15T15:25:18"/>
    <d v="2026-02-12T12:25:40"/>
    <n v="1.645891"/>
    <d v="2025-08-20T15:27:16"/>
    <d v="2026-02-11T20:56:13"/>
    <n v="175.22843800000001"/>
    <m/>
    <m/>
    <m/>
    <d v="2025-08-16T15:25:56"/>
    <d v="2026-02-13T15:59:35"/>
    <n v="3.1492010000000001"/>
    <d v="2025-08-18T15:26:54"/>
    <d v="2025-08-20T15:27:16"/>
    <n v="15.224005"/>
    <m/>
    <m/>
    <m/>
    <m/>
    <m/>
    <n v="209.35755865740794"/>
    <x v="0"/>
    <x v="2"/>
    <x v="0"/>
    <n v="146"/>
    <n v="112"/>
    <n v="0.76712328767123283"/>
    <n v="0.76712328767123283"/>
    <n v="1"/>
  </r>
  <r>
    <n v="1220627873"/>
    <s v="44.460.666/0001-06"/>
    <s v="MKF Comercio de Alimentos Ltda."/>
    <x v="0"/>
    <s v="Pipebot"/>
    <x v="1011"/>
    <m/>
    <m/>
    <m/>
    <m/>
    <m/>
    <m/>
    <m/>
    <m/>
    <m/>
    <m/>
    <m/>
    <m/>
    <m/>
    <m/>
    <m/>
    <m/>
    <m/>
    <m/>
    <m/>
    <m/>
    <m/>
    <m/>
    <n v="155.35618664351932"/>
    <x v="0"/>
    <x v="4"/>
    <x v="0"/>
    <n v="197"/>
    <n v="149"/>
    <n v="0.75634517766497467"/>
    <n v="0.75634517766497467"/>
    <n v="1"/>
  </r>
  <r>
    <n v="1288419607"/>
    <s v="56.062.234/0001-18"/>
    <s v="MMS MINI MERCADO LTDA "/>
    <x v="0"/>
    <s v="Pipebot"/>
    <x v="1012"/>
    <m/>
    <m/>
    <m/>
    <m/>
    <m/>
    <m/>
    <m/>
    <m/>
    <m/>
    <m/>
    <m/>
    <m/>
    <m/>
    <m/>
    <m/>
    <m/>
    <m/>
    <m/>
    <m/>
    <m/>
    <m/>
    <m/>
    <n v="31.079874918978021"/>
    <x v="2"/>
    <x v="3"/>
    <x v="1"/>
    <n v="223"/>
    <n v="147"/>
    <n v="0.65919282511210764"/>
    <n v="0.65919282511210764"/>
    <n v="1"/>
  </r>
  <r>
    <n v="1212789541"/>
    <s v="57.696.798/0001-75"/>
    <s v="Monalisa Carvalho de Oliveira"/>
    <x v="8"/>
    <s v="Pipebot"/>
    <x v="1013"/>
    <m/>
    <m/>
    <d v="2025-09-25T20:24:29"/>
    <d v="2025-09-26T20:25:05"/>
    <n v="1.0004169999999999"/>
    <d v="2025-09-30T20:25:56"/>
    <d v="2025-10-29T19:43:18"/>
    <n v="28.970382000000001"/>
    <m/>
    <m/>
    <m/>
    <d v="2025-09-26T20:25:05"/>
    <d v="2025-09-28T20:25:24"/>
    <n v="2.0002080000000002"/>
    <d v="2025-09-28T20:25:24"/>
    <d v="2025-09-30T20:25:56"/>
    <n v="2.0003700000000002"/>
    <m/>
    <m/>
    <m/>
    <m/>
    <m/>
    <n v="168.15036363426043"/>
    <x v="0"/>
    <x v="4"/>
    <x v="0"/>
    <n v="197"/>
    <n v="149"/>
    <n v="0.75634517766497467"/>
    <n v="0.75634517766497467"/>
    <n v="1"/>
  </r>
  <r>
    <n v="1206100980"/>
    <s v="55.145.943/0001-02"/>
    <s v="Monasci Empreendimentos"/>
    <x v="0"/>
    <s v="Pipebot"/>
    <x v="1014"/>
    <m/>
    <m/>
    <m/>
    <m/>
    <m/>
    <m/>
    <m/>
    <m/>
    <m/>
    <m/>
    <m/>
    <m/>
    <m/>
    <m/>
    <m/>
    <m/>
    <m/>
    <m/>
    <m/>
    <m/>
    <m/>
    <m/>
    <n v="178.14848241898289"/>
    <x v="0"/>
    <x v="4"/>
    <x v="0"/>
    <n v="197"/>
    <n v="149"/>
    <n v="0.75634517766497467"/>
    <n v="0.75634517766497467"/>
    <n v="1"/>
  </r>
  <r>
    <n v="1199604724"/>
    <s v="55.145.943/0001-02"/>
    <s v="Monasci Empreendimwntos"/>
    <x v="0"/>
    <s v="Pipebot"/>
    <x v="1015"/>
    <m/>
    <m/>
    <d v="2025-09-04T20:26:32"/>
    <d v="2025-09-05T20:26:41"/>
    <n v="1.0000929999999999"/>
    <d v="2025-09-09T20:27:15"/>
    <d v="2025-09-11T20:08:26"/>
    <n v="1.9869330000000001"/>
    <m/>
    <m/>
    <m/>
    <d v="2025-09-05T20:26:41"/>
    <d v="2025-09-07T20:27:09"/>
    <n v="2.000324"/>
    <d v="2025-09-07T20:27:09"/>
    <d v="2025-09-09T20:27:15"/>
    <n v="2.0000580000000001"/>
    <m/>
    <m/>
    <m/>
    <m/>
    <m/>
    <n v="189.14871140046307"/>
    <x v="0"/>
    <x v="2"/>
    <x v="0"/>
    <n v="146"/>
    <n v="112"/>
    <n v="0.76712328767123283"/>
    <n v="0.76712328767123283"/>
    <n v="1"/>
  </r>
  <r>
    <n v="1231461405"/>
    <s v="58.752.487/0001-49"/>
    <s v="Mônica de jesus Medeiros"/>
    <x v="0"/>
    <s v="Pipebot"/>
    <x v="1016"/>
    <m/>
    <m/>
    <d v="2025-10-23T20:25:55"/>
    <d v="2025-10-24T20:26:16"/>
    <n v="1.0002310000000001"/>
    <d v="2025-10-28T20:27:57"/>
    <d v="2025-10-31T20:32:47"/>
    <n v="3.0033449999999999"/>
    <m/>
    <m/>
    <m/>
    <d v="2025-10-24T20:26:16"/>
    <d v="2025-10-26T20:27:16"/>
    <n v="2.0006940000000002"/>
    <d v="2025-10-26T20:27:16"/>
    <d v="2025-10-28T20:27:57"/>
    <n v="2.0004629999999999"/>
    <m/>
    <m/>
    <m/>
    <m/>
    <m/>
    <n v="140.14890881944302"/>
    <x v="0"/>
    <x v="6"/>
    <x v="0"/>
    <n v="195"/>
    <n v="132"/>
    <n v="0.67692307692307696"/>
    <n v="0.67692307692307696"/>
    <n v="1"/>
  </r>
  <r>
    <n v="1227027343"/>
    <s v="58.752.487/0001-49"/>
    <s v="Mônica de jesus Medeiros"/>
    <x v="0"/>
    <s v="Pipebot"/>
    <x v="1017"/>
    <m/>
    <m/>
    <d v="2025-10-17T20:24:13"/>
    <d v="2025-10-18T20:24:53"/>
    <n v="1.0004630000000001"/>
    <d v="2025-10-22T20:26:42"/>
    <d v="2025-10-31T20:34:51"/>
    <n v="9.0049069999999993"/>
    <m/>
    <m/>
    <m/>
    <d v="2025-10-18T20:24:53"/>
    <d v="2025-10-20T20:25:53"/>
    <n v="2.000683"/>
    <d v="2025-10-20T20:25:53"/>
    <d v="2025-10-22T20:26:42"/>
    <n v="2.000556"/>
    <m/>
    <m/>
    <m/>
    <m/>
    <m/>
    <n v="146.1499660763875"/>
    <x v="0"/>
    <x v="6"/>
    <x v="0"/>
    <n v="195"/>
    <n v="132"/>
    <n v="0.67692307692307696"/>
    <n v="0.67692307692307696"/>
    <n v="1"/>
  </r>
  <r>
    <n v="1257102833"/>
    <s v="52.998.460/0001-54"/>
    <s v="Monique Regina da Costa"/>
    <x v="0"/>
    <s v="Pipebot"/>
    <x v="1018"/>
    <m/>
    <m/>
    <d v="2025-12-03T19:06:09"/>
    <d v="2025-12-04T19:06:20"/>
    <n v="1.000127"/>
    <d v="2025-12-08T19:07:22"/>
    <d v="2025-12-10T17:43:23"/>
    <n v="1.941667"/>
    <m/>
    <m/>
    <m/>
    <d v="2025-12-04T19:06:20"/>
    <d v="2025-12-06T19:06:29"/>
    <n v="2.0001039999999999"/>
    <d v="2025-12-06T19:06:29"/>
    <d v="2025-12-08T19:07:22"/>
    <n v="2.000613"/>
    <m/>
    <m/>
    <m/>
    <m/>
    <m/>
    <n v="99.204257812496508"/>
    <x v="0"/>
    <x v="0"/>
    <x v="0"/>
    <n v="131"/>
    <n v="87"/>
    <n v="0.66412213740458015"/>
    <n v="0.66412213740458015"/>
    <n v="1"/>
  </r>
  <r>
    <n v="1186589056"/>
    <s v="60.545.751/0001-15"/>
    <s v="MP minimercado"/>
    <x v="0"/>
    <s v="Pipebot"/>
    <x v="1019"/>
    <m/>
    <m/>
    <m/>
    <m/>
    <m/>
    <m/>
    <m/>
    <m/>
    <m/>
    <m/>
    <m/>
    <m/>
    <m/>
    <m/>
    <m/>
    <m/>
    <m/>
    <m/>
    <m/>
    <m/>
    <m/>
    <m/>
    <n v="210.14856516203872"/>
    <x v="0"/>
    <x v="5"/>
    <x v="0"/>
    <n v="177"/>
    <n v="130"/>
    <n v="0.7344632768361582"/>
    <n v="0.7344632768361582"/>
    <n v="1"/>
  </r>
  <r>
    <n v="1266704146"/>
    <s v="42.819.620/0001-05"/>
    <s v="Newton Carlos Fonseca Ramos"/>
    <x v="0"/>
    <s v="Pipebot"/>
    <x v="1020"/>
    <m/>
    <m/>
    <m/>
    <m/>
    <m/>
    <m/>
    <m/>
    <m/>
    <m/>
    <m/>
    <m/>
    <m/>
    <m/>
    <m/>
    <m/>
    <m/>
    <m/>
    <m/>
    <m/>
    <m/>
    <m/>
    <m/>
    <n v="78.203446435189107"/>
    <x v="0"/>
    <x v="7"/>
    <x v="0"/>
    <n v="207"/>
    <n v="140"/>
    <n v="0.67632850241545894"/>
    <n v="0.67632850241545894"/>
    <n v="1"/>
  </r>
  <r>
    <n v="1281645027"/>
    <s v="60.542.596/0001-83"/>
    <s v="Mr.Mart (Módulo de acesso trava) - acionado Sofia 02/02"/>
    <x v="5"/>
    <s v="Pipebot"/>
    <x v="1021"/>
    <m/>
    <m/>
    <d v="2026-01-28T13:07:32"/>
    <d v="2026-02-20T16:51:34"/>
    <n v="2.1767249999999998"/>
    <d v="2026-02-02T13:09:45"/>
    <d v="2026-02-19T12:37:54"/>
    <n v="16.977869999999999"/>
    <m/>
    <m/>
    <m/>
    <d v="2026-01-29T13:08:22"/>
    <d v="2026-02-23T13:32:47"/>
    <n v="4.8623380000000003"/>
    <d v="2026-01-31T13:08:55"/>
    <d v="2026-02-02T13:09:45"/>
    <n v="5.3262619999999998"/>
    <m/>
    <m/>
    <m/>
    <m/>
    <m/>
    <n v="43.453732222216786"/>
    <x v="2"/>
    <x v="3"/>
    <x v="1"/>
    <n v="223"/>
    <n v="147"/>
    <n v="0.65919282511210764"/>
    <n v="0.65919282511210764"/>
    <n v="1"/>
  </r>
  <r>
    <n v="1285760996"/>
    <s v="47.097.158/0001-95"/>
    <s v="mtt comercio e distribuição - acionado Sofia. 18/02 (comentários)"/>
    <x v="5"/>
    <s v="Pipebot"/>
    <x v="1022"/>
    <m/>
    <m/>
    <d v="2026-02-05T15:06:50"/>
    <d v="2026-02-20T16:52:19"/>
    <n v="2.1738080000000002"/>
    <d v="2026-02-10T13:05:40"/>
    <d v="2026-02-19T12:42:08"/>
    <n v="8.9836460000000002"/>
    <m/>
    <m/>
    <m/>
    <d v="2026-02-06T15:06:57"/>
    <d v="2026-02-23T13:32:47"/>
    <n v="4.8614699999999997"/>
    <d v="2026-02-08T15:07:00"/>
    <d v="2026-02-10T13:05:40"/>
    <n v="5.2414240000000003"/>
    <m/>
    <m/>
    <m/>
    <m/>
    <m/>
    <n v="35.370525659716805"/>
    <x v="2"/>
    <x v="3"/>
    <x v="1"/>
    <n v="223"/>
    <n v="147"/>
    <n v="0.65919282511210764"/>
    <n v="0.65919282511210764"/>
    <n v="1"/>
  </r>
  <r>
    <n v="1234440471"/>
    <s v="59.864.724/0001-26"/>
    <s v="Muda Brasil Honestidade LTDA"/>
    <x v="0"/>
    <s v="Pipebot"/>
    <x v="1023"/>
    <m/>
    <m/>
    <m/>
    <m/>
    <m/>
    <m/>
    <m/>
    <m/>
    <m/>
    <m/>
    <m/>
    <m/>
    <m/>
    <m/>
    <m/>
    <m/>
    <m/>
    <m/>
    <m/>
    <m/>
    <m/>
    <m/>
    <n v="136.20575541666767"/>
    <x v="0"/>
    <x v="6"/>
    <x v="0"/>
    <n v="195"/>
    <n v="132"/>
    <n v="0.67692307692307696"/>
    <n v="0.67692307692307696"/>
    <n v="1"/>
  </r>
  <r>
    <n v="1299040465"/>
    <s v="28.520.967/0001-13"/>
    <s v="Muda Mercado e conbeniencia ltda"/>
    <x v="7"/>
    <s v="Pipebot"/>
    <x v="1024"/>
    <m/>
    <m/>
    <m/>
    <m/>
    <m/>
    <m/>
    <m/>
    <m/>
    <m/>
    <m/>
    <m/>
    <m/>
    <m/>
    <m/>
    <m/>
    <m/>
    <m/>
    <m/>
    <m/>
    <m/>
    <m/>
    <m/>
    <n v="8.2034814236103557"/>
    <x v="4"/>
    <x v="1"/>
    <x v="1"/>
    <n v="189"/>
    <n v="33"/>
    <n v="0.17460317460317459"/>
    <n v="0.17460317460317459"/>
    <n v="1"/>
  </r>
  <r>
    <n v="1215530879"/>
    <s v="42.334.311/0001-37"/>
    <s v="Murilo Arnosti"/>
    <x v="5"/>
    <s v="Pipebot"/>
    <x v="1025"/>
    <m/>
    <m/>
    <d v="2025-09-30T20:26:55"/>
    <d v="2026-02-13T16:00:39"/>
    <n v="2.1483099999999999"/>
    <d v="2025-10-05T20:29:46"/>
    <d v="2026-02-12T12:28:07"/>
    <n v="129.66550899999999"/>
    <m/>
    <m/>
    <m/>
    <d v="2025-10-01T20:27:57"/>
    <d v="2026-02-16T12:49:02"/>
    <n v="4.8674999999999997"/>
    <d v="2025-10-03T20:28:47"/>
    <d v="2025-10-05T20:29:46"/>
    <n v="12.356748"/>
    <m/>
    <m/>
    <m/>
    <m/>
    <m/>
    <n v="163.14838067129313"/>
    <x v="0"/>
    <x v="4"/>
    <x v="0"/>
    <n v="197"/>
    <n v="149"/>
    <n v="0.75634517766497467"/>
    <n v="0.75634517766497467"/>
    <n v="1"/>
  </r>
  <r>
    <n v="1230592806"/>
    <s v="42.334.311/0001-37"/>
    <s v="Murilo Arnosti"/>
    <x v="5"/>
    <s v="Pipebot"/>
    <x v="1026"/>
    <m/>
    <m/>
    <d v="2025-10-22T20:27:45"/>
    <d v="2026-02-13T16:00:54"/>
    <n v="2.14669"/>
    <d v="2025-10-27T20:29:35"/>
    <d v="2026-02-12T12:29:53"/>
    <n v="107.666875"/>
    <m/>
    <m/>
    <m/>
    <d v="2025-10-23T20:27:59"/>
    <d v="2026-02-16T12:49:14"/>
    <n v="4.8674770000000001"/>
    <d v="2025-10-25T20:28:49"/>
    <d v="2025-10-27T20:29:35"/>
    <n v="12.356458"/>
    <m/>
    <m/>
    <m/>
    <m/>
    <m/>
    <n v="141.1477715046276"/>
    <x v="0"/>
    <x v="6"/>
    <x v="0"/>
    <n v="195"/>
    <n v="132"/>
    <n v="0.67692307692307696"/>
    <n v="0.67692307692307696"/>
    <n v="1"/>
  </r>
  <r>
    <n v="1209597252"/>
    <s v="43.789.527/0001-50"/>
    <s v="MVL comercio de alimentos ltda"/>
    <x v="0"/>
    <s v="Pipebot"/>
    <x v="1027"/>
    <m/>
    <m/>
    <d v="2025-09-20T15:25:53"/>
    <d v="2025-09-21T15:26:53"/>
    <n v="1.000683"/>
    <m/>
    <m/>
    <m/>
    <m/>
    <m/>
    <m/>
    <d v="2025-09-21T15:26:53"/>
    <d v="2025-09-22T21:31:55"/>
    <n v="1.253484"/>
    <m/>
    <m/>
    <m/>
    <m/>
    <m/>
    <m/>
    <m/>
    <m/>
    <n v="173.35716167824285"/>
    <x v="0"/>
    <x v="4"/>
    <x v="0"/>
    <n v="197"/>
    <n v="149"/>
    <n v="0.75634517766497467"/>
    <n v="0.75634517766497467"/>
    <n v="1"/>
  </r>
  <r>
    <n v="1273203690"/>
    <s v="17.040.745/0001-87"/>
    <s v="Oliveira e Cruz Cafetria"/>
    <x v="0"/>
    <s v="Pipebot"/>
    <x v="1028"/>
    <m/>
    <m/>
    <d v="2026-01-09T15:10:51"/>
    <d v="2026-01-10T15:11:12"/>
    <n v="1.000243"/>
    <d v="2026-01-14T15:12:58"/>
    <d v="2026-01-20T19:43:01"/>
    <n v="6.1875349999999996"/>
    <m/>
    <m/>
    <m/>
    <d v="2026-01-10T15:11:12"/>
    <d v="2026-01-12T15:11:52"/>
    <n v="2.0004629999999999"/>
    <d v="2026-01-12T15:11:52"/>
    <d v="2026-01-14T15:12:58"/>
    <n v="2.0007519999999999"/>
    <m/>
    <m/>
    <m/>
    <m/>
    <m/>
    <n v="62.368126631947234"/>
    <x v="0"/>
    <x v="7"/>
    <x v="0"/>
    <n v="207"/>
    <n v="140"/>
    <n v="0.67632850241545894"/>
    <n v="0.67632850241545894"/>
    <n v="1"/>
  </r>
  <r>
    <n v="1288253501"/>
    <s v="53.175.271/0001-44"/>
    <s v="Nadia Aparecida Marrega Fortes "/>
    <x v="0"/>
    <s v="Pipebot"/>
    <x v="1029"/>
    <m/>
    <m/>
    <m/>
    <m/>
    <m/>
    <m/>
    <m/>
    <m/>
    <m/>
    <m/>
    <m/>
    <m/>
    <m/>
    <m/>
    <m/>
    <m/>
    <m/>
    <m/>
    <m/>
    <m/>
    <m/>
    <m/>
    <n v="31.255763125001977"/>
    <x v="2"/>
    <x v="3"/>
    <x v="1"/>
    <n v="223"/>
    <n v="147"/>
    <n v="0.65919282511210764"/>
    <n v="0.65919282511210764"/>
    <n v="1"/>
  </r>
  <r>
    <n v="1278110434"/>
    <s v="53.175.271/0001-44"/>
    <s v="Nadia Aparecida Marrega Fortes "/>
    <x v="0"/>
    <s v="Pipebot"/>
    <x v="1030"/>
    <m/>
    <m/>
    <m/>
    <m/>
    <m/>
    <m/>
    <m/>
    <m/>
    <m/>
    <m/>
    <m/>
    <m/>
    <m/>
    <m/>
    <m/>
    <m/>
    <m/>
    <m/>
    <m/>
    <m/>
    <m/>
    <m/>
    <n v="50.457482997691841"/>
    <x v="2"/>
    <x v="3"/>
    <x v="1"/>
    <n v="223"/>
    <n v="147"/>
    <n v="0.65919282511210764"/>
    <n v="0.65919282511210764"/>
    <n v="1"/>
  </r>
  <r>
    <n v="1278362334"/>
    <s v="53.175.271/0001-44"/>
    <s v="Nadia Aparecida Marrega Fortes "/>
    <x v="0"/>
    <s v="Pipebot"/>
    <x v="1031"/>
    <m/>
    <m/>
    <m/>
    <m/>
    <m/>
    <m/>
    <m/>
    <m/>
    <m/>
    <m/>
    <m/>
    <m/>
    <m/>
    <m/>
    <m/>
    <m/>
    <m/>
    <m/>
    <m/>
    <m/>
    <m/>
    <m/>
    <n v="50.20256711805996"/>
    <x v="2"/>
    <x v="3"/>
    <x v="1"/>
    <n v="223"/>
    <n v="147"/>
    <n v="0.65919282511210764"/>
    <n v="0.65919282511210764"/>
    <n v="1"/>
  </r>
  <r>
    <n v="1170683879"/>
    <s v="46.283.261/0001-67"/>
    <s v="Nadja viera Gomes "/>
    <x v="0"/>
    <s v="Pipebot"/>
    <x v="1032"/>
    <m/>
    <m/>
    <d v="2025-07-16T20:26:23"/>
    <d v="2025-07-17T20:27:13"/>
    <n v="1.0005790000000001"/>
    <d v="2025-07-21T20:28:08"/>
    <d v="2025-07-22T20:08:45"/>
    <n v="0.98652799999999996"/>
    <d v="2025-07-22T20:08:45"/>
    <d v="2025-07-22T20:09:01"/>
    <n v="1.85E-4"/>
    <d v="2025-07-17T20:27:13"/>
    <d v="2025-07-19T20:27:32"/>
    <n v="2.0002200000000001"/>
    <d v="2025-07-19T20:27:32"/>
    <d v="2025-07-21T20:28:08"/>
    <n v="2.0004050000000002"/>
    <m/>
    <m/>
    <m/>
    <m/>
    <m/>
    <n v="239.14871899304853"/>
    <x v="0"/>
    <x v="5"/>
    <x v="0"/>
    <n v="177"/>
    <n v="130"/>
    <n v="0.7344632768361582"/>
    <n v="0.7344632768361582"/>
    <n v="1"/>
  </r>
  <r>
    <n v="1260052231"/>
    <s v="62.769.640/0001-18"/>
    <s v="NAGELA RODRIGUES OLIVEIRA"/>
    <x v="5"/>
    <s v="Pipebot"/>
    <x v="1033"/>
    <m/>
    <m/>
    <d v="2025-12-10T22:04:06"/>
    <d v="2026-02-18T13:24:57"/>
    <n v="3.0230670000000002"/>
    <d v="2025-12-15T22:06:11"/>
    <d v="2026-02-16T12:52:54"/>
    <n v="62.615774999999999"/>
    <m/>
    <m/>
    <m/>
    <d v="2025-12-11T22:05:17"/>
    <d v="2026-02-19T12:27:32"/>
    <n v="2.9604279999999998"/>
    <d v="2025-12-13T22:05:44"/>
    <d v="2025-12-15T22:06:11"/>
    <n v="9.3713080000000009"/>
    <m/>
    <m/>
    <m/>
    <m/>
    <m/>
    <n v="92.080948807866662"/>
    <x v="0"/>
    <x v="0"/>
    <x v="0"/>
    <n v="131"/>
    <n v="87"/>
    <n v="0.66412213740458015"/>
    <n v="0.66412213740458015"/>
    <n v="1"/>
  </r>
  <r>
    <n v="1234442871"/>
    <s v="53.372.008/0001-45"/>
    <s v="Natália Dias da Silva"/>
    <x v="0"/>
    <s v="Pipebot"/>
    <x v="1034"/>
    <m/>
    <m/>
    <m/>
    <m/>
    <m/>
    <m/>
    <m/>
    <m/>
    <m/>
    <m/>
    <m/>
    <m/>
    <m/>
    <m/>
    <m/>
    <m/>
    <m/>
    <m/>
    <m/>
    <m/>
    <m/>
    <m/>
    <n v="136.20420543981891"/>
    <x v="0"/>
    <x v="6"/>
    <x v="0"/>
    <n v="195"/>
    <n v="132"/>
    <n v="0.67692307692307696"/>
    <n v="0.67692307692307696"/>
    <n v="1"/>
  </r>
  <r>
    <n v="1251742229"/>
    <s v="55.224.707/0001-73"/>
    <s v="Nathalia Fischer Nunes"/>
    <x v="5"/>
    <s v="Pipebot"/>
    <x v="1035"/>
    <m/>
    <m/>
    <d v="2025-11-21T19:04:51"/>
    <d v="2026-02-16T12:51:53"/>
    <n v="3.8673030000000002"/>
    <d v="2025-11-26T19:07:05"/>
    <d v="2026-02-13T16:03:45"/>
    <n v="78.872685000000004"/>
    <m/>
    <m/>
    <m/>
    <d v="2025-11-22T19:05:39"/>
    <d v="2026-02-18T13:21:23"/>
    <n v="4.0212960000000004"/>
    <d v="2025-11-24T19:06:50"/>
    <d v="2025-11-26T19:07:05"/>
    <n v="10.333773000000001"/>
    <m/>
    <m/>
    <m/>
    <m/>
    <m/>
    <n v="111.20516488426074"/>
    <x v="0"/>
    <x v="0"/>
    <x v="0"/>
    <n v="131"/>
    <n v="87"/>
    <n v="0.66412213740458015"/>
    <n v="0.66412213740458015"/>
    <n v="1"/>
  </r>
  <r>
    <n v="1303236363"/>
    <s v="51.335.030/0001-90"/>
    <s v="Nathalia Maria de Andrade Camargo"/>
    <x v="7"/>
    <s v="Pipebot"/>
    <x v="1036"/>
    <m/>
    <m/>
    <m/>
    <m/>
    <m/>
    <m/>
    <m/>
    <m/>
    <m/>
    <m/>
    <m/>
    <m/>
    <m/>
    <m/>
    <m/>
    <m/>
    <m/>
    <m/>
    <m/>
    <m/>
    <m/>
    <m/>
    <n v="2.2049018634279491"/>
    <x v="4"/>
    <x v="1"/>
    <x v="1"/>
    <n v="189"/>
    <n v="33"/>
    <n v="0.17460317460317459"/>
    <n v="0.17460317460317459"/>
    <n v="1"/>
  </r>
  <r>
    <n v="1266705978"/>
    <s v="44.493.707/0001-52"/>
    <s v="Patrícia Aparecida Filartiga Garcia Correia "/>
    <x v="0"/>
    <s v="Pipebot"/>
    <x v="1037"/>
    <m/>
    <m/>
    <d v="2025-12-24T19:09:52"/>
    <d v="2025-12-25T19:10:25"/>
    <n v="1.00037"/>
    <d v="2025-12-29T19:11:23"/>
    <d v="2026-01-16T12:58:51"/>
    <n v="17.741295999999998"/>
    <m/>
    <m/>
    <m/>
    <d v="2025-12-25T19:10:25"/>
    <d v="2025-12-27T19:10:50"/>
    <n v="2.000289"/>
    <d v="2025-12-27T19:10:50"/>
    <d v="2025-12-29T19:11:23"/>
    <n v="2.0003700000000002"/>
    <m/>
    <m/>
    <m/>
    <m/>
    <m/>
    <n v="78.201947129629843"/>
    <x v="0"/>
    <x v="7"/>
    <x v="0"/>
    <n v="207"/>
    <n v="140"/>
    <n v="0.67632850241545894"/>
    <n v="0.67632850241545894"/>
    <n v="1"/>
  </r>
  <r>
    <n v="1207654511"/>
    <s v="31.573.706/0001-76"/>
    <s v="Neodirley Correia"/>
    <x v="0"/>
    <s v="Pipebot"/>
    <x v="1038"/>
    <m/>
    <m/>
    <m/>
    <m/>
    <m/>
    <m/>
    <m/>
    <m/>
    <m/>
    <m/>
    <m/>
    <m/>
    <m/>
    <m/>
    <m/>
    <m/>
    <m/>
    <m/>
    <m/>
    <m/>
    <m/>
    <m/>
    <n v="176.14986200231215"/>
    <x v="0"/>
    <x v="4"/>
    <x v="0"/>
    <n v="197"/>
    <n v="149"/>
    <n v="0.75634517766497467"/>
    <n v="0.75634517766497467"/>
    <n v="1"/>
  </r>
  <r>
    <n v="1234442731"/>
    <s v="42.819.620/0001-05"/>
    <s v="Newton Carlos Fonseca Ramos"/>
    <x v="0"/>
    <s v="Pipebot"/>
    <x v="1039"/>
    <m/>
    <m/>
    <d v="2025-10-27T19:06:20"/>
    <d v="2025-10-28T19:06:55"/>
    <n v="1.000405"/>
    <d v="2025-11-01T19:07:58"/>
    <d v="2025-11-18T19:49:41"/>
    <n v="17.028957999999999"/>
    <m/>
    <m/>
    <m/>
    <d v="2025-10-28T19:06:55"/>
    <d v="2025-10-30T19:07:34"/>
    <n v="2.0004400000000002"/>
    <d v="2025-10-30T19:07:34"/>
    <d v="2025-11-01T19:07:58"/>
    <n v="2.0002779999999998"/>
    <m/>
    <m/>
    <m/>
    <m/>
    <m/>
    <n v="136.20429363426229"/>
    <x v="0"/>
    <x v="6"/>
    <x v="0"/>
    <n v="195"/>
    <n v="132"/>
    <n v="0.67692307692307696"/>
    <n v="0.67692307692307696"/>
    <n v="1"/>
  </r>
  <r>
    <n v="1240027019"/>
    <s v="42.819.620/0001-05"/>
    <s v="Newton Carlos Fonseca Ramos"/>
    <x v="0"/>
    <s v="Pipebot"/>
    <x v="1040"/>
    <m/>
    <m/>
    <d v="2025-11-03T19:05:12"/>
    <d v="2025-11-04T19:05:51"/>
    <n v="1.00044"/>
    <d v="2025-11-08T19:07:05"/>
    <d v="2025-11-18T19:19:32"/>
    <n v="10.008634000000001"/>
    <m/>
    <m/>
    <m/>
    <d v="2025-11-04T19:05:51"/>
    <d v="2025-11-06T19:06:05"/>
    <n v="2.0001500000000001"/>
    <d v="2025-11-06T19:06:05"/>
    <d v="2025-11-08T19:07:05"/>
    <n v="2.0006940000000002"/>
    <m/>
    <m/>
    <m/>
    <m/>
    <m/>
    <n v="129.20489108796755"/>
    <x v="0"/>
    <x v="6"/>
    <x v="0"/>
    <n v="195"/>
    <n v="132"/>
    <n v="0.67692307692307696"/>
    <n v="0.67692307692307696"/>
    <n v="1"/>
  </r>
  <r>
    <n v="1268642038"/>
    <s v="44.493.707/0001-52"/>
    <s v="Patrícia Aparecida Filartiga Garcia Correia "/>
    <x v="2"/>
    <s v="Pipebot"/>
    <x v="1041"/>
    <m/>
    <m/>
    <d v="2025-12-29T19:06:21"/>
    <d v="2026-02-19T12:35:03"/>
    <n v="1.9650000000000001"/>
    <d v="2026-01-03T19:08:13"/>
    <d v="2026-02-18T13:26:05"/>
    <n v="45.762407000000003"/>
    <d v="2026-02-19T14:19:13"/>
    <m/>
    <n v="7.2934380000000001"/>
    <d v="2025-12-30T19:07:00"/>
    <d v="2026-02-19T14:19:13"/>
    <n v="2.073067"/>
    <d v="2026-01-01T19:08:03"/>
    <d v="2026-01-03T19:08:13"/>
    <n v="2.0001039999999999"/>
    <m/>
    <m/>
    <m/>
    <m/>
    <m/>
    <n v="73.2045163773073"/>
    <x v="0"/>
    <x v="7"/>
    <x v="0"/>
    <n v="207"/>
    <n v="140"/>
    <n v="0.67632850241545894"/>
    <n v="0.67632850241545894"/>
    <n v="1"/>
  </r>
  <r>
    <n v="1247041664"/>
    <s v="42.819.620/0001-05"/>
    <s v="Newton Carlos Fonseca Ramos - Recebido, 1 adaptador"/>
    <x v="8"/>
    <s v="Pipebot"/>
    <x v="1042"/>
    <m/>
    <m/>
    <m/>
    <m/>
    <m/>
    <m/>
    <m/>
    <m/>
    <m/>
    <m/>
    <m/>
    <m/>
    <m/>
    <m/>
    <m/>
    <m/>
    <m/>
    <m/>
    <m/>
    <m/>
    <m/>
    <m/>
    <n v="120.20477701388882"/>
    <x v="0"/>
    <x v="6"/>
    <x v="0"/>
    <n v="195"/>
    <n v="132"/>
    <n v="0.67692307692307696"/>
    <n v="0.67692307692307696"/>
    <n v="1"/>
  </r>
  <r>
    <n v="1279611874"/>
    <s v="37.765.981/0001-78"/>
    <s v="Nicolas - NNM GASTRONOMIA DELIVERY LTDA:"/>
    <x v="0"/>
    <s v="Pipebot"/>
    <x v="1043"/>
    <m/>
    <m/>
    <m/>
    <m/>
    <m/>
    <m/>
    <m/>
    <m/>
    <m/>
    <m/>
    <m/>
    <m/>
    <m/>
    <m/>
    <m/>
    <m/>
    <m/>
    <m/>
    <m/>
    <m/>
    <m/>
    <m/>
    <n v="48.202260613426915"/>
    <x v="2"/>
    <x v="3"/>
    <x v="1"/>
    <n v="223"/>
    <n v="147"/>
    <n v="0.65919282511210764"/>
    <n v="0.65919282511210764"/>
    <n v="1"/>
  </r>
  <r>
    <n v="1278476185"/>
    <s v="62.490.176/0001-26"/>
    <s v="Nicolas Bortot de Almeida "/>
    <x v="0"/>
    <s v="Pipebot"/>
    <x v="1044"/>
    <m/>
    <m/>
    <m/>
    <m/>
    <m/>
    <m/>
    <m/>
    <m/>
    <m/>
    <m/>
    <m/>
    <m/>
    <m/>
    <m/>
    <m/>
    <m/>
    <m/>
    <m/>
    <m/>
    <m/>
    <m/>
    <m/>
    <n v="50.080084583329153"/>
    <x v="2"/>
    <x v="3"/>
    <x v="1"/>
    <n v="223"/>
    <n v="147"/>
    <n v="0.65919282511210764"/>
    <n v="0.65919282511210764"/>
    <n v="1"/>
  </r>
  <r>
    <n v="1208425112"/>
    <s v="27.950.833/0001-70"/>
    <s v="Nivaldo Vitalino da Silva Júnior"/>
    <x v="0"/>
    <s v="Pipebot"/>
    <x v="1045"/>
    <m/>
    <m/>
    <d v="2025-09-18T20:25:40"/>
    <d v="2025-09-19T20:25:50"/>
    <n v="1.0001040000000001"/>
    <d v="2025-09-23T20:26:10"/>
    <d v="2025-10-03T19:39:15"/>
    <n v="9.9674069999999997"/>
    <m/>
    <m/>
    <m/>
    <d v="2025-09-19T20:25:50"/>
    <d v="2025-09-21T20:25:53"/>
    <n v="2.0000230000000001"/>
    <d v="2025-09-21T20:25:53"/>
    <d v="2025-09-23T20:26:10"/>
    <n v="2.000197"/>
    <m/>
    <m/>
    <m/>
    <m/>
    <m/>
    <n v="175.14923156250006"/>
    <x v="0"/>
    <x v="4"/>
    <x v="0"/>
    <n v="197"/>
    <n v="149"/>
    <n v="0.75634517766497467"/>
    <n v="0.75634517766497467"/>
    <n v="1"/>
  </r>
  <r>
    <n v="1204766543"/>
    <s v="14.774.755/0001-58"/>
    <s v="ODRIGO DO NASCIMENTO AMORIM"/>
    <x v="0"/>
    <s v="Pipebot"/>
    <x v="1046"/>
    <m/>
    <m/>
    <d v="2025-09-12T20:26:15"/>
    <d v="2025-09-13T20:26:37"/>
    <n v="1.0002549999999999"/>
    <m/>
    <m/>
    <m/>
    <m/>
    <m/>
    <m/>
    <d v="2025-09-13T20:26:37"/>
    <d v="2025-09-15T20:27:18"/>
    <n v="2.0004629999999999"/>
    <d v="2025-09-15T20:27:18"/>
    <d v="2025-09-17T20:06:51"/>
    <n v="1.985787"/>
    <m/>
    <m/>
    <m/>
    <m/>
    <m/>
    <n v="181.14885678241262"/>
    <x v="0"/>
    <x v="2"/>
    <x v="0"/>
    <n v="146"/>
    <n v="112"/>
    <n v="0.76712328767123283"/>
    <n v="0.76712328767123283"/>
    <n v="1"/>
  </r>
  <r>
    <n v="1238330614"/>
    <s v="51.468.226/0001-52"/>
    <s v="Okeo minimercados "/>
    <x v="0"/>
    <s v="Pipebot"/>
    <x v="1047"/>
    <m/>
    <m/>
    <d v="2025-10-31T15:04:58"/>
    <d v="2025-10-31T21:15:51"/>
    <n v="0.25755800000000001"/>
    <m/>
    <m/>
    <m/>
    <m/>
    <m/>
    <m/>
    <m/>
    <m/>
    <m/>
    <m/>
    <m/>
    <m/>
    <m/>
    <m/>
    <m/>
    <m/>
    <m/>
    <n v="132.37178768518788"/>
    <x v="0"/>
    <x v="6"/>
    <x v="0"/>
    <n v="195"/>
    <n v="132"/>
    <n v="0.67692307692307696"/>
    <n v="0.67692307692307696"/>
    <n v="1"/>
  </r>
  <r>
    <n v="1217449039"/>
    <s v="17.040.745/0001-87"/>
    <s v="Oliveira e Cruz cafeteria LTDA"/>
    <x v="0"/>
    <s v="Pipebot"/>
    <x v="1048"/>
    <m/>
    <m/>
    <m/>
    <m/>
    <m/>
    <m/>
    <m/>
    <m/>
    <m/>
    <m/>
    <m/>
    <m/>
    <m/>
    <m/>
    <m/>
    <m/>
    <m/>
    <m/>
    <m/>
    <m/>
    <m/>
    <m/>
    <n v="160.15011950232292"/>
    <x v="0"/>
    <x v="4"/>
    <x v="0"/>
    <n v="197"/>
    <n v="149"/>
    <n v="0.75634517766497467"/>
    <n v="0.75634517766497467"/>
    <n v="1"/>
  </r>
  <r>
    <n v="1200308520"/>
    <s v="170.040.745/0001-87"/>
    <s v="Oliveira e Cruz cafeteria Ltda"/>
    <x v="0"/>
    <s v="Pipebot"/>
    <x v="1049"/>
    <m/>
    <m/>
    <m/>
    <m/>
    <m/>
    <m/>
    <m/>
    <m/>
    <m/>
    <m/>
    <m/>
    <m/>
    <m/>
    <m/>
    <m/>
    <m/>
    <m/>
    <m/>
    <m/>
    <m/>
    <m/>
    <m/>
    <n v="188.14987371527241"/>
    <x v="0"/>
    <x v="2"/>
    <x v="0"/>
    <n v="146"/>
    <n v="112"/>
    <n v="0.76712328767123283"/>
    <n v="0.76712328767123283"/>
    <n v="1"/>
  </r>
  <r>
    <n v="1259930303"/>
    <s v="17.040.745/0001-87"/>
    <s v="Oliveira e Cruz Cafetria"/>
    <x v="0"/>
    <s v="Pipebot"/>
    <x v="1050"/>
    <m/>
    <m/>
    <d v="2025-12-10T19:05:47"/>
    <d v="2025-12-11T19:06:17"/>
    <n v="1.0003470000000001"/>
    <d v="2025-12-15T19:06:58"/>
    <d v="2026-01-12T13:59:43"/>
    <n v="27.786632000000001"/>
    <m/>
    <m/>
    <m/>
    <d v="2025-12-11T19:06:17"/>
    <d v="2025-12-13T19:06:37"/>
    <n v="2.0002309999999999"/>
    <d v="2025-12-13T19:06:37"/>
    <d v="2025-12-15T19:06:58"/>
    <n v="2.0002309999999999"/>
    <m/>
    <m/>
    <m/>
    <m/>
    <m/>
    <n v="92.204458125001111"/>
    <x v="0"/>
    <x v="0"/>
    <x v="0"/>
    <n v="131"/>
    <n v="87"/>
    <n v="0.66412213740458015"/>
    <n v="0.66412213740458015"/>
    <n v="1"/>
  </r>
  <r>
    <n v="1269238582"/>
    <s v="33.903.366/0001-20"/>
    <s v="Paulo Henrique"/>
    <x v="5"/>
    <s v="Pipebot"/>
    <x v="1051"/>
    <m/>
    <m/>
    <d v="2025-12-30T22:06:59"/>
    <d v="2026-02-19T12:35:07"/>
    <n v="1.964745"/>
    <d v="2026-01-04T22:07:59"/>
    <d v="2026-02-18T13:26:10"/>
    <n v="44.637616000000001"/>
    <m/>
    <m/>
    <m/>
    <d v="2025-12-31T22:07:17"/>
    <d v="2026-02-20T12:58:49"/>
    <n v="3.0168520000000001"/>
    <d v="2026-01-02T22:07:52"/>
    <d v="2026-01-04T22:07:59"/>
    <n v="8.3493630000000003"/>
    <m/>
    <m/>
    <m/>
    <m/>
    <m/>
    <n v="72.079133553241263"/>
    <x v="0"/>
    <x v="7"/>
    <x v="0"/>
    <n v="207"/>
    <n v="140"/>
    <n v="0.67632850241545894"/>
    <n v="0.67632850241545894"/>
    <n v="1"/>
  </r>
  <r>
    <n v="1173146013"/>
    <s v="55.482.841/0001-74"/>
    <s v="Otomar Vielmo -- Modelo BCR (ANDROID 7 STONE!!!!!!) NÂO ENVIAR BLE"/>
    <x v="0"/>
    <s v="Pipebot"/>
    <x v="1052"/>
    <m/>
    <m/>
    <m/>
    <m/>
    <m/>
    <m/>
    <m/>
    <m/>
    <m/>
    <m/>
    <m/>
    <m/>
    <m/>
    <m/>
    <m/>
    <m/>
    <m/>
    <m/>
    <m/>
    <m/>
    <m/>
    <m/>
    <n v="233.35767256943655"/>
    <x v="0"/>
    <x v="5"/>
    <x v="0"/>
    <n v="177"/>
    <n v="130"/>
    <n v="0.7344632768361582"/>
    <n v="0.7344632768361582"/>
    <n v="1"/>
  </r>
  <r>
    <n v="1304258978"/>
    <s v="49.558.321/0001-03"/>
    <s v="OUR MARKET MINIMERCADO E LANCHONETE LTDA"/>
    <x v="7"/>
    <s v="Pipebot"/>
    <x v="1053"/>
    <m/>
    <m/>
    <m/>
    <m/>
    <m/>
    <m/>
    <m/>
    <m/>
    <m/>
    <m/>
    <m/>
    <m/>
    <m/>
    <m/>
    <m/>
    <m/>
    <m/>
    <m/>
    <m/>
    <m/>
    <m/>
    <m/>
    <n v="1.0783564236116945"/>
    <x v="4"/>
    <x v="1"/>
    <x v="1"/>
    <n v="189"/>
    <n v="33"/>
    <n v="0.17460317460317459"/>
    <n v="0.17460317460317459"/>
    <n v="1"/>
  </r>
  <r>
    <n v="1255165874"/>
    <s v="55.534.822/0001-44"/>
    <s v="P&amp;D COMERCIO ALIMENTICIO LTDA"/>
    <x v="0"/>
    <s v="Pipebot"/>
    <x v="1054"/>
    <m/>
    <m/>
    <d v="2025-11-28T22:05:47"/>
    <d v="2025-11-29T22:06:10"/>
    <n v="1.0002660000000001"/>
    <d v="2025-12-03T22:06:59"/>
    <d v="2026-01-15T14:10:45"/>
    <n v="42.669282000000003"/>
    <m/>
    <m/>
    <m/>
    <d v="2025-11-29T22:06:10"/>
    <d v="2025-12-01T22:06:33"/>
    <n v="2.0002550000000001"/>
    <d v="2025-12-01T22:06:33"/>
    <d v="2025-12-03T22:06:59"/>
    <n v="2.0003009999999999"/>
    <m/>
    <m/>
    <m/>
    <m/>
    <m/>
    <n v="104.079696921297"/>
    <x v="0"/>
    <x v="0"/>
    <x v="0"/>
    <n v="131"/>
    <n v="87"/>
    <n v="0.66412213740458015"/>
    <n v="0.66412213740458015"/>
    <n v="1"/>
  </r>
  <r>
    <n v="1290572722"/>
    <s v="50.721.132/0001-80"/>
    <s v="PAG E LEV LTDA"/>
    <x v="5"/>
    <s v="Pipebot"/>
    <x v="1055"/>
    <m/>
    <m/>
    <d v="2026-02-12T19:06:11"/>
    <d v="2026-02-13T16:01:16"/>
    <n v="0.87157399999999996"/>
    <m/>
    <m/>
    <m/>
    <m/>
    <m/>
    <m/>
    <d v="2026-02-13T16:01:16"/>
    <d v="2026-02-15T16:01:53"/>
    <n v="2.0004170000000001"/>
    <d v="2026-02-15T16:01:53"/>
    <m/>
    <n v="11.222153"/>
    <m/>
    <m/>
    <m/>
    <m/>
    <m/>
    <n v="28.204193483790732"/>
    <x v="5"/>
    <x v="3"/>
    <x v="1"/>
    <n v="223"/>
    <n v="147"/>
    <n v="0.65919282511210764"/>
    <n v="0.65919282511210764"/>
    <n v="1"/>
  </r>
  <r>
    <n v="1288419754"/>
    <s v="50.721.132/0001-80"/>
    <s v="PAG E LEV LTDA"/>
    <x v="5"/>
    <s v="Pipebot"/>
    <x v="1056"/>
    <m/>
    <m/>
    <d v="2026-02-09T22:06:08"/>
    <d v="2026-02-23T13:37:13"/>
    <n v="3.8603360000000002"/>
    <d v="2026-02-11T20:50:14"/>
    <d v="2026-02-20T16:58:22"/>
    <n v="8.8389699999999998"/>
    <m/>
    <m/>
    <m/>
    <d v="2026-02-10T22:06:10"/>
    <d v="2026-02-24T14:54:03"/>
    <n v="2.0006249999999999"/>
    <d v="2026-02-24T14:54:03"/>
    <m/>
    <n v="2.2692480000000002"/>
    <m/>
    <m/>
    <m/>
    <m/>
    <m/>
    <n v="31.079620185177191"/>
    <x v="2"/>
    <x v="3"/>
    <x v="1"/>
    <n v="223"/>
    <n v="147"/>
    <n v="0.65919282511210764"/>
    <n v="0.65919282511210764"/>
    <n v="1"/>
  </r>
  <r>
    <n v="1297055751"/>
    <s v="50.721.132/0001-80"/>
    <s v="PAG E LEV LTDA"/>
    <x v="6"/>
    <s v="Pipebot"/>
    <x v="1057"/>
    <m/>
    <m/>
    <d v="2026-02-26T19:07:37"/>
    <m/>
    <n v="9.3171000000000004E-2"/>
    <m/>
    <m/>
    <m/>
    <m/>
    <m/>
    <m/>
    <m/>
    <m/>
    <m/>
    <m/>
    <m/>
    <m/>
    <m/>
    <m/>
    <m/>
    <m/>
    <m/>
    <n v="14.203577418993518"/>
    <x v="1"/>
    <x v="1"/>
    <x v="1"/>
    <n v="189"/>
    <n v="33"/>
    <n v="0.17460317460317459"/>
    <n v="0.17460317460317459"/>
    <n v="1"/>
  </r>
  <r>
    <n v="1282983795"/>
    <s v="50.721.132/0001-80"/>
    <s v="PAG E LEV LTDA (máquina e leitor) - acionado Sofia 05/02"/>
    <x v="5"/>
    <s v="Pipebot"/>
    <x v="1058"/>
    <m/>
    <m/>
    <d v="2026-01-30T19:08:19"/>
    <d v="2026-02-20T16:51:45"/>
    <n v="2.176609"/>
    <d v="2026-02-04T19:10:30"/>
    <d v="2026-02-19T12:38:01"/>
    <n v="14.727442"/>
    <m/>
    <m/>
    <m/>
    <d v="2026-01-31T19:08:55"/>
    <d v="2026-02-23T13:32:47"/>
    <n v="4.8623729999999998"/>
    <d v="2026-02-02T19:09:42"/>
    <d v="2026-02-04T19:10:30"/>
    <n v="5.326238"/>
    <m/>
    <m/>
    <m/>
    <m/>
    <m/>
    <n v="41.203279594912601"/>
    <x v="2"/>
    <x v="3"/>
    <x v="1"/>
    <n v="223"/>
    <n v="147"/>
    <n v="0.65919282511210764"/>
    <n v="0.65919282511210764"/>
    <n v="1"/>
  </r>
  <r>
    <n v="1304130845"/>
    <s v="50.553.206/0001-17"/>
    <s v="PALOMA VIEIRA:"/>
    <x v="7"/>
    <s v="Pipebot"/>
    <x v="1059"/>
    <m/>
    <m/>
    <m/>
    <m/>
    <m/>
    <m/>
    <m/>
    <m/>
    <m/>
    <m/>
    <m/>
    <m/>
    <m/>
    <m/>
    <m/>
    <m/>
    <m/>
    <m/>
    <m/>
    <m/>
    <m/>
    <m/>
    <n v="1.2024019097225391"/>
    <x v="4"/>
    <x v="1"/>
    <x v="1"/>
    <n v="189"/>
    <n v="33"/>
    <n v="0.17460317460317459"/>
    <n v="0.17460317460317459"/>
    <n v="1"/>
  </r>
  <r>
    <n v="1301477270"/>
    <s v="63.704.771/0001-80"/>
    <s v="Papini smart  Store ltda"/>
    <x v="1"/>
    <s v="Pipebot"/>
    <x v="1060"/>
    <m/>
    <m/>
    <d v="2026-02-25T19:04:00"/>
    <d v="2026-02-26T19:04:57"/>
    <n v="1.000648"/>
    <m/>
    <m/>
    <m/>
    <m/>
    <m/>
    <m/>
    <d v="2026-02-26T19:04:57"/>
    <m/>
    <n v="9.5011999999999999E-2"/>
    <m/>
    <m/>
    <m/>
    <m/>
    <m/>
    <m/>
    <m/>
    <m/>
    <n v="3.3708255555466167"/>
    <x v="4"/>
    <x v="1"/>
    <x v="1"/>
    <n v="189"/>
    <n v="33"/>
    <n v="0.17460317460317459"/>
    <n v="0.17460317460317459"/>
    <n v="1"/>
  </r>
  <r>
    <n v="1194685332"/>
    <s v="44.912.604/0001-80"/>
    <s v="Pastrami com de alimento "/>
    <x v="0"/>
    <s v="Pipebot"/>
    <x v="1061"/>
    <m/>
    <m/>
    <m/>
    <m/>
    <m/>
    <m/>
    <m/>
    <m/>
    <m/>
    <m/>
    <m/>
    <m/>
    <m/>
    <m/>
    <m/>
    <m/>
    <m/>
    <m/>
    <m/>
    <m/>
    <m/>
    <m/>
    <n v="197.14907930555637"/>
    <x v="0"/>
    <x v="2"/>
    <x v="0"/>
    <n v="146"/>
    <n v="112"/>
    <n v="0.76712328767123283"/>
    <n v="0.76712328767123283"/>
    <n v="1"/>
  </r>
  <r>
    <n v="1254122279"/>
    <s v="57.000.552/0001-17"/>
    <s v="Patricia Aparecida Carvalho da Silva "/>
    <x v="0"/>
    <s v="Pipebot"/>
    <x v="1062"/>
    <m/>
    <m/>
    <d v="2025-11-26T22:05:28"/>
    <d v="2025-11-27T22:05:51"/>
    <n v="1.0002549999999999"/>
    <d v="2025-12-01T22:06:33"/>
    <d v="2025-12-10T18:17:18"/>
    <n v="8.8407990000000005"/>
    <m/>
    <m/>
    <m/>
    <d v="2025-11-27T22:05:51"/>
    <d v="2025-11-29T22:06:10"/>
    <n v="2.0002080000000002"/>
    <d v="2025-11-29T22:06:10"/>
    <d v="2025-12-01T22:06:33"/>
    <n v="2.0002550000000001"/>
    <m/>
    <m/>
    <m/>
    <m/>
    <m/>
    <n v="106.07964412037109"/>
    <x v="0"/>
    <x v="0"/>
    <x v="0"/>
    <n v="131"/>
    <n v="87"/>
    <n v="0.66412213740458015"/>
    <n v="0.66412213740458015"/>
    <n v="1"/>
  </r>
  <r>
    <n v="1267208167"/>
    <s v="49.715.804/0001-66"/>
    <s v="Pedro Henrique Valença Duarte"/>
    <x v="5"/>
    <s v="Pipebot"/>
    <x v="1063"/>
    <m/>
    <m/>
    <d v="2025-12-25T19:05:25"/>
    <d v="2026-02-18T13:25:23"/>
    <n v="3.0227200000000001"/>
    <d v="2025-12-30T19:07:01"/>
    <d v="2026-02-16T12:53:31"/>
    <n v="47.740625000000001"/>
    <m/>
    <m/>
    <m/>
    <d v="2025-12-26T19:06:18"/>
    <d v="2026-02-19T12:28:04"/>
    <n v="2.9603470000000001"/>
    <d v="2025-12-28T19:06:31"/>
    <d v="2025-12-30T19:07:00"/>
    <n v="9.3709720000000001"/>
    <m/>
    <m/>
    <m/>
    <m/>
    <m/>
    <n v="77.204844791667711"/>
    <x v="0"/>
    <x v="7"/>
    <x v="0"/>
    <n v="207"/>
    <n v="140"/>
    <n v="0.67632850241545894"/>
    <n v="0.67632850241545894"/>
    <n v="1"/>
  </r>
  <r>
    <n v="1268739988"/>
    <s v="27.999.186/0001-90"/>
    <s v="Perto e Pronto Comercio de Equipamento e Conveniencia Ltda"/>
    <x v="5"/>
    <s v="Pipebot"/>
    <x v="1064"/>
    <m/>
    <m/>
    <d v="2025-12-29T22:05:19"/>
    <d v="2026-02-19T12:35:05"/>
    <n v="1.965012"/>
    <d v="2026-01-03T22:06:47"/>
    <d v="2026-02-18T13:26:07"/>
    <n v="45.638426000000003"/>
    <m/>
    <m/>
    <m/>
    <d v="2025-12-30T22:05:58"/>
    <d v="2026-02-20T12:58:46"/>
    <n v="3.0168750000000002"/>
    <d v="2026-01-01T22:06:36"/>
    <d v="2026-01-03T22:06:47"/>
    <n v="8.3494329999999994"/>
    <m/>
    <m/>
    <m/>
    <m/>
    <m/>
    <n v="73.080238159716828"/>
    <x v="0"/>
    <x v="7"/>
    <x v="0"/>
    <n v="207"/>
    <n v="140"/>
    <n v="0.67632850241545894"/>
    <n v="0.67632850241545894"/>
    <n v="1"/>
  </r>
  <r>
    <n v="1201925717"/>
    <s v="44.191.608/0001-16"/>
    <s v="Patrícia Pasqualetto "/>
    <x v="0"/>
    <s v="Pipebot"/>
    <x v="1065"/>
    <m/>
    <m/>
    <m/>
    <m/>
    <m/>
    <m/>
    <m/>
    <m/>
    <m/>
    <m/>
    <m/>
    <m/>
    <m/>
    <m/>
    <m/>
    <m/>
    <m/>
    <m/>
    <m/>
    <m/>
    <m/>
    <m/>
    <n v="184.98297685184662"/>
    <x v="0"/>
    <x v="2"/>
    <x v="0"/>
    <n v="146"/>
    <n v="112"/>
    <n v="0.76712328767123283"/>
    <n v="0.76712328767123283"/>
    <n v="1"/>
  </r>
  <r>
    <n v="1189844939"/>
    <s v="55.625.675/0001-18"/>
    <s v="Patrick Santos"/>
    <x v="0"/>
    <s v="Pipebot"/>
    <x v="1066"/>
    <m/>
    <m/>
    <m/>
    <m/>
    <m/>
    <m/>
    <m/>
    <m/>
    <m/>
    <m/>
    <m/>
    <m/>
    <m/>
    <m/>
    <m/>
    <m/>
    <m/>
    <m/>
    <m/>
    <m/>
    <m/>
    <m/>
    <n v="204.14947520833084"/>
    <x v="0"/>
    <x v="2"/>
    <x v="0"/>
    <n v="146"/>
    <n v="112"/>
    <n v="0.76712328767123283"/>
    <n v="0.76712328767123283"/>
    <n v="1"/>
  </r>
  <r>
    <n v="1187231549"/>
    <s v="55.625.675/0001-18"/>
    <s v="Patrick Santos"/>
    <x v="0"/>
    <s v="Pipebot"/>
    <x v="1067"/>
    <m/>
    <m/>
    <m/>
    <m/>
    <m/>
    <m/>
    <m/>
    <m/>
    <m/>
    <m/>
    <m/>
    <m/>
    <m/>
    <m/>
    <m/>
    <m/>
    <m/>
    <m/>
    <m/>
    <m/>
    <m/>
    <m/>
    <n v="209.14942694443744"/>
    <x v="0"/>
    <x v="2"/>
    <x v="0"/>
    <n v="146"/>
    <n v="112"/>
    <n v="0.76712328767123283"/>
    <n v="0.76712328767123283"/>
    <n v="1"/>
  </r>
  <r>
    <n v="1229897883"/>
    <s v="55.625.675/0001-18"/>
    <s v="Patrick Santos"/>
    <x v="0"/>
    <s v="Pipebot"/>
    <x v="1068"/>
    <m/>
    <m/>
    <m/>
    <m/>
    <m/>
    <m/>
    <m/>
    <m/>
    <m/>
    <m/>
    <m/>
    <m/>
    <m/>
    <m/>
    <m/>
    <m/>
    <m/>
    <m/>
    <m/>
    <m/>
    <m/>
    <m/>
    <n v="142.1493903472292"/>
    <x v="0"/>
    <x v="6"/>
    <x v="0"/>
    <n v="195"/>
    <n v="132"/>
    <n v="0.67692307692307696"/>
    <n v="0.67692307692307696"/>
    <n v="1"/>
  </r>
  <r>
    <n v="1225987637"/>
    <s v="55.625.675/0001-18"/>
    <s v="Patrick Santos"/>
    <x v="0"/>
    <s v="Pipebot"/>
    <x v="1069"/>
    <m/>
    <m/>
    <m/>
    <m/>
    <m/>
    <m/>
    <m/>
    <m/>
    <m/>
    <m/>
    <m/>
    <m/>
    <m/>
    <m/>
    <m/>
    <m/>
    <m/>
    <m/>
    <m/>
    <m/>
    <m/>
    <m/>
    <n v="147.35757114583248"/>
    <x v="0"/>
    <x v="6"/>
    <x v="0"/>
    <n v="195"/>
    <n v="132"/>
    <n v="0.67692307692307696"/>
    <n v="0.67692307692307696"/>
    <n v="1"/>
  </r>
  <r>
    <n v="1229142002"/>
    <s v="42.605.507/0001-19"/>
    <s v="Paula Aparecida Motta de Araujo "/>
    <x v="5"/>
    <s v="Pipebot"/>
    <x v="1070"/>
    <m/>
    <m/>
    <d v="2025-10-20T20:26:56"/>
    <d v="2026-02-13T16:00:51"/>
    <n v="2.1468630000000002"/>
    <d v="2025-10-25T20:28:49"/>
    <d v="2026-02-12T12:29:51"/>
    <n v="109.667373"/>
    <m/>
    <m/>
    <m/>
    <d v="2025-10-21T20:27:25"/>
    <d v="2026-02-16T12:49:12"/>
    <n v="4.8672800000000001"/>
    <d v="2025-10-23T20:27:58"/>
    <d v="2025-10-25T20:28:49"/>
    <n v="12.356539"/>
    <m/>
    <m/>
    <m/>
    <m/>
    <m/>
    <n v="143.14858484954311"/>
    <x v="0"/>
    <x v="6"/>
    <x v="0"/>
    <n v="195"/>
    <n v="132"/>
    <n v="0.67692307692307696"/>
    <n v="0.67692307692307696"/>
    <n v="1"/>
  </r>
  <r>
    <n v="1284174665"/>
    <s v="60.449.072/0001-42"/>
    <s v="Paula Marcela"/>
    <x v="0"/>
    <s v="Pipebot"/>
    <x v="1071"/>
    <m/>
    <m/>
    <d v="2026-02-02T22:06:42"/>
    <d v="2026-02-03T22:07:03"/>
    <n v="1.000243"/>
    <m/>
    <m/>
    <m/>
    <m/>
    <m/>
    <m/>
    <d v="2026-02-03T22:07:03"/>
    <d v="2026-02-05T22:07:43"/>
    <n v="2.0004629999999999"/>
    <d v="2026-02-05T22:07:43"/>
    <d v="2026-02-06T18:14:21"/>
    <n v="0.83794000000000002"/>
    <m/>
    <m/>
    <m/>
    <m/>
    <m/>
    <n v="38.079389548613108"/>
    <x v="2"/>
    <x v="3"/>
    <x v="1"/>
    <n v="223"/>
    <n v="147"/>
    <n v="0.65919282511210764"/>
    <n v="0.65919282511210764"/>
    <n v="1"/>
  </r>
  <r>
    <n v="1195439775"/>
    <s v="51.490.229/0001-92"/>
    <s v="Paula Thalita Pereira dos Santos "/>
    <x v="5"/>
    <s v="Pipebot"/>
    <x v="1072"/>
    <m/>
    <m/>
    <d v="2025-08-28T20:24:09"/>
    <d v="2026-02-12T12:26:06"/>
    <n v="1.6449309999999999"/>
    <d v="2025-09-02T20:26:01"/>
    <d v="2026-02-11T20:58:03"/>
    <n v="162.022245"/>
    <m/>
    <m/>
    <m/>
    <d v="2025-08-29T20:24:49"/>
    <d v="2026-02-13T15:59:49"/>
    <n v="3.148542"/>
    <d v="2025-08-31T20:25:01"/>
    <d v="2025-09-02T20:26:01"/>
    <n v="15.224271"/>
    <m/>
    <m/>
    <m/>
    <m/>
    <m/>
    <n v="196.15030574073899"/>
    <x v="0"/>
    <x v="2"/>
    <x v="0"/>
    <n v="146"/>
    <n v="112"/>
    <n v="0.76712328767123283"/>
    <n v="0.76712328767123283"/>
    <n v="1"/>
  </r>
  <r>
    <n v="1277777543"/>
    <s v="33.903.366/0001-20"/>
    <s v="Paulo"/>
    <x v="5"/>
    <s v="Pipebot"/>
    <x v="1073"/>
    <m/>
    <m/>
    <d v="2026-01-20T22:06:47"/>
    <d v="2026-02-19T12:35:59"/>
    <n v="1.9643630000000001"/>
    <d v="2026-01-25T22:07:36"/>
    <d v="2026-02-18T13:27:41"/>
    <n v="23.638947000000002"/>
    <m/>
    <m/>
    <m/>
    <d v="2026-01-21T22:07:12"/>
    <d v="2026-02-20T16:50:11"/>
    <n v="3.176736"/>
    <d v="2026-01-23T22:07:30"/>
    <d v="2026-01-25T22:07:36"/>
    <n v="8.1886690000000009"/>
    <m/>
    <m/>
    <m/>
    <m/>
    <m/>
    <n v="51.079328865736898"/>
    <x v="2"/>
    <x v="3"/>
    <x v="1"/>
    <n v="223"/>
    <n v="147"/>
    <n v="0.65919282511210764"/>
    <n v="0.65919282511210764"/>
    <n v="1"/>
  </r>
  <r>
    <n v="1177336801"/>
    <s v="23.089.787/0001-05"/>
    <s v="Paulo Amaral"/>
    <x v="5"/>
    <s v="Pipebot"/>
    <x v="1074"/>
    <m/>
    <m/>
    <d v="2025-07-30T15:25:21"/>
    <d v="2026-02-12T12:25:26"/>
    <n v="1.6460760000000001"/>
    <d v="2025-08-04T15:27:34"/>
    <d v="2026-02-11T20:55:59"/>
    <n v="191.22806700000001"/>
    <m/>
    <m/>
    <m/>
    <d v="2025-07-31T15:26:16"/>
    <d v="2026-02-13T15:59:20"/>
    <n v="3.1488309999999999"/>
    <d v="2025-08-02T15:26:41"/>
    <d v="2025-08-04T15:27:34"/>
    <n v="15.224525"/>
    <m/>
    <m/>
    <m/>
    <m/>
    <m/>
    <n v="225.35752145833976"/>
    <x v="0"/>
    <x v="5"/>
    <x v="0"/>
    <n v="177"/>
    <n v="130"/>
    <n v="0.7344632768361582"/>
    <n v="0.7344632768361582"/>
    <n v="1"/>
  </r>
  <r>
    <n v="1264373581"/>
    <s v="38.428.490/0001-02"/>
    <s v="Pick N Pay Market "/>
    <x v="5"/>
    <s v="Pipebot"/>
    <x v="1075"/>
    <m/>
    <m/>
    <d v="2025-12-18T22:08:35"/>
    <d v="2026-02-18T13:25:05"/>
    <n v="3.0228820000000001"/>
    <d v="2025-12-23T22:11:14"/>
    <d v="2026-02-16T12:53:00"/>
    <n v="54.612338000000001"/>
    <m/>
    <m/>
    <m/>
    <d v="2025-12-19T22:09:27"/>
    <d v="2026-02-19T12:27:54"/>
    <n v="2.9608680000000001"/>
    <d v="2025-12-21T22:10:18"/>
    <d v="2025-12-23T22:11:14"/>
    <n v="9.3713890000000006"/>
    <m/>
    <m/>
    <m/>
    <m/>
    <m/>
    <n v="84.07780004630331"/>
    <x v="0"/>
    <x v="7"/>
    <x v="0"/>
    <n v="207"/>
    <n v="140"/>
    <n v="0.67632850241545894"/>
    <n v="0.67632850241545894"/>
    <n v="1"/>
  </r>
  <r>
    <n v="1222240565"/>
    <s v="33.903.366/0001-20"/>
    <s v="Paulo Henrique"/>
    <x v="5"/>
    <s v="Pipebot"/>
    <x v="1076"/>
    <m/>
    <m/>
    <d v="2025-10-10T20:26:49"/>
    <d v="2026-02-13T16:00:45"/>
    <n v="2.1480670000000002"/>
    <d v="2025-10-15T20:29:14"/>
    <d v="2026-02-12T12:28:29"/>
    <n v="119.666134"/>
    <m/>
    <m/>
    <m/>
    <d v="2025-10-11T20:27:46"/>
    <d v="2026-02-16T12:49:07"/>
    <n v="4.8674419999999996"/>
    <d v="2025-10-13T20:28:31"/>
    <d v="2025-10-15T20:29:14"/>
    <n v="12.356505"/>
    <m/>
    <m/>
    <m/>
    <m/>
    <m/>
    <n v="153.14832254630164"/>
    <x v="0"/>
    <x v="4"/>
    <x v="0"/>
    <n v="197"/>
    <n v="149"/>
    <n v="0.75634517766497467"/>
    <n v="0.75634517766497467"/>
    <n v="1"/>
  </r>
  <r>
    <n v="1173353778"/>
    <s v="33.903.366/0001-20"/>
    <s v="Paulo Henrique"/>
    <x v="0"/>
    <s v="Pipebot"/>
    <x v="1077"/>
    <m/>
    <m/>
    <m/>
    <m/>
    <m/>
    <m/>
    <m/>
    <m/>
    <m/>
    <m/>
    <m/>
    <m/>
    <m/>
    <m/>
    <m/>
    <m/>
    <m/>
    <m/>
    <m/>
    <m/>
    <m/>
    <m/>
    <n v="233.14833699073642"/>
    <x v="0"/>
    <x v="5"/>
    <x v="0"/>
    <n v="177"/>
    <n v="130"/>
    <n v="0.7344632768361582"/>
    <n v="0.7344632768361582"/>
    <n v="1"/>
  </r>
  <r>
    <n v="1209249871"/>
    <s v="33.903.366/0001-20"/>
    <s v="Paulo Henrique"/>
    <x v="0"/>
    <s v="Pipebot"/>
    <x v="1078"/>
    <m/>
    <m/>
    <d v="2025-09-19T20:27:50"/>
    <d v="2025-09-20T20:27:53"/>
    <n v="1.0000230000000001"/>
    <d v="2025-09-24T20:29:42"/>
    <d v="2025-10-02T18:27:36"/>
    <n v="7.915197"/>
    <m/>
    <m/>
    <m/>
    <d v="2025-09-20T20:27:53"/>
    <d v="2025-09-22T20:28:49"/>
    <n v="2.000648"/>
    <d v="2025-09-22T20:28:49"/>
    <d v="2025-09-24T20:29:42"/>
    <n v="2.000613"/>
    <m/>
    <m/>
    <m/>
    <m/>
    <m/>
    <n v="174.14794221064949"/>
    <x v="0"/>
    <x v="4"/>
    <x v="0"/>
    <n v="197"/>
    <n v="149"/>
    <n v="0.75634517766497467"/>
    <n v="0.75634517766497467"/>
    <n v="1"/>
  </r>
  <r>
    <n v="1172781990"/>
    <s v="33.903.366/0001-20"/>
    <s v="Paulo Henrique - 4 AMLabs - 4 ADAPTADORES"/>
    <x v="0"/>
    <s v="Pipebot"/>
    <x v="1079"/>
    <m/>
    <m/>
    <m/>
    <m/>
    <m/>
    <d v="2025-07-14T21:00:49"/>
    <d v="2025-10-02T18:32:50"/>
    <n v="79.897221999999999"/>
    <m/>
    <m/>
    <m/>
    <m/>
    <m/>
    <m/>
    <m/>
    <m/>
    <m/>
    <m/>
    <m/>
    <m/>
    <m/>
    <m/>
    <n v="234.14782949074288"/>
    <x v="0"/>
    <x v="5"/>
    <x v="0"/>
    <n v="177"/>
    <n v="130"/>
    <n v="0.7344632768361582"/>
    <n v="0.7344632768361582"/>
    <n v="1"/>
  </r>
  <r>
    <n v="1245632904"/>
    <s v="33.903.366/0001-20"/>
    <s v="Paulo Pergentino"/>
    <x v="8"/>
    <s v="Pipebot"/>
    <x v="1080"/>
    <m/>
    <m/>
    <m/>
    <m/>
    <m/>
    <m/>
    <m/>
    <m/>
    <m/>
    <m/>
    <m/>
    <m/>
    <m/>
    <m/>
    <m/>
    <m/>
    <m/>
    <m/>
    <m/>
    <m/>
    <m/>
    <m/>
    <n v="122.2041259722173"/>
    <x v="0"/>
    <x v="6"/>
    <x v="0"/>
    <n v="195"/>
    <n v="132"/>
    <n v="0.67692307692307696"/>
    <n v="0.67692307692307696"/>
    <n v="1"/>
  </r>
  <r>
    <n v="1293443627"/>
    <s v="51.630.165/0001-88"/>
    <s v="Paulo Ricardo Ribeiro"/>
    <x v="5"/>
    <s v="Pipebot"/>
    <x v="1081"/>
    <m/>
    <m/>
    <d v="2026-02-18T22:05:39"/>
    <d v="2026-02-19T12:36:11"/>
    <n v="0.60453699999999999"/>
    <m/>
    <m/>
    <m/>
    <m/>
    <m/>
    <m/>
    <d v="2026-02-19T12:36:11"/>
    <d v="2026-02-20T16:50:29"/>
    <n v="1.1765859999999999"/>
    <d v="2026-02-20T16:50:29"/>
    <m/>
    <n v="6.1884030000000001"/>
    <m/>
    <m/>
    <m/>
    <m/>
    <m/>
    <n v="22.080040694447234"/>
    <x v="3"/>
    <x v="1"/>
    <x v="1"/>
    <n v="189"/>
    <n v="33"/>
    <n v="0.17460317460317459"/>
    <n v="0.17460317460317459"/>
    <n v="1"/>
  </r>
  <r>
    <n v="1178245377"/>
    <s v="40.655.145/0001-45"/>
    <s v="Paulo Sérgio Alves Azevedo"/>
    <x v="0"/>
    <s v="Pipebot"/>
    <x v="1082"/>
    <m/>
    <m/>
    <m/>
    <m/>
    <m/>
    <m/>
    <m/>
    <m/>
    <m/>
    <m/>
    <m/>
    <m/>
    <m/>
    <m/>
    <m/>
    <m/>
    <m/>
    <m/>
    <m/>
    <m/>
    <m/>
    <m/>
    <n v="224.14880731480662"/>
    <x v="0"/>
    <x v="5"/>
    <x v="0"/>
    <n v="177"/>
    <n v="130"/>
    <n v="0.7344632768361582"/>
    <n v="0.7344632768361582"/>
    <n v="1"/>
  </r>
  <r>
    <n v="1293338303"/>
    <s v="40.655.145/0001-45"/>
    <s v="Paulo Sérgio Alves Azevedo "/>
    <x v="4"/>
    <s v="Pipebot"/>
    <x v="1083"/>
    <m/>
    <m/>
    <d v="2026-02-18T19:06:04"/>
    <d v="2026-02-19T12:36:04"/>
    <n v="0.72916700000000001"/>
    <m/>
    <m/>
    <m/>
    <m/>
    <m/>
    <m/>
    <d v="2026-02-19T12:36:04"/>
    <d v="2026-02-20T16:50:20"/>
    <n v="1.176563"/>
    <d v="2026-02-20T16:50:20"/>
    <d v="2026-02-25T18:35:08"/>
    <n v="5.0727659999999997"/>
    <m/>
    <m/>
    <m/>
    <m/>
    <m/>
    <n v="22.20433554398187"/>
    <x v="3"/>
    <x v="1"/>
    <x v="1"/>
    <n v="189"/>
    <n v="33"/>
    <n v="0.17460317460317459"/>
    <n v="0.17460317460317459"/>
    <n v="1"/>
  </r>
  <r>
    <n v="1213467782"/>
    <s v="42.925.771/0001-30"/>
    <s v="Paulo Victor Matias Rodrigues"/>
    <x v="5"/>
    <s v="Pipebot"/>
    <x v="1084"/>
    <m/>
    <m/>
    <d v="2025-09-26T20:29:02"/>
    <d v="2026-02-13T16:00:36"/>
    <n v="2.1483560000000002"/>
    <d v="2025-10-01T20:31:10"/>
    <d v="2026-02-12T12:27:44"/>
    <n v="133.66427100000001"/>
    <m/>
    <m/>
    <m/>
    <d v="2025-09-27T20:29:48"/>
    <d v="2026-02-16T12:49:00"/>
    <n v="4.8674999999999997"/>
    <d v="2025-09-29T20:30:36"/>
    <d v="2025-10-01T20:31:10"/>
    <n v="12.356481"/>
    <m/>
    <m/>
    <m/>
    <m/>
    <m/>
    <n v="167.14678623843065"/>
    <x v="0"/>
    <x v="4"/>
    <x v="0"/>
    <n v="197"/>
    <n v="149"/>
    <n v="0.75634517766497467"/>
    <n v="0.75634517766497467"/>
    <n v="1"/>
  </r>
  <r>
    <n v="1180441226"/>
    <s v="58.814.126/0001-80"/>
    <s v="Paulo Vitor Storch Thimoteo "/>
    <x v="0"/>
    <s v="Pipebot"/>
    <x v="1085"/>
    <m/>
    <m/>
    <d v="2025-08-04T20:24:50"/>
    <d v="2025-08-05T20:13:24"/>
    <n v="0.99206000000000005"/>
    <m/>
    <m/>
    <m/>
    <m/>
    <m/>
    <m/>
    <m/>
    <m/>
    <m/>
    <m/>
    <m/>
    <m/>
    <m/>
    <m/>
    <m/>
    <m/>
    <m/>
    <n v="220.14967043982324"/>
    <x v="0"/>
    <x v="5"/>
    <x v="0"/>
    <n v="177"/>
    <n v="130"/>
    <n v="0.7344632768361582"/>
    <n v="0.7344632768361582"/>
    <n v="1"/>
  </r>
  <r>
    <n v="1294278323"/>
    <s v="33.903.366/0001-20"/>
    <s v="Pedro"/>
    <x v="5"/>
    <s v="Pipebot"/>
    <x v="1086"/>
    <m/>
    <m/>
    <d v="2026-02-20T13:36:34"/>
    <d v="2026-02-20T16:52:50"/>
    <n v="0.136296"/>
    <m/>
    <m/>
    <m/>
    <m/>
    <m/>
    <m/>
    <d v="2026-02-20T16:52:50"/>
    <d v="2026-02-22T16:53:17"/>
    <n v="2.0003009999999999"/>
    <d v="2026-02-22T16:53:17"/>
    <m/>
    <n v="4.186458"/>
    <m/>
    <m/>
    <m/>
    <m/>
    <m/>
    <n v="20.433619421302865"/>
    <x v="3"/>
    <x v="1"/>
    <x v="1"/>
    <n v="189"/>
    <n v="33"/>
    <n v="0.17460317460317459"/>
    <n v="0.17460317460317459"/>
    <n v="1"/>
  </r>
  <r>
    <n v="1294279687"/>
    <s v="48.233.954/0001-70"/>
    <s v="Pedro Albano - Take a Break"/>
    <x v="5"/>
    <s v="Pipebot"/>
    <x v="1087"/>
    <m/>
    <m/>
    <d v="2026-02-20T13:38:28"/>
    <d v="2026-02-21T13:38:33"/>
    <n v="1.0000579999999999"/>
    <m/>
    <m/>
    <m/>
    <m/>
    <m/>
    <m/>
    <d v="2026-02-21T13:38:33"/>
    <d v="2026-02-23T13:32:47"/>
    <n v="1.995995"/>
    <d v="2026-02-23T13:32:48"/>
    <m/>
    <n v="3.3256709999999998"/>
    <m/>
    <m/>
    <m/>
    <m/>
    <m/>
    <n v="20.432410567133047"/>
    <x v="3"/>
    <x v="1"/>
    <x v="1"/>
    <n v="189"/>
    <n v="33"/>
    <n v="0.17460317460317459"/>
    <n v="0.17460317460317459"/>
    <n v="1"/>
  </r>
  <r>
    <n v="1263585521"/>
    <s v="47.868.101/0001-42"/>
    <s v="PIMPÃO MINI MERCATO "/>
    <x v="0"/>
    <s v="Pipebot"/>
    <x v="1088"/>
    <m/>
    <m/>
    <m/>
    <m/>
    <m/>
    <m/>
    <m/>
    <m/>
    <m/>
    <m/>
    <m/>
    <m/>
    <m/>
    <m/>
    <m/>
    <m/>
    <m/>
    <m/>
    <m/>
    <m/>
    <m/>
    <m/>
    <n v="85.079446643518168"/>
    <x v="0"/>
    <x v="7"/>
    <x v="0"/>
    <n v="207"/>
    <n v="140"/>
    <n v="0.67632850241545894"/>
    <n v="0.67632850241545894"/>
    <n v="1"/>
  </r>
  <r>
    <n v="1226566470"/>
    <s v="49.739.516/0001-41"/>
    <s v="Pedro Renato Lucio Marcelino - VM VENDINHA LTDA/ORIGEM NÃO IDENTIFICADA"/>
    <x v="0"/>
    <s v="Vinícius Melesque dos Santos"/>
    <x v="1089"/>
    <m/>
    <m/>
    <m/>
    <m/>
    <m/>
    <m/>
    <m/>
    <m/>
    <m/>
    <m/>
    <m/>
    <m/>
    <m/>
    <m/>
    <m/>
    <m/>
    <m/>
    <m/>
    <m/>
    <m/>
    <m/>
    <m/>
    <n v="146.50688538193936"/>
    <x v="0"/>
    <x v="6"/>
    <x v="0"/>
    <n v="195"/>
    <n v="132"/>
    <n v="0.67692307692307696"/>
    <n v="0.67692307692307696"/>
    <n v="1"/>
  </r>
  <r>
    <n v="1189846173"/>
    <s v="46.454.841/0001-70"/>
    <s v="PEG PAG EXPRESS LTDA"/>
    <x v="0"/>
    <s v="Pipebot"/>
    <x v="1090"/>
    <m/>
    <m/>
    <m/>
    <m/>
    <m/>
    <m/>
    <m/>
    <m/>
    <m/>
    <m/>
    <m/>
    <m/>
    <m/>
    <m/>
    <m/>
    <m/>
    <m/>
    <m/>
    <m/>
    <m/>
    <m/>
    <m/>
    <n v="204.14846299769124"/>
    <x v="0"/>
    <x v="2"/>
    <x v="0"/>
    <n v="146"/>
    <n v="112"/>
    <n v="0.76712328767123283"/>
    <n v="0.76712328767123283"/>
    <n v="1"/>
  </r>
  <r>
    <n v="1189845762"/>
    <s v="50.849.540/0001-12"/>
    <s v="PEGMANIA COMÉRCIO"/>
    <x v="5"/>
    <s v="Pipebot"/>
    <x v="1091"/>
    <m/>
    <m/>
    <d v="2025-08-20T20:26:45"/>
    <d v="2026-02-12T12:26:03"/>
    <n v="1.645"/>
    <d v="2025-08-25T20:28:01"/>
    <d v="2026-02-11T20:57:58"/>
    <n v="170.02079900000001"/>
    <m/>
    <m/>
    <m/>
    <d v="2025-08-21T20:27:29"/>
    <d v="2026-02-13T15:59:46"/>
    <n v="3.1486459999999998"/>
    <d v="2025-08-23T20:27:50"/>
    <d v="2025-08-25T20:28:01"/>
    <n v="15.223750000000001"/>
    <m/>
    <m/>
    <m/>
    <m/>
    <m/>
    <n v="204.14876026620914"/>
    <x v="0"/>
    <x v="2"/>
    <x v="0"/>
    <n v="146"/>
    <n v="112"/>
    <n v="0.76712328767123283"/>
    <n v="0.76712328767123283"/>
    <n v="1"/>
  </r>
  <r>
    <n v="1299196438"/>
    <s v="33.903.366/0001-20"/>
    <s v="PEP Comercio"/>
    <x v="7"/>
    <s v="Pipebot"/>
    <x v="1092"/>
    <m/>
    <m/>
    <m/>
    <m/>
    <m/>
    <m/>
    <m/>
    <m/>
    <m/>
    <m/>
    <m/>
    <m/>
    <m/>
    <m/>
    <m/>
    <m/>
    <m/>
    <m/>
    <m/>
    <m/>
    <m/>
    <m/>
    <n v="8.0796207523235353"/>
    <x v="4"/>
    <x v="1"/>
    <x v="1"/>
    <n v="189"/>
    <n v="33"/>
    <n v="0.17460317460317459"/>
    <n v="0.17460317460317459"/>
    <n v="1"/>
  </r>
  <r>
    <n v="1270278364"/>
    <s v="37.571.388/0001-90"/>
    <s v="PMW MERCADO LTDA"/>
    <x v="0"/>
    <s v="Pipebot"/>
    <x v="1093"/>
    <m/>
    <m/>
    <d v="2026-01-01T22:07:37"/>
    <d v="2026-01-02T22:07:52"/>
    <n v="1.0001739999999999"/>
    <d v="2026-01-06T22:08:54"/>
    <d v="2026-01-30T18:50:57"/>
    <n v="23.862535000000001"/>
    <d v="2026-01-30T18:50:57"/>
    <d v="2026-01-30T18:51:10"/>
    <n v="1.3899999999999999E-4"/>
    <d v="2026-01-02T22:07:52"/>
    <d v="2026-01-04T22:07:59"/>
    <n v="2.0000810000000002"/>
    <d v="2026-01-04T22:07:59"/>
    <d v="2026-01-06T22:08:54"/>
    <n v="2.0006249999999999"/>
    <m/>
    <m/>
    <m/>
    <m/>
    <m/>
    <n v="70.078191122680437"/>
    <x v="0"/>
    <x v="7"/>
    <x v="0"/>
    <n v="207"/>
    <n v="140"/>
    <n v="0.67632850241545894"/>
    <n v="0.67632850241545894"/>
    <n v="1"/>
  </r>
  <r>
    <n v="1203338796"/>
    <s v="48.587.610/0001-60"/>
    <s v="phillipe Souza de carvalho"/>
    <x v="0"/>
    <s v="Pipebot"/>
    <x v="1094"/>
    <m/>
    <m/>
    <m/>
    <m/>
    <m/>
    <m/>
    <m/>
    <m/>
    <m/>
    <m/>
    <m/>
    <m/>
    <m/>
    <m/>
    <m/>
    <m/>
    <m/>
    <m/>
    <m/>
    <m/>
    <m/>
    <m/>
    <n v="182.98237878471991"/>
    <x v="0"/>
    <x v="2"/>
    <x v="0"/>
    <n v="146"/>
    <n v="112"/>
    <n v="0.76712328767123283"/>
    <n v="0.76712328767123283"/>
    <n v="1"/>
  </r>
  <r>
    <n v="1212890848"/>
    <s v="48.587.610/0001-60"/>
    <s v="phillipe Souza de carvalho"/>
    <x v="0"/>
    <s v="Pipebot"/>
    <x v="1095"/>
    <m/>
    <m/>
    <d v="2025-09-26T00:28:03"/>
    <d v="2025-09-27T00:28:30"/>
    <n v="1.0003010000000001"/>
    <m/>
    <m/>
    <m/>
    <m/>
    <m/>
    <m/>
    <d v="2025-09-27T00:28:30"/>
    <d v="2025-09-29T00:29:23"/>
    <n v="2.0006020000000002"/>
    <d v="2025-09-29T00:29:23"/>
    <d v="2025-09-30T22:06:21"/>
    <n v="1.900671"/>
    <m/>
    <m/>
    <m/>
    <m/>
    <m/>
    <n v="167.98105806713284"/>
    <x v="0"/>
    <x v="4"/>
    <x v="0"/>
    <n v="197"/>
    <n v="149"/>
    <n v="0.75634517766497467"/>
    <n v="0.75634517766497467"/>
    <n v="1"/>
  </r>
  <r>
    <n v="1294485173"/>
    <s v="38.428.490/0001-02"/>
    <s v="Pick N Pay Market"/>
    <x v="3"/>
    <s v="Pipebot"/>
    <x v="1096"/>
    <m/>
    <m/>
    <m/>
    <m/>
    <m/>
    <m/>
    <m/>
    <m/>
    <m/>
    <m/>
    <m/>
    <m/>
    <m/>
    <m/>
    <m/>
    <m/>
    <m/>
    <m/>
    <m/>
    <m/>
    <m/>
    <m/>
    <n v="20.20450597222225"/>
    <x v="3"/>
    <x v="1"/>
    <x v="1"/>
    <n v="189"/>
    <n v="33"/>
    <n v="0.17460317460317459"/>
    <n v="0.17460317460317459"/>
    <n v="1"/>
  </r>
  <r>
    <n v="1202543172"/>
    <s v="38.428.490/0001-02"/>
    <s v="Pick N Pay Market"/>
    <x v="0"/>
    <s v="Pipebot"/>
    <x v="1097"/>
    <m/>
    <m/>
    <d v="2025-09-09T20:27:12"/>
    <d v="2025-09-10T20:27:55"/>
    <n v="1.0004980000000001"/>
    <d v="2025-09-14T20:28:51"/>
    <d v="2025-09-25T19:03:10"/>
    <n v="10.940486"/>
    <m/>
    <m/>
    <m/>
    <d v="2025-09-10T20:27:55"/>
    <d v="2025-09-12T20:28:14"/>
    <n v="2.0002200000000001"/>
    <d v="2025-09-12T20:28:14"/>
    <d v="2025-09-14T20:28:51"/>
    <n v="2.0004170000000001"/>
    <m/>
    <m/>
    <m/>
    <m/>
    <m/>
    <n v="184.14864895833307"/>
    <x v="0"/>
    <x v="2"/>
    <x v="0"/>
    <n v="146"/>
    <n v="112"/>
    <n v="0.76712328767123283"/>
    <n v="0.76712328767123283"/>
    <n v="1"/>
  </r>
  <r>
    <n v="1273327221"/>
    <s v="21.292.890/0001-22"/>
    <s v="Priscila Benone de Araújo Lima"/>
    <x v="0"/>
    <s v="Pipebot"/>
    <x v="1098"/>
    <m/>
    <m/>
    <d v="2026-01-09T19:08:49"/>
    <d v="2026-01-10T19:09:12"/>
    <n v="1.0002549999999999"/>
    <m/>
    <m/>
    <m/>
    <m/>
    <m/>
    <m/>
    <d v="2026-01-10T19:09:12"/>
    <d v="2026-01-12T19:09:46"/>
    <n v="2.0003820000000001"/>
    <d v="2026-01-12T19:09:46"/>
    <d v="2026-01-14T17:54:59"/>
    <n v="1.948056"/>
    <m/>
    <m/>
    <m/>
    <m/>
    <m/>
    <n v="62.202868055552244"/>
    <x v="0"/>
    <x v="7"/>
    <x v="0"/>
    <n v="207"/>
    <n v="140"/>
    <n v="0.67632850241545894"/>
    <n v="0.67632850241545894"/>
    <n v="1"/>
  </r>
  <r>
    <n v="1253466365"/>
    <s v="38.428.490/0001-02"/>
    <s v="Pick N Pay Market "/>
    <x v="0"/>
    <s v="Pipebot"/>
    <x v="1099"/>
    <m/>
    <m/>
    <m/>
    <m/>
    <m/>
    <m/>
    <m/>
    <m/>
    <m/>
    <m/>
    <m/>
    <m/>
    <m/>
    <m/>
    <m/>
    <m/>
    <m/>
    <m/>
    <m/>
    <m/>
    <m/>
    <m/>
    <n v="107.20369129628671"/>
    <x v="0"/>
    <x v="0"/>
    <x v="0"/>
    <n v="131"/>
    <n v="87"/>
    <n v="0.66412213740458015"/>
    <n v="0.66412213740458015"/>
    <n v="1"/>
  </r>
  <r>
    <n v="1206795146"/>
    <s v="38.428.490/0001-02"/>
    <s v="Pick N Pay Market comércio varejista de conveniência ltda"/>
    <x v="5"/>
    <s v="Pipebot"/>
    <x v="1100"/>
    <m/>
    <m/>
    <d v="2025-09-16T20:26:48"/>
    <d v="2026-02-16T12:51:08"/>
    <n v="3.8730790000000002"/>
    <d v="2025-09-21T20:28:53"/>
    <d v="2026-02-13T16:02:03"/>
    <n v="144.80972199999999"/>
    <m/>
    <m/>
    <m/>
    <d v="2025-09-17T20:27:49"/>
    <d v="2026-02-18T13:20:52"/>
    <n v="4.0213429999999999"/>
    <d v="2025-09-19T20:28:49"/>
    <d v="2025-09-21T20:28:53"/>
    <n v="10.334004999999999"/>
    <m/>
    <m/>
    <m/>
    <m/>
    <m/>
    <n v="177.14831679398776"/>
    <x v="0"/>
    <x v="4"/>
    <x v="0"/>
    <n v="197"/>
    <n v="149"/>
    <n v="0.75634517766497467"/>
    <n v="0.75634517766497467"/>
    <n v="1"/>
  </r>
  <r>
    <n v="1288419807"/>
    <s v="38.428.490/0001-02"/>
    <s v="Pick N Pay Market comércio varejista de conveniência ltda "/>
    <x v="0"/>
    <s v="Pipebot"/>
    <x v="1101"/>
    <m/>
    <m/>
    <d v="2026-02-09T22:06:08"/>
    <d v="2026-02-10T22:07:09"/>
    <n v="1.0007060000000001"/>
    <d v="2026-02-11T20:50:17"/>
    <d v="2026-02-12T19:53:51"/>
    <n v="0.96081000000000005"/>
    <m/>
    <m/>
    <m/>
    <d v="2026-02-10T22:07:09"/>
    <d v="2026-02-11T20:50:17"/>
    <n v="0.94660900000000003"/>
    <m/>
    <m/>
    <m/>
    <m/>
    <m/>
    <m/>
    <m/>
    <m/>
    <n v="31.079551539347449"/>
    <x v="2"/>
    <x v="3"/>
    <x v="1"/>
    <n v="223"/>
    <n v="147"/>
    <n v="0.65919282511210764"/>
    <n v="0.65919282511210764"/>
    <n v="1"/>
  </r>
  <r>
    <n v="1297181874"/>
    <s v="38.428.490/0001-02"/>
    <s v="Pick N Pay Market comércio varejista de conveniência ltda "/>
    <x v="7"/>
    <s v="Pipebot"/>
    <x v="1102"/>
    <m/>
    <m/>
    <m/>
    <m/>
    <m/>
    <m/>
    <m/>
    <m/>
    <m/>
    <m/>
    <m/>
    <m/>
    <m/>
    <m/>
    <m/>
    <m/>
    <m/>
    <m/>
    <m/>
    <m/>
    <m/>
    <m/>
    <n v="14.079252905103203"/>
    <x v="1"/>
    <x v="1"/>
    <x v="1"/>
    <n v="189"/>
    <n v="33"/>
    <n v="0.17460317460317459"/>
    <n v="0.17460317460317459"/>
    <n v="1"/>
  </r>
  <r>
    <n v="1284362253"/>
    <s v="38.428.490/0001-02"/>
    <s v="Pick N Pay Market comércio varejista de conveniência ltda (trava e módulo) - acionado sofia 09/02"/>
    <x v="5"/>
    <s v="Pipebot"/>
    <x v="1103"/>
    <m/>
    <m/>
    <d v="2026-02-03T13:03:55"/>
    <d v="2026-02-20T16:51:50"/>
    <n v="2.1763889999999999"/>
    <d v="2026-02-08T13:06:07"/>
    <d v="2026-02-19T12:38:05"/>
    <n v="10.980532"/>
    <m/>
    <m/>
    <m/>
    <d v="2026-02-04T13:04:10"/>
    <d v="2026-02-23T13:32:47"/>
    <n v="4.8624650000000003"/>
    <d v="2026-02-06T13:05:10"/>
    <d v="2026-02-08T13:06:07"/>
    <n v="5.3263309999999997"/>
    <m/>
    <m/>
    <m/>
    <m/>
    <m/>
    <n v="37.455933113422361"/>
    <x v="2"/>
    <x v="3"/>
    <x v="1"/>
    <n v="223"/>
    <n v="147"/>
    <n v="0.65919282511210764"/>
    <n v="0.65919282511210764"/>
    <n v="1"/>
  </r>
  <r>
    <n v="1176889264"/>
    <s v="57.351.594/0001-00"/>
    <s v="Pietra Goes de Vito"/>
    <x v="0"/>
    <s v="Pipebot"/>
    <x v="1104"/>
    <m/>
    <m/>
    <d v="2025-07-15T21:31:54"/>
    <d v="2025-07-16T21:32:20"/>
    <n v="1.000289"/>
    <d v="2025-07-20T21:34:00"/>
    <d v="2025-07-24T14:10:58"/>
    <n v="3.6923379999999999"/>
    <d v="2025-07-24T14:10:58"/>
    <d v="2025-07-24T14:11:16"/>
    <n v="2.0799999999999999E-4"/>
    <d v="2025-07-16T21:32:20"/>
    <d v="2025-07-18T21:33:09"/>
    <n v="2.0005670000000002"/>
    <d v="2025-07-18T21:33:09"/>
    <d v="2025-07-20T21:34:00"/>
    <n v="2.0005790000000001"/>
    <m/>
    <m/>
    <m/>
    <m/>
    <m/>
    <n v="226.13140538193693"/>
    <x v="0"/>
    <x v="5"/>
    <x v="0"/>
    <n v="177"/>
    <n v="130"/>
    <n v="0.7344632768361582"/>
    <n v="0.7344632768361582"/>
    <n v="1"/>
  </r>
  <r>
    <n v="1279124490"/>
    <s v="47.868.101/0001-42"/>
    <s v="PIMPÃO - Fará a devolução em 09/02."/>
    <x v="0"/>
    <s v="Pipebot"/>
    <x v="1105"/>
    <m/>
    <m/>
    <d v="2026-01-22T22:05:35"/>
    <d v="2026-01-23T22:06:29"/>
    <n v="1.000613"/>
    <d v="2026-01-27T22:06:43"/>
    <d v="2026-02-12T20:21:28"/>
    <n v="15.926898"/>
    <m/>
    <m/>
    <m/>
    <d v="2026-01-23T22:06:29"/>
    <d v="2026-01-25T22:06:34"/>
    <n v="2.0000580000000001"/>
    <d v="2026-01-25T22:06:34"/>
    <d v="2026-01-27T22:06:43"/>
    <n v="2.0001039999999999"/>
    <m/>
    <m/>
    <m/>
    <m/>
    <m/>
    <n v="49.080005150462966"/>
    <x v="2"/>
    <x v="3"/>
    <x v="1"/>
    <n v="223"/>
    <n v="147"/>
    <n v="0.65919282511210764"/>
    <n v="0.65919282511210764"/>
    <n v="1"/>
  </r>
  <r>
    <n v="1204673336"/>
    <s v="47.868.101/0001-42"/>
    <s v="Pimpão Mini Mercato"/>
    <x v="0"/>
    <s v="Pipebot"/>
    <x v="1106"/>
    <m/>
    <m/>
    <m/>
    <m/>
    <m/>
    <m/>
    <m/>
    <m/>
    <m/>
    <m/>
    <m/>
    <m/>
    <m/>
    <m/>
    <m/>
    <m/>
    <m/>
    <m/>
    <m/>
    <m/>
    <m/>
    <m/>
    <n v="181.22426206018281"/>
    <x v="0"/>
    <x v="2"/>
    <x v="0"/>
    <n v="146"/>
    <n v="112"/>
    <n v="0.76712328767123283"/>
    <n v="0.76712328767123283"/>
    <n v="1"/>
  </r>
  <r>
    <n v="1234442942"/>
    <s v="47.868.101/0001-42"/>
    <s v="Pimpão Mini Mercato"/>
    <x v="0"/>
    <s v="Pipebot"/>
    <x v="1107"/>
    <m/>
    <m/>
    <d v="2025-10-27T19:06:20"/>
    <d v="2025-10-28T19:06:55"/>
    <n v="1.000405"/>
    <m/>
    <m/>
    <m/>
    <m/>
    <m/>
    <m/>
    <d v="2025-10-28T19:06:55"/>
    <d v="2025-10-28T19:59:54"/>
    <n v="3.6782000000000002E-2"/>
    <m/>
    <m/>
    <m/>
    <m/>
    <m/>
    <m/>
    <m/>
    <m/>
    <n v="136.20416005786683"/>
    <x v="0"/>
    <x v="6"/>
    <x v="0"/>
    <n v="195"/>
    <n v="132"/>
    <n v="0.67692307692307696"/>
    <n v="0.67692307692307696"/>
    <n v="1"/>
  </r>
  <r>
    <n v="1201527385"/>
    <s v="47.868.101/0001-42"/>
    <s v="Pimpão Mini Mercato"/>
    <x v="0"/>
    <s v="Pipebot"/>
    <x v="1108"/>
    <m/>
    <m/>
    <m/>
    <m/>
    <m/>
    <d v="2025-09-11T20:39:35"/>
    <d v="2025-09-11T20:39:46"/>
    <n v="1.16E-4"/>
    <m/>
    <m/>
    <m/>
    <m/>
    <m/>
    <m/>
    <m/>
    <m/>
    <m/>
    <m/>
    <m/>
    <m/>
    <m/>
    <m/>
    <n v="185.35756040509295"/>
    <x v="0"/>
    <x v="2"/>
    <x v="0"/>
    <n v="146"/>
    <n v="112"/>
    <n v="0.76712328767123283"/>
    <n v="0.76712328767123283"/>
    <n v="1"/>
  </r>
  <r>
    <n v="1276526880"/>
    <s v="47.868.101/0001-42"/>
    <s v="PIMPÃO MINI MERCATO "/>
    <x v="0"/>
    <s v="Pipebot"/>
    <x v="1109"/>
    <m/>
    <m/>
    <d v="2026-01-19T19:07:19"/>
    <d v="2026-01-20T19:07:50"/>
    <n v="1.000359"/>
    <d v="2026-01-24T19:08:51"/>
    <d v="2026-02-12T19:43:32"/>
    <n v="19.024073999999999"/>
    <m/>
    <m/>
    <m/>
    <d v="2026-01-20T19:07:50"/>
    <d v="2026-01-22T19:08:35"/>
    <n v="2.000521"/>
    <d v="2026-01-22T19:08:35"/>
    <d v="2026-01-24T19:08:51"/>
    <n v="2.0001739999999999"/>
    <m/>
    <m/>
    <m/>
    <m/>
    <m/>
    <n v="52.204200428241165"/>
    <x v="2"/>
    <x v="3"/>
    <x v="1"/>
    <n v="223"/>
    <n v="147"/>
    <n v="0.65919282511210764"/>
    <n v="0.65919282511210764"/>
    <n v="1"/>
  </r>
  <r>
    <n v="1193297567"/>
    <s v="47.868.101/0001-42"/>
    <s v="Pimpão Mini Mercato "/>
    <x v="0"/>
    <s v="Pipebot"/>
    <x v="1110"/>
    <m/>
    <m/>
    <m/>
    <m/>
    <m/>
    <m/>
    <m/>
    <m/>
    <m/>
    <m/>
    <m/>
    <m/>
    <m/>
    <m/>
    <m/>
    <m/>
    <m/>
    <m/>
    <m/>
    <m/>
    <m/>
    <m/>
    <n v="199.14943034722819"/>
    <x v="0"/>
    <x v="2"/>
    <x v="0"/>
    <n v="146"/>
    <n v="112"/>
    <n v="0.76712328767123283"/>
    <n v="0.76712328767123283"/>
    <n v="1"/>
  </r>
  <r>
    <n v="1275237799"/>
    <s v="33.744.666/0001-03"/>
    <s v="Priscila do Couto Santos "/>
    <x v="0"/>
    <s v="Pipebot"/>
    <x v="1111"/>
    <m/>
    <m/>
    <d v="2026-01-14T15:07:47"/>
    <d v="2026-01-15T15:08:15"/>
    <n v="1.000324"/>
    <d v="2026-01-19T15:09:53"/>
    <d v="2026-01-26T16:01:10"/>
    <n v="7.0356129999999997"/>
    <m/>
    <m/>
    <m/>
    <d v="2026-01-15T15:08:15"/>
    <d v="2026-01-17T15:09:08"/>
    <n v="2.0006020000000002"/>
    <d v="2026-01-17T15:09:08"/>
    <d v="2026-01-19T15:09:53"/>
    <n v="2.0005090000000001"/>
    <m/>
    <m/>
    <m/>
    <m/>
    <m/>
    <n v="57.370334016202833"/>
    <x v="2"/>
    <x v="7"/>
    <x v="0"/>
    <n v="207"/>
    <n v="140"/>
    <n v="0.67632850241545894"/>
    <n v="0.67632850241545894"/>
    <n v="1"/>
  </r>
  <r>
    <n v="1304611824"/>
    <s v="47.868.101/0001-42"/>
    <s v="PIMPÃO MINI MERCATO "/>
    <x v="7"/>
    <s v="Pipebot"/>
    <x v="1112"/>
    <m/>
    <m/>
    <m/>
    <m/>
    <m/>
    <m/>
    <m/>
    <m/>
    <m/>
    <m/>
    <m/>
    <m/>
    <m/>
    <m/>
    <m/>
    <m/>
    <m/>
    <m/>
    <m/>
    <m/>
    <m/>
    <m/>
    <n v="0.37146670137735782"/>
    <x v="4"/>
    <x v="1"/>
    <x v="1"/>
    <n v="189"/>
    <n v="33"/>
    <n v="0.17460317460317459"/>
    <n v="0.17460317460317459"/>
    <n v="1"/>
  </r>
  <r>
    <n v="1282984151"/>
    <s v="47.868.101/0001-42"/>
    <s v="PIMPÃO MINI MERCATO (máquina) - acionado sofia 05/02. (COMENTÁRIOS)"/>
    <x v="0"/>
    <s v="Pipebot"/>
    <x v="1113"/>
    <m/>
    <m/>
    <d v="2026-01-30T19:09:11"/>
    <d v="2026-01-31T19:09:56"/>
    <n v="1.0005090000000001"/>
    <d v="2026-02-04T19:11:46"/>
    <d v="2026-02-12T20:25:03"/>
    <n v="8.050891"/>
    <m/>
    <m/>
    <m/>
    <d v="2026-01-31T19:09:56"/>
    <d v="2026-02-02T19:10:41"/>
    <n v="2.000521"/>
    <d v="2026-02-02T19:10:41"/>
    <d v="2026-02-04T19:11:46"/>
    <n v="2.0007410000000001"/>
    <m/>
    <m/>
    <m/>
    <m/>
    <m/>
    <n v="41.20285225695261"/>
    <x v="2"/>
    <x v="3"/>
    <x v="1"/>
    <n v="223"/>
    <n v="147"/>
    <n v="0.65919282511210764"/>
    <n v="0.65919282511210764"/>
    <n v="1"/>
  </r>
  <r>
    <n v="1250383604"/>
    <s v="47.868.101/0001-42"/>
    <s v="PIMPÃO MINI MERCATO - 1 máquina - devolvido AN158006870BR"/>
    <x v="2"/>
    <s v="Pipebot"/>
    <x v="1114"/>
    <m/>
    <m/>
    <d v="2025-11-19T19:05:24"/>
    <d v="2026-02-16T12:51:24"/>
    <n v="3.8674770000000001"/>
    <d v="2025-11-24T19:06:50"/>
    <d v="2026-02-13T16:02:21"/>
    <n v="66.059340000000006"/>
    <d v="2026-01-07T12:23:38"/>
    <d v="2026-01-07T12:23:45"/>
    <n v="7.1609489999999996"/>
    <d v="2025-11-20T19:05:31"/>
    <d v="2026-02-18T13:21:20"/>
    <n v="4.02088"/>
    <d v="2025-11-22T19:05:40"/>
    <d v="2026-02-19T17:30:08"/>
    <n v="3.1735880000000001"/>
    <m/>
    <m/>
    <m/>
    <m/>
    <m/>
    <n v="113.20514377314976"/>
    <x v="0"/>
    <x v="0"/>
    <x v="0"/>
    <n v="131"/>
    <n v="87"/>
    <n v="0.66412213740458015"/>
    <n v="0.66412213740458015"/>
    <n v="1"/>
  </r>
  <r>
    <n v="1262029476"/>
    <s v="51.097.831/0001-64"/>
    <s v="Priscila Inoue Gonçalves Xavier"/>
    <x v="0"/>
    <s v="Pipebot"/>
    <x v="1115"/>
    <m/>
    <m/>
    <d v="2025-12-15T19:07:46"/>
    <d v="2025-12-16T19:07:50"/>
    <n v="1.000046"/>
    <m/>
    <m/>
    <m/>
    <m/>
    <m/>
    <m/>
    <d v="2025-12-16T19:07:50"/>
    <d v="2025-12-18T19:08:50"/>
    <n v="2.0006940000000002"/>
    <d v="2025-12-18T19:08:51"/>
    <d v="2025-12-19T13:10:24"/>
    <n v="0.75107599999999997"/>
    <m/>
    <m/>
    <m/>
    <m/>
    <m/>
    <n v="87.203449409716995"/>
    <x v="0"/>
    <x v="7"/>
    <x v="0"/>
    <n v="207"/>
    <n v="140"/>
    <n v="0.67632850241545894"/>
    <n v="0.67632850241545894"/>
    <n v="1"/>
  </r>
  <r>
    <n v="1299908183"/>
    <s v="44.242.826/0001-32"/>
    <s v="POLLYANA FERNANDES"/>
    <x v="7"/>
    <s v="Pipebot"/>
    <x v="1116"/>
    <m/>
    <m/>
    <m/>
    <m/>
    <m/>
    <m/>
    <m/>
    <m/>
    <m/>
    <m/>
    <m/>
    <m/>
    <m/>
    <m/>
    <m/>
    <m/>
    <m/>
    <m/>
    <m/>
    <m/>
    <m/>
    <m/>
    <n v="7.0803193171304883"/>
    <x v="4"/>
    <x v="1"/>
    <x v="1"/>
    <n v="189"/>
    <n v="33"/>
    <n v="0.17460317460317459"/>
    <n v="0.17460317460317459"/>
    <n v="1"/>
  </r>
  <r>
    <n v="1232429617"/>
    <s v="40.013.281/0001-31"/>
    <s v="Prado Comércio de Produtos Alimentícios Ltda"/>
    <x v="5"/>
    <s v="Pipebot"/>
    <x v="1117"/>
    <m/>
    <m/>
    <d v="2025-10-24T20:24:28"/>
    <d v="2026-02-13T16:00:57"/>
    <n v="2.1467939999999999"/>
    <d v="2025-10-29T20:26:10"/>
    <d v="2026-02-12T12:29:55"/>
    <n v="105.66927099999999"/>
    <m/>
    <m/>
    <m/>
    <d v="2025-10-25T20:24:50"/>
    <d v="2026-02-16T12:49:16"/>
    <n v="4.8673380000000002"/>
    <d v="2025-10-27T20:25:29"/>
    <d v="2025-10-29T20:26:10"/>
    <n v="12.356377"/>
    <m/>
    <m/>
    <m/>
    <m/>
    <m/>
    <n v="139.15019568287244"/>
    <x v="0"/>
    <x v="6"/>
    <x v="0"/>
    <n v="195"/>
    <n v="132"/>
    <n v="0.67692307692307696"/>
    <n v="0.67692307692307696"/>
    <n v="1"/>
  </r>
  <r>
    <n v="1269993093"/>
    <s v="53.941.751/0001-79"/>
    <s v="Rapchef Rio Preto Ltda"/>
    <x v="0"/>
    <s v="Pipebot"/>
    <x v="1118"/>
    <d v="2026-02-10T14:00:06"/>
    <d v="2026-02-10T14:00:19"/>
    <d v="2026-01-01T15:10:49"/>
    <d v="2026-02-20T16:51:15"/>
    <n v="1.9496180000000001"/>
    <d v="2026-01-06T15:12:00"/>
    <d v="2026-01-15T12:36:24"/>
    <n v="8.8919440000000005"/>
    <m/>
    <m/>
    <m/>
    <d v="2026-01-02T15:10:53"/>
    <d v="2026-02-23T13:32:47"/>
    <n v="4.8628939999999998"/>
    <d v="2026-01-04T15:11:55"/>
    <d v="2026-02-24T18:50:12"/>
    <n v="3.2204510000000002"/>
    <m/>
    <m/>
    <m/>
    <m/>
    <m/>
    <n v="70.368081145832548"/>
    <x v="0"/>
    <x v="7"/>
    <x v="0"/>
    <n v="207"/>
    <n v="140"/>
    <n v="0.67632850241545894"/>
    <n v="0.67632850241545894"/>
    <n v="1"/>
  </r>
  <r>
    <n v="1226768974"/>
    <s v="33.744.666/0001-03"/>
    <s v="Priscila do Couto Santos"/>
    <x v="0"/>
    <s v="Pipebot"/>
    <x v="1119"/>
    <m/>
    <m/>
    <d v="2025-10-17T15:24:33"/>
    <d v="2025-10-18T15:25:12"/>
    <n v="1.00044"/>
    <d v="2025-10-22T15:25:50"/>
    <d v="2025-10-27T18:07:54"/>
    <n v="5.1125350000000003"/>
    <m/>
    <m/>
    <m/>
    <d v="2025-10-18T15:25:12"/>
    <d v="2025-10-20T15:25:41"/>
    <n v="2.0003359999999999"/>
    <d v="2025-10-20T15:25:42"/>
    <d v="2025-10-22T15:25:50"/>
    <n v="2.0000930000000001"/>
    <m/>
    <m/>
    <m/>
    <m/>
    <m/>
    <n v="146.35810790509277"/>
    <x v="0"/>
    <x v="6"/>
    <x v="0"/>
    <n v="195"/>
    <n v="132"/>
    <n v="0.67692307692307696"/>
    <n v="0.67692307692307696"/>
    <n v="1"/>
  </r>
  <r>
    <n v="1215956291"/>
    <s v="33.744.666/0001-03"/>
    <s v="Priscila do Couto Santos"/>
    <x v="0"/>
    <s v="Pipebot"/>
    <x v="1120"/>
    <m/>
    <m/>
    <m/>
    <m/>
    <m/>
    <m/>
    <m/>
    <m/>
    <m/>
    <m/>
    <m/>
    <m/>
    <m/>
    <m/>
    <m/>
    <m/>
    <m/>
    <m/>
    <m/>
    <m/>
    <m/>
    <m/>
    <n v="162.35673593750107"/>
    <x v="0"/>
    <x v="4"/>
    <x v="0"/>
    <n v="197"/>
    <n v="149"/>
    <n v="0.75634517766497467"/>
    <n v="0.75634517766497467"/>
    <n v="1"/>
  </r>
  <r>
    <n v="1247453904"/>
    <s v="33.744.666/0001-03"/>
    <s v="Priscila do Couto Santos "/>
    <x v="0"/>
    <s v="Pipebot"/>
    <x v="1121"/>
    <m/>
    <m/>
    <d v="2025-11-13T15:05:58"/>
    <d v="2025-11-14T15:06:09"/>
    <n v="1.000127"/>
    <d v="2025-11-18T15:06:37"/>
    <d v="2025-12-20T12:19:35"/>
    <n v="31.883993"/>
    <m/>
    <m/>
    <m/>
    <d v="2025-11-14T15:06:09"/>
    <d v="2025-11-16T15:06:18"/>
    <n v="2.0000930000000001"/>
    <d v="2025-11-16T15:06:18"/>
    <d v="2025-11-18T15:06:37"/>
    <n v="2.0002200000000001"/>
    <m/>
    <m/>
    <m/>
    <m/>
    <m/>
    <n v="119.37112244212767"/>
    <x v="0"/>
    <x v="6"/>
    <x v="0"/>
    <n v="195"/>
    <n v="132"/>
    <n v="0.67692307692307696"/>
    <n v="0.67692307692307696"/>
    <n v="1"/>
  </r>
  <r>
    <n v="1271371412"/>
    <s v="53.941.751/0001-79"/>
    <s v="Rapchef Rio Preto Ltda"/>
    <x v="0"/>
    <s v="Pipebot"/>
    <x v="1122"/>
    <m/>
    <m/>
    <d v="2026-01-05T15:12:13"/>
    <d v="2026-01-06T15:12:59"/>
    <n v="1.000532"/>
    <d v="2026-01-10T15:13:13"/>
    <d v="2026-01-15T12:38:24"/>
    <n v="4.8924880000000002"/>
    <m/>
    <m/>
    <m/>
    <d v="2026-01-06T15:12:59"/>
    <d v="2026-01-08T15:13:04"/>
    <n v="2.0000580000000001"/>
    <d v="2026-01-08T15:13:05"/>
    <d v="2026-01-10T15:13:13"/>
    <n v="2.0000930000000001"/>
    <m/>
    <m/>
    <m/>
    <m/>
    <m/>
    <n v="66.367248599526647"/>
    <x v="0"/>
    <x v="7"/>
    <x v="0"/>
    <n v="207"/>
    <n v="140"/>
    <n v="0.67632850241545894"/>
    <n v="0.67632850241545894"/>
    <n v="1"/>
  </r>
  <r>
    <n v="1284620059"/>
    <s v="33.744.666/0001-03"/>
    <s v="Priscila do Couto Santos "/>
    <x v="0"/>
    <s v="Pipebot"/>
    <x v="1123"/>
    <m/>
    <m/>
    <d v="2026-02-03T19:04:48"/>
    <d v="2026-02-04T19:05:36"/>
    <n v="1.0005440000000001"/>
    <m/>
    <m/>
    <m/>
    <m/>
    <m/>
    <m/>
    <d v="2026-02-04T19:05:36"/>
    <d v="2026-02-06T18:46:35"/>
    <n v="1.9867939999999999"/>
    <m/>
    <m/>
    <m/>
    <m/>
    <m/>
    <m/>
    <m/>
    <m/>
    <n v="37.205129675930948"/>
    <x v="2"/>
    <x v="3"/>
    <x v="1"/>
    <n v="223"/>
    <n v="147"/>
    <n v="0.65919282511210764"/>
    <n v="0.65919282511210764"/>
    <n v="1"/>
  </r>
  <r>
    <n v="1208156231"/>
    <s v="33.744.666/0001-03"/>
    <s v="Priscila do Couto Santos "/>
    <x v="0"/>
    <s v="Pipebot"/>
    <x v="1124"/>
    <m/>
    <m/>
    <d v="2025-09-18T15:27:13"/>
    <d v="2025-09-19T15:27:42"/>
    <n v="1.0003359999999999"/>
    <d v="2025-09-23T15:28:00"/>
    <d v="2025-09-30T16:53:00"/>
    <n v="7.0590279999999996"/>
    <d v="2025-09-30T16:53:00"/>
    <d v="2025-09-30T16:53:07"/>
    <n v="6.8999999999999997E-5"/>
    <d v="2025-09-19T15:27:42"/>
    <d v="2025-09-21T15:27:53"/>
    <n v="2.0001159999999998"/>
    <d v="2025-09-21T15:27:53"/>
    <d v="2025-09-23T15:28:00"/>
    <n v="2.0000810000000002"/>
    <m/>
    <m/>
    <m/>
    <m/>
    <m/>
    <n v="175.35669666666945"/>
    <x v="0"/>
    <x v="4"/>
    <x v="0"/>
    <n v="197"/>
    <n v="149"/>
    <n v="0.75634517766497467"/>
    <n v="0.75634517766497467"/>
    <n v="1"/>
  </r>
  <r>
    <n v="1267728255"/>
    <s v="50.978.435/0001-83"/>
    <s v="Regilene Barreto "/>
    <x v="5"/>
    <s v="Pipebot"/>
    <x v="1125"/>
    <m/>
    <m/>
    <d v="2025-12-26T19:09:03"/>
    <d v="2026-02-18T13:25:33"/>
    <n v="3.0227080000000002"/>
    <d v="2025-12-31T19:11:29"/>
    <d v="2026-02-16T12:53:37"/>
    <n v="46.737580999999999"/>
    <m/>
    <m/>
    <m/>
    <d v="2025-12-27T19:09:50"/>
    <d v="2026-02-19T12:28:12"/>
    <n v="2.9605320000000002"/>
    <d v="2025-12-29T19:10:21"/>
    <d v="2025-12-31T19:11:29"/>
    <n v="9.3713189999999997"/>
    <m/>
    <m/>
    <m/>
    <m/>
    <m/>
    <n v="76.202118634260842"/>
    <x v="0"/>
    <x v="7"/>
    <x v="0"/>
    <n v="207"/>
    <n v="140"/>
    <n v="0.67632850241545894"/>
    <n v="0.67632850241545894"/>
    <n v="1"/>
  </r>
  <r>
    <n v="1180443048"/>
    <s v="52.266.729/0001-08"/>
    <s v="Priscila lopes da Silva "/>
    <x v="0"/>
    <s v="Pipebot"/>
    <x v="1126"/>
    <m/>
    <m/>
    <m/>
    <m/>
    <m/>
    <m/>
    <m/>
    <m/>
    <m/>
    <m/>
    <m/>
    <m/>
    <m/>
    <m/>
    <m/>
    <m/>
    <m/>
    <m/>
    <m/>
    <m/>
    <m/>
    <m/>
    <n v="220.1483141319477"/>
    <x v="0"/>
    <x v="5"/>
    <x v="0"/>
    <n v="177"/>
    <n v="130"/>
    <n v="0.7344632768361582"/>
    <n v="0.7344632768361582"/>
    <n v="1"/>
  </r>
  <r>
    <n v="1208156114"/>
    <s v="61.226.794/0001-09"/>
    <s v="PRISCILA MORAES MENEZES"/>
    <x v="5"/>
    <s v="Pipebot"/>
    <x v="1127"/>
    <m/>
    <m/>
    <d v="2025-09-18T15:26:14"/>
    <d v="2026-02-16T12:51:09"/>
    <n v="3.8727309999999999"/>
    <d v="2025-09-23T15:26:57"/>
    <d v="2026-02-13T16:02:04"/>
    <n v="143.01940999999999"/>
    <m/>
    <m/>
    <m/>
    <d v="2025-09-19T15:26:45"/>
    <d v="2026-02-18T13:20:56"/>
    <n v="4.0207750000000004"/>
    <d v="2025-09-21T15:26:54"/>
    <d v="2025-09-23T15:26:57"/>
    <n v="10.333958000000001"/>
    <m/>
    <m/>
    <m/>
    <m/>
    <m/>
    <n v="175.35685300925979"/>
    <x v="0"/>
    <x v="4"/>
    <x v="0"/>
    <n v="197"/>
    <n v="149"/>
    <n v="0.75634517766497467"/>
    <n v="0.75634517766497467"/>
    <n v="1"/>
  </r>
  <r>
    <n v="1257102167"/>
    <s v="59.454.954/0001-17"/>
    <s v="R Solaris Mercato Ltda"/>
    <x v="0"/>
    <s v="Pipebot"/>
    <x v="1128"/>
    <m/>
    <m/>
    <d v="2025-12-03T19:06:09"/>
    <d v="2025-12-04T19:06:19"/>
    <n v="1.000116"/>
    <d v="2025-12-08T19:07:23"/>
    <d v="2026-02-11T12:40:30"/>
    <n v="64.731330999999997"/>
    <m/>
    <m/>
    <m/>
    <d v="2025-12-04T19:06:19"/>
    <d v="2025-12-06T19:06:29"/>
    <n v="2.0001159999999998"/>
    <d v="2025-12-06T19:06:29"/>
    <d v="2025-12-08T19:07:22"/>
    <n v="2.000613"/>
    <m/>
    <m/>
    <m/>
    <m/>
    <m/>
    <n v="99.204740821762243"/>
    <x v="0"/>
    <x v="0"/>
    <x v="0"/>
    <n v="131"/>
    <n v="87"/>
    <n v="0.66412213740458015"/>
    <n v="0.66412213740458015"/>
    <n v="1"/>
  </r>
  <r>
    <n v="1293338361"/>
    <s v="47.010.135/0001-00"/>
    <s v="RA Mini Market ltda"/>
    <x v="5"/>
    <s v="Pipebot"/>
    <x v="1129"/>
    <m/>
    <m/>
    <d v="2026-02-18T19:07:03"/>
    <d v="2026-02-19T12:36:05"/>
    <n v="0.728495"/>
    <m/>
    <m/>
    <m/>
    <m/>
    <m/>
    <m/>
    <d v="2026-02-19T12:36:05"/>
    <d v="2026-02-20T16:50:21"/>
    <n v="1.176563"/>
    <d v="2026-02-20T16:50:21"/>
    <m/>
    <n v="6.1884839999999999"/>
    <m/>
    <m/>
    <m/>
    <m/>
    <m/>
    <n v="22.204274374998931"/>
    <x v="3"/>
    <x v="1"/>
    <x v="1"/>
    <n v="189"/>
    <n v="33"/>
    <n v="0.17460317460317459"/>
    <n v="0.17460317460317459"/>
    <n v="1"/>
  </r>
  <r>
    <n v="1210539528"/>
    <s v="54.930.074/0001-56"/>
    <s v="Rafael Aparecido de Araújo"/>
    <x v="0"/>
    <s v="Pipebot"/>
    <x v="1130"/>
    <m/>
    <m/>
    <d v="2025-09-22T20:25:50"/>
    <d v="2025-09-23T20:26:10"/>
    <n v="1.0002200000000001"/>
    <d v="2025-09-27T20:26:49"/>
    <d v="2025-09-30T22:04:51"/>
    <n v="3.0680670000000001"/>
    <d v="2025-09-30T22:04:51"/>
    <d v="2025-09-30T22:05:01"/>
    <n v="1.0399999999999999E-4"/>
    <d v="2025-09-23T20:26:10"/>
    <d v="2025-09-25T20:26:29"/>
    <n v="2.0002200000000001"/>
    <d v="2025-09-25T20:26:29"/>
    <d v="2025-09-27T20:26:49"/>
    <n v="2.0002309999999999"/>
    <m/>
    <m/>
    <m/>
    <m/>
    <m/>
    <n v="171.14878900462645"/>
    <x v="0"/>
    <x v="4"/>
    <x v="0"/>
    <n v="197"/>
    <n v="149"/>
    <n v="0.75634517766497467"/>
    <n v="0.75634517766497467"/>
    <n v="1"/>
  </r>
  <r>
    <n v="1206100265"/>
    <s v="54.930.074/0001-56"/>
    <s v="Rafael Aparecido de Araújo"/>
    <x v="0"/>
    <s v="Pipebot"/>
    <x v="1131"/>
    <m/>
    <m/>
    <d v="2025-09-15T20:26:32"/>
    <d v="2025-09-16T20:26:49"/>
    <n v="1.000197"/>
    <d v="2025-09-20T20:27:53"/>
    <d v="2025-09-30T22:06:46"/>
    <n v="10.068657"/>
    <d v="2025-09-30T22:06:46"/>
    <d v="2025-09-30T22:06:58"/>
    <n v="1.3899999999999999E-4"/>
    <d v="2025-09-16T20:26:49"/>
    <d v="2025-09-18T20:27:43"/>
    <n v="2.000613"/>
    <d v="2025-09-18T20:27:43"/>
    <d v="2025-09-20T20:27:52"/>
    <n v="2.0001039999999999"/>
    <m/>
    <m/>
    <m/>
    <m/>
    <m/>
    <n v="178.14916454860941"/>
    <x v="0"/>
    <x v="4"/>
    <x v="0"/>
    <n v="197"/>
    <n v="149"/>
    <n v="0.75634517766497467"/>
    <n v="0.75634517766497467"/>
    <n v="1"/>
  </r>
  <r>
    <n v="1182801896"/>
    <s v="48.505.709/0001-75"/>
    <s v="Rafael Aparecido de Oliveira "/>
    <x v="5"/>
    <s v="Pipebot"/>
    <x v="1132"/>
    <m/>
    <m/>
    <d v="2025-08-07T20:28:10"/>
    <d v="2026-02-12T12:25:35"/>
    <n v="1.646725"/>
    <d v="2025-08-12T20:31:21"/>
    <d v="2026-02-11T20:56:07"/>
    <n v="183.01719900000001"/>
    <m/>
    <m/>
    <m/>
    <d v="2025-08-08T20:30:00"/>
    <d v="2026-02-13T15:59:29"/>
    <n v="3.1487959999999999"/>
    <d v="2025-08-10T20:30:23"/>
    <d v="2025-08-12T20:31:21"/>
    <n v="15.224479000000001"/>
    <m/>
    <m/>
    <m/>
    <m/>
    <m/>
    <n v="217.14737520833296"/>
    <x v="0"/>
    <x v="5"/>
    <x v="0"/>
    <n v="177"/>
    <n v="130"/>
    <n v="0.7344632768361582"/>
    <n v="0.7344632768361582"/>
    <n v="1"/>
  </r>
  <r>
    <n v="1285964606"/>
    <s v="49.375.138/0001-64"/>
    <s v="Rafael Cassiano "/>
    <x v="5"/>
    <s v="Pipebot"/>
    <x v="1133"/>
    <m/>
    <m/>
    <d v="2026-02-05T19:07:16"/>
    <d v="2026-02-20T16:52:25"/>
    <n v="2.1738770000000001"/>
    <d v="2026-02-10T13:05:45"/>
    <d v="2026-02-19T12:42:13"/>
    <n v="8.9836460000000002"/>
    <m/>
    <m/>
    <m/>
    <d v="2026-02-06T19:07:27"/>
    <d v="2026-02-23T13:32:47"/>
    <n v="4.8617819999999998"/>
    <d v="2026-02-08T19:08:03"/>
    <d v="2026-02-10T13:05:45"/>
    <n v="5.0740740000000004"/>
    <m/>
    <m/>
    <m/>
    <m/>
    <m/>
    <n v="35.20373322917294"/>
    <x v="2"/>
    <x v="3"/>
    <x v="1"/>
    <n v="223"/>
    <n v="147"/>
    <n v="0.65919282511210764"/>
    <n v="0.65919282511210764"/>
    <n v="1"/>
  </r>
  <r>
    <n v="1231462995"/>
    <s v="51.902.273/0001-62"/>
    <s v="Rafael de Souza Martins"/>
    <x v="0"/>
    <s v="Pipebot"/>
    <x v="1134"/>
    <m/>
    <m/>
    <m/>
    <m/>
    <m/>
    <m/>
    <m/>
    <m/>
    <m/>
    <m/>
    <m/>
    <m/>
    <m/>
    <m/>
    <m/>
    <m/>
    <m/>
    <m/>
    <m/>
    <m/>
    <m/>
    <m/>
    <n v="140.14756739582663"/>
    <x v="0"/>
    <x v="6"/>
    <x v="0"/>
    <n v="195"/>
    <n v="132"/>
    <n v="0.67692307692307696"/>
    <n v="0.67692307692307696"/>
    <n v="1"/>
  </r>
  <r>
    <n v="1273326990"/>
    <s v="50.978.435/0001-83"/>
    <s v="Regilene Barreto - nf remessa feita"/>
    <x v="5"/>
    <s v="Pipebot"/>
    <x v="1135"/>
    <m/>
    <m/>
    <d v="2026-01-09T19:07:51"/>
    <d v="2026-02-19T12:35:53"/>
    <n v="1.964329"/>
    <d v="2026-01-14T19:10:05"/>
    <d v="2026-02-18T13:27:36"/>
    <n v="34.762152999999998"/>
    <m/>
    <m/>
    <m/>
    <d v="2026-01-10T19:08:13"/>
    <d v="2026-02-20T13:03:01"/>
    <n v="3.019282"/>
    <d v="2026-01-12T19:08:51"/>
    <d v="2026-01-14T19:10:05"/>
    <n v="8.3472109999999997"/>
    <m/>
    <m/>
    <m/>
    <m/>
    <m/>
    <n v="62.203160092598409"/>
    <x v="0"/>
    <x v="7"/>
    <x v="0"/>
    <n v="207"/>
    <n v="140"/>
    <n v="0.67632850241545894"/>
    <n v="0.67632850241545894"/>
    <n v="1"/>
  </r>
  <r>
    <n v="1223940515"/>
    <s v="62.605.577/0001-84"/>
    <s v="Rafael Lobo Ferreira Bouças"/>
    <x v="0"/>
    <s v="Pipebot"/>
    <x v="1136"/>
    <m/>
    <m/>
    <d v="2025-10-13T20:25:24"/>
    <d v="2025-10-14T20:26:18"/>
    <n v="1.0006250000000001"/>
    <d v="2025-10-18T20:27:53"/>
    <d v="2025-10-31T19:48:02"/>
    <n v="12.972315"/>
    <d v="2025-10-31T19:48:02"/>
    <d v="2025-10-31T19:53:18"/>
    <n v="3.6570000000000001E-3"/>
    <d v="2025-10-14T20:26:18"/>
    <d v="2025-10-16T20:26:55"/>
    <n v="2.0004170000000001"/>
    <d v="2025-10-16T20:26:55"/>
    <d v="2025-10-18T20:27:53"/>
    <n v="2.0006710000000001"/>
    <m/>
    <m/>
    <m/>
    <m/>
    <m/>
    <n v="150.1493166203727"/>
    <x v="0"/>
    <x v="4"/>
    <x v="0"/>
    <n v="197"/>
    <n v="149"/>
    <n v="0.75634517766497467"/>
    <n v="0.75634517766497467"/>
    <n v="1"/>
  </r>
  <r>
    <n v="1302803532"/>
    <s v="62.283.678/0001-86"/>
    <s v="Rafael Ritez Rivaben "/>
    <x v="7"/>
    <s v="Pipebot"/>
    <x v="1137"/>
    <m/>
    <m/>
    <m/>
    <m/>
    <m/>
    <m/>
    <m/>
    <m/>
    <m/>
    <m/>
    <m/>
    <m/>
    <m/>
    <m/>
    <m/>
    <m/>
    <m/>
    <m/>
    <m/>
    <m/>
    <m/>
    <m/>
    <n v="2.3704822685176623"/>
    <x v="4"/>
    <x v="1"/>
    <x v="1"/>
    <n v="189"/>
    <n v="33"/>
    <n v="0.17460317460317459"/>
    <n v="0.17460317460317459"/>
    <n v="1"/>
  </r>
  <r>
    <n v="1175984038"/>
    <s v="46.257.484/0001-50"/>
    <s v="Ramon Barros"/>
    <x v="0"/>
    <s v="Pipebot"/>
    <x v="1138"/>
    <m/>
    <m/>
    <d v="2025-07-28T15:24:55"/>
    <d v="2025-07-29T15:24:58"/>
    <n v="1.000035"/>
    <d v="2025-08-02T15:25:41"/>
    <d v="2025-08-08T20:50:29"/>
    <n v="6.2255440000000002"/>
    <d v="2025-08-08T20:50:29"/>
    <d v="2025-08-08T20:50:37"/>
    <n v="8.1000000000000004E-5"/>
    <d v="2025-07-29T15:24:58"/>
    <d v="2025-07-31T15:25:16"/>
    <n v="2.000197"/>
    <d v="2025-07-31T15:25:16"/>
    <d v="2025-08-02T15:25:41"/>
    <n v="2.000289"/>
    <m/>
    <m/>
    <m/>
    <m/>
    <m/>
    <n v="227.358092847222"/>
    <x v="0"/>
    <x v="5"/>
    <x v="0"/>
    <n v="177"/>
    <n v="130"/>
    <n v="0.7344632768361582"/>
    <n v="0.7344632768361582"/>
    <n v="1"/>
  </r>
  <r>
    <n v="1296845881"/>
    <s v="54.561.283/0001-70"/>
    <s v="Ramon Rovaris"/>
    <x v="6"/>
    <s v="Pipebot"/>
    <x v="1139"/>
    <m/>
    <m/>
    <d v="2026-02-26T14:25:15"/>
    <m/>
    <n v="0.28925899999999999"/>
    <m/>
    <m/>
    <m/>
    <m/>
    <m/>
    <m/>
    <m/>
    <m/>
    <m/>
    <m/>
    <m/>
    <m/>
    <m/>
    <m/>
    <m/>
    <m/>
    <m/>
    <n v="14.419177754636621"/>
    <x v="1"/>
    <x v="1"/>
    <x v="1"/>
    <n v="189"/>
    <n v="33"/>
    <n v="0.17460317460317459"/>
    <n v="0.17460317460317459"/>
    <n v="1"/>
  </r>
  <r>
    <n v="1298256978"/>
    <s v="54.561.283/0001-70"/>
    <s v="Ramon Rovaris"/>
    <x v="0"/>
    <s v="Pipebot"/>
    <x v="1140"/>
    <m/>
    <m/>
    <m/>
    <m/>
    <m/>
    <m/>
    <m/>
    <m/>
    <m/>
    <m/>
    <m/>
    <d v="2026-02-16T13:42:09"/>
    <d v="2026-02-16T13:42:17"/>
    <n v="9.2999999999999997E-5"/>
    <m/>
    <m/>
    <m/>
    <m/>
    <m/>
    <m/>
    <m/>
    <m/>
    <n v="10.436980520833458"/>
    <x v="4"/>
    <x v="1"/>
    <x v="1"/>
    <n v="189"/>
    <n v="33"/>
    <n v="0.17460317460317459"/>
    <n v="0.17460317460317459"/>
    <n v="1"/>
  </r>
  <r>
    <n v="1298255595"/>
    <s v="54.561.283/0001-70"/>
    <s v="Ramon Rovaris"/>
    <x v="3"/>
    <s v="Pipebot"/>
    <x v="1141"/>
    <m/>
    <m/>
    <m/>
    <m/>
    <m/>
    <m/>
    <m/>
    <m/>
    <m/>
    <m/>
    <m/>
    <m/>
    <m/>
    <m/>
    <m/>
    <m/>
    <m/>
    <m/>
    <m/>
    <m/>
    <m/>
    <m/>
    <n v="10.440725810192816"/>
    <x v="4"/>
    <x v="1"/>
    <x v="1"/>
    <n v="189"/>
    <n v="33"/>
    <n v="0.17460317460317459"/>
    <n v="0.17460317460317459"/>
    <n v="1"/>
  </r>
  <r>
    <n v="1297056819"/>
    <s v="55.923.821/0001-91"/>
    <s v="Ranieri T Silva "/>
    <x v="2"/>
    <s v="Pipebot"/>
    <x v="1142"/>
    <m/>
    <m/>
    <d v="2026-02-26T19:08:38"/>
    <d v="2026-02-26T19:59:09"/>
    <n v="3.5081000000000001E-2"/>
    <m/>
    <m/>
    <m/>
    <d v="2026-02-26T19:59:09"/>
    <m/>
    <n v="5.7373E-2"/>
    <m/>
    <m/>
    <m/>
    <m/>
    <m/>
    <m/>
    <m/>
    <m/>
    <m/>
    <m/>
    <m/>
    <n v="14.202621793992876"/>
    <x v="1"/>
    <x v="1"/>
    <x v="1"/>
    <n v="189"/>
    <n v="33"/>
    <n v="0.17460317460317459"/>
    <n v="0.17460317460317459"/>
    <n v="1"/>
  </r>
  <r>
    <n v="1271535222"/>
    <s v="56.092.744/0001-38"/>
    <s v="Renan Caruso Albachiara"/>
    <x v="0"/>
    <s v="Pipebot"/>
    <x v="1143"/>
    <m/>
    <m/>
    <d v="2026-01-05T19:06:37"/>
    <d v="2026-01-06T19:06:56"/>
    <n v="1.000208"/>
    <d v="2026-01-10T19:08:12"/>
    <d v="2026-01-21T14:44:38"/>
    <n v="10.816967999999999"/>
    <m/>
    <m/>
    <m/>
    <d v="2026-01-06T19:06:56"/>
    <d v="2026-01-08T19:07:22"/>
    <n v="2.000289"/>
    <d v="2026-01-08T19:07:22"/>
    <d v="2026-01-10T19:08:12"/>
    <n v="2.0005790000000001"/>
    <m/>
    <m/>
    <m/>
    <m/>
    <m/>
    <n v="66.203884525457397"/>
    <x v="0"/>
    <x v="7"/>
    <x v="0"/>
    <n v="207"/>
    <n v="140"/>
    <n v="0.67632850241545894"/>
    <n v="0.67632850241545894"/>
    <n v="1"/>
  </r>
  <r>
    <n v="1262362277"/>
    <s v="47.747.623/0001-96"/>
    <s v="Renata Nivea Totolo Contiero"/>
    <x v="0"/>
    <s v="Pipebot"/>
    <x v="1144"/>
    <m/>
    <m/>
    <d v="2025-12-16T13:06:20"/>
    <d v="2026-02-16T15:04:44"/>
    <n v="1.0918749999999999"/>
    <d v="2025-12-21T13:08:18"/>
    <d v="2026-02-16T12:52:59"/>
    <n v="56.989362999999997"/>
    <m/>
    <m/>
    <m/>
    <d v="2025-12-17T13:06:54"/>
    <d v="2025-12-19T13:07:48"/>
    <n v="2.0006249999999999"/>
    <d v="2025-12-19T13:07:48"/>
    <d v="2025-12-21T13:08:18"/>
    <n v="2.0003359999999999"/>
    <m/>
    <m/>
    <m/>
    <m/>
    <m/>
    <n v="86.454385682867724"/>
    <x v="0"/>
    <x v="7"/>
    <x v="0"/>
    <n v="207"/>
    <n v="140"/>
    <n v="0.67632850241545894"/>
    <n v="0.67632850241545894"/>
    <n v="1"/>
  </r>
  <r>
    <n v="1186891937"/>
    <s v="48.706.623/0001-00"/>
    <s v="Raphael Martins Campos"/>
    <x v="0"/>
    <s v="Pipebot"/>
    <x v="1145"/>
    <m/>
    <m/>
    <m/>
    <m/>
    <m/>
    <m/>
    <m/>
    <m/>
    <m/>
    <m/>
    <m/>
    <m/>
    <m/>
    <m/>
    <m/>
    <m/>
    <m/>
    <m/>
    <m/>
    <m/>
    <m/>
    <m/>
    <n v="209.45122806713334"/>
    <x v="0"/>
    <x v="2"/>
    <x v="0"/>
    <n v="146"/>
    <n v="112"/>
    <n v="0.76712328767123283"/>
    <n v="0.76712328767123283"/>
    <n v="1"/>
  </r>
  <r>
    <n v="1221264544"/>
    <s v="24.591.993/0001-81"/>
    <s v="Raquel Pontes"/>
    <x v="0"/>
    <s v="Pipebot"/>
    <x v="1146"/>
    <m/>
    <m/>
    <m/>
    <m/>
    <m/>
    <m/>
    <m/>
    <m/>
    <m/>
    <m/>
    <m/>
    <m/>
    <m/>
    <m/>
    <m/>
    <m/>
    <m/>
    <m/>
    <m/>
    <m/>
    <m/>
    <m/>
    <n v="154.35536630787101"/>
    <x v="0"/>
    <x v="4"/>
    <x v="0"/>
    <n v="197"/>
    <n v="149"/>
    <n v="0.75634517766497467"/>
    <n v="0.75634517766497467"/>
    <n v="1"/>
  </r>
  <r>
    <n v="1248318939"/>
    <s v="46.409.749/0001-98_x000a__x000a_"/>
    <s v="Rascunho"/>
    <x v="0"/>
    <s v="Winicius Santos"/>
    <x v="1147"/>
    <m/>
    <m/>
    <m/>
    <m/>
    <m/>
    <m/>
    <m/>
    <m/>
    <m/>
    <m/>
    <m/>
    <m/>
    <m/>
    <m/>
    <m/>
    <m/>
    <m/>
    <m/>
    <m/>
    <m/>
    <m/>
    <m/>
    <n v="118.11874144675676"/>
    <x v="0"/>
    <x v="6"/>
    <x v="0"/>
    <n v="195"/>
    <n v="132"/>
    <n v="0.67692307692307696"/>
    <n v="0.67692307692307696"/>
    <n v="1"/>
  </r>
  <r>
    <n v="1304011123"/>
    <s v="54.346.116/0003-78_x000a__x000a_"/>
    <s v="Rascunho"/>
    <x v="0"/>
    <s v="Winicius Santos"/>
    <x v="1148"/>
    <m/>
    <m/>
    <m/>
    <m/>
    <m/>
    <m/>
    <m/>
    <m/>
    <m/>
    <m/>
    <m/>
    <m/>
    <m/>
    <m/>
    <m/>
    <m/>
    <m/>
    <m/>
    <m/>
    <m/>
    <m/>
    <m/>
    <n v="1.2964149884282961"/>
    <x v="4"/>
    <x v="1"/>
    <x v="1"/>
    <n v="189"/>
    <n v="33"/>
    <n v="0.17460317460317459"/>
    <n v="0.17460317460317459"/>
    <n v="1"/>
  </r>
  <r>
    <n v="1195040872"/>
    <s v="54.561.283/0001-70"/>
    <s v="RB Minimercados Ltda"/>
    <x v="0"/>
    <s v="Pipebot"/>
    <x v="1149"/>
    <m/>
    <m/>
    <m/>
    <m/>
    <m/>
    <m/>
    <m/>
    <m/>
    <m/>
    <m/>
    <m/>
    <m/>
    <m/>
    <m/>
    <m/>
    <m/>
    <m/>
    <m/>
    <m/>
    <m/>
    <m/>
    <m/>
    <n v="196.5135070486067"/>
    <x v="0"/>
    <x v="2"/>
    <x v="0"/>
    <n v="146"/>
    <n v="112"/>
    <n v="0.76712328767123283"/>
    <n v="0.76712328767123283"/>
    <n v="1"/>
  </r>
  <r>
    <n v="1252742615"/>
    <s v="55.147.645/0001-43"/>
    <s v="RCB Soluções para Condomínios Ltda"/>
    <x v="0"/>
    <s v="Pipebot"/>
    <x v="1150"/>
    <m/>
    <m/>
    <m/>
    <m/>
    <m/>
    <m/>
    <m/>
    <m/>
    <m/>
    <m/>
    <m/>
    <m/>
    <m/>
    <m/>
    <m/>
    <m/>
    <m/>
    <m/>
    <m/>
    <m/>
    <m/>
    <m/>
    <n v="108.37174783564842"/>
    <x v="0"/>
    <x v="0"/>
    <x v="0"/>
    <n v="131"/>
    <n v="87"/>
    <n v="0.66412213740458015"/>
    <n v="0.66412213740458015"/>
    <n v="1"/>
  </r>
  <r>
    <n v="1171971594"/>
    <s v="59.328.404/0001-51"/>
    <s v="RCF Mercados Autônomos Ltda "/>
    <x v="0"/>
    <s v="Pipebot"/>
    <x v="1151"/>
    <m/>
    <m/>
    <m/>
    <m/>
    <m/>
    <m/>
    <m/>
    <m/>
    <m/>
    <m/>
    <m/>
    <m/>
    <m/>
    <m/>
    <m/>
    <m/>
    <m/>
    <m/>
    <m/>
    <m/>
    <m/>
    <m/>
    <n v="237.14786855324201"/>
    <x v="0"/>
    <x v="5"/>
    <x v="0"/>
    <n v="177"/>
    <n v="130"/>
    <n v="0.7344632768361582"/>
    <n v="0.7344632768361582"/>
    <n v="1"/>
  </r>
  <r>
    <n v="1180443569"/>
    <s v="40.027.506/0001-09"/>
    <s v="Recheio de Sabor"/>
    <x v="0"/>
    <s v="Pipebot"/>
    <x v="1152"/>
    <m/>
    <m/>
    <d v="2025-08-04T20:27:43"/>
    <d v="2025-08-05T20:28:02"/>
    <n v="1.000208"/>
    <d v="2025-08-09T20:28:39"/>
    <d v="2025-08-21T17:02:56"/>
    <n v="11.85713"/>
    <m/>
    <m/>
    <m/>
    <d v="2025-08-05T20:28:02"/>
    <d v="2025-08-07T20:28:09"/>
    <n v="2.0000810000000002"/>
    <d v="2025-08-07T20:28:09"/>
    <d v="2025-08-09T20:28:39"/>
    <n v="2.0003470000000001"/>
    <m/>
    <m/>
    <m/>
    <m/>
    <m/>
    <n v="220.1478566782389"/>
    <x v="0"/>
    <x v="5"/>
    <x v="0"/>
    <n v="177"/>
    <n v="130"/>
    <n v="0.7344632768361582"/>
    <n v="0.7344632768361582"/>
    <n v="1"/>
  </r>
  <r>
    <n v="1285961451"/>
    <s v="39.413.866/0001-60"/>
    <s v="Rede Mapa Conveniência e Mercado Ltda"/>
    <x v="0"/>
    <s v="Pipebot"/>
    <x v="1153"/>
    <m/>
    <m/>
    <d v="2026-02-05T19:04:14"/>
    <d v="2026-02-20T16:52:23"/>
    <n v="2.1739350000000002"/>
    <d v="2026-02-10T13:05:42"/>
    <d v="2026-02-19T12:42:11"/>
    <n v="8.9836569999999991"/>
    <m/>
    <m/>
    <m/>
    <d v="2026-02-06T19:04:32"/>
    <d v="2026-02-23T13:32:47"/>
    <n v="4.8617480000000004"/>
    <d v="2026-02-08T19:05:03"/>
    <d v="2026-02-25T18:39:35"/>
    <n v="3.963495"/>
    <m/>
    <m/>
    <m/>
    <m/>
    <m/>
    <n v="35.205804652767256"/>
    <x v="2"/>
    <x v="3"/>
    <x v="1"/>
    <n v="223"/>
    <n v="147"/>
    <n v="0.65919282511210764"/>
    <n v="0.65919282511210764"/>
    <n v="1"/>
  </r>
  <r>
    <n v="1184493598"/>
    <s v="51.468.455/0001-77"/>
    <s v="RedecomprEbem home marketing"/>
    <x v="0"/>
    <s v="Pipebot"/>
    <x v="1154"/>
    <m/>
    <m/>
    <m/>
    <m/>
    <m/>
    <m/>
    <m/>
    <m/>
    <m/>
    <m/>
    <m/>
    <m/>
    <m/>
    <m/>
    <m/>
    <m/>
    <m/>
    <m/>
    <m/>
    <m/>
    <m/>
    <m/>
    <n v="213.3563434375028"/>
    <x v="0"/>
    <x v="5"/>
    <x v="0"/>
    <n v="177"/>
    <n v="130"/>
    <n v="0.7344632768361582"/>
    <n v="0.7344632768361582"/>
    <n v="1"/>
  </r>
  <r>
    <n v="1271535758"/>
    <s v="62.043.162/0001-64"/>
    <s v="Renato Igor dias Silva "/>
    <x v="5"/>
    <s v="Pipebot"/>
    <x v="1155"/>
    <m/>
    <m/>
    <d v="2026-01-05T19:07:37"/>
    <d v="2026-02-19T12:35:48"/>
    <n v="1.9643980000000001"/>
    <d v="2026-01-10T19:09:11"/>
    <d v="2026-02-18T13:27:31"/>
    <n v="38.762720000000002"/>
    <m/>
    <m/>
    <m/>
    <d v="2026-01-06T19:08:05"/>
    <d v="2026-02-20T13:02:56"/>
    <n v="3.0190389999999998"/>
    <d v="2026-01-08T19:08:22"/>
    <d v="2026-01-10T19:09:11"/>
    <n v="8.3469789999999993"/>
    <m/>
    <m/>
    <m/>
    <m/>
    <m/>
    <n v="66.203275023137394"/>
    <x v="0"/>
    <x v="7"/>
    <x v="0"/>
    <n v="207"/>
    <n v="140"/>
    <n v="0.67632850241545894"/>
    <n v="0.67632850241545894"/>
    <n v="1"/>
  </r>
  <r>
    <n v="1278706886"/>
    <s v="50.978.435/0001-83"/>
    <s v="Regilene Barreto - acionado sofia 06/02"/>
    <x v="5"/>
    <s v="Pipebot"/>
    <x v="1156"/>
    <m/>
    <m/>
    <d v="2026-01-22T13:29:48"/>
    <d v="2026-02-19T12:36:03"/>
    <n v="1.964653"/>
    <d v="2026-01-27T13:31:58"/>
    <d v="2026-02-18T13:27:45"/>
    <n v="21.997071999999999"/>
    <m/>
    <m/>
    <m/>
    <d v="2026-01-23T13:30:38"/>
    <d v="2026-02-20T16:50:17"/>
    <n v="3.1770369999999999"/>
    <d v="2026-01-25T13:31:20"/>
    <d v="2026-01-27T13:31:58"/>
    <n v="8.1889699999999994"/>
    <m/>
    <m/>
    <m/>
    <m/>
    <m/>
    <n v="49.437831631941663"/>
    <x v="2"/>
    <x v="3"/>
    <x v="1"/>
    <n v="223"/>
    <n v="147"/>
    <n v="0.65919282511210764"/>
    <n v="0.65919282511210764"/>
    <n v="1"/>
  </r>
  <r>
    <n v="1264181225"/>
    <s v="39.591.162/0001-87"/>
    <s v="Retistore  comércio de produtos alimentícios ltda"/>
    <x v="0"/>
    <s v="Pipebot"/>
    <x v="1157"/>
    <m/>
    <m/>
    <m/>
    <m/>
    <m/>
    <m/>
    <m/>
    <m/>
    <m/>
    <m/>
    <m/>
    <m/>
    <m/>
    <m/>
    <m/>
    <m/>
    <m/>
    <m/>
    <m/>
    <m/>
    <m/>
    <m/>
    <n v="84.287432326382259"/>
    <x v="0"/>
    <x v="7"/>
    <x v="0"/>
    <n v="207"/>
    <n v="140"/>
    <n v="0.67632850241545894"/>
    <n v="0.67632850241545894"/>
    <n v="1"/>
  </r>
  <r>
    <n v="1206099556"/>
    <s v="54.868.833/0001-06"/>
    <s v="REIS &amp; SANTOS MINIMERCADOS E ALIMENTOS LTDA "/>
    <x v="0"/>
    <s v="Pipebot"/>
    <x v="1158"/>
    <m/>
    <m/>
    <d v="2025-09-15T20:25:36"/>
    <d v="2025-09-16T20:25:49"/>
    <n v="1.0001389999999999"/>
    <m/>
    <m/>
    <m/>
    <m/>
    <m/>
    <m/>
    <d v="2025-09-16T20:25:49"/>
    <d v="2025-09-18T20:26:40"/>
    <n v="2.0005899999999999"/>
    <d v="2025-09-18T20:26:40"/>
    <d v="2025-09-18T20:41:50"/>
    <n v="1.0521000000000001E-2"/>
    <m/>
    <m/>
    <m/>
    <m/>
    <m/>
    <n v="178.1498181713032"/>
    <x v="0"/>
    <x v="4"/>
    <x v="0"/>
    <n v="197"/>
    <n v="149"/>
    <n v="0.75634517766497467"/>
    <n v="0.75634517766497467"/>
    <n v="1"/>
  </r>
  <r>
    <n v="1253572150"/>
    <s v="54.207.347/0001-39"/>
    <s v="Rejane Viterbo Rivas "/>
    <x v="5"/>
    <s v="Pipebot"/>
    <x v="1159"/>
    <m/>
    <m/>
    <d v="2025-11-25T22:06:41"/>
    <d v="2026-02-16T12:51:58"/>
    <n v="3.8673030000000002"/>
    <d v="2025-11-30T22:08:42"/>
    <d v="2026-02-13T16:03:50"/>
    <n v="74.746609000000007"/>
    <m/>
    <m/>
    <m/>
    <d v="2025-11-26T22:07:28"/>
    <d v="2026-02-18T13:22:26"/>
    <n v="4.0213770000000002"/>
    <d v="2025-11-28T22:07:47"/>
    <d v="2025-11-30T22:08:42"/>
    <n v="10.333507000000001"/>
    <m/>
    <m/>
    <m/>
    <m/>
    <m/>
    <n v="107.07918670139043"/>
    <x v="0"/>
    <x v="0"/>
    <x v="0"/>
    <n v="131"/>
    <n v="87"/>
    <n v="0.66412213740458015"/>
    <n v="0.66412213740458015"/>
    <n v="1"/>
  </r>
  <r>
    <n v="1253571226"/>
    <s v="55.550.873/0001-60"/>
    <s v="Rekanto Autônomo LTDA"/>
    <x v="0"/>
    <s v="Pipebot"/>
    <x v="1160"/>
    <m/>
    <m/>
    <d v="2025-11-25T22:05:42"/>
    <d v="2025-11-26T22:06:28"/>
    <n v="1.000532"/>
    <d v="2025-11-30T22:07:41"/>
    <d v="2026-01-12T16:41:46"/>
    <n v="42.773657"/>
    <m/>
    <m/>
    <m/>
    <d v="2025-11-26T22:06:28"/>
    <d v="2025-11-28T22:06:46"/>
    <n v="2.0002080000000002"/>
    <d v="2025-11-28T22:06:46"/>
    <d v="2025-11-30T22:07:41"/>
    <n v="2.0006370000000002"/>
    <m/>
    <m/>
    <m/>
    <m/>
    <m/>
    <n v="107.07992138888949"/>
    <x v="0"/>
    <x v="0"/>
    <x v="0"/>
    <n v="131"/>
    <n v="87"/>
    <n v="0.66412213740458015"/>
    <n v="0.66412213740458015"/>
    <n v="1"/>
  </r>
  <r>
    <n v="1217451713"/>
    <s v="56.092.744/0001-38"/>
    <s v="Renan Caruso Albachiara"/>
    <x v="0"/>
    <s v="Pipebot"/>
    <x v="1161"/>
    <m/>
    <m/>
    <d v="2025-10-03T20:26:47"/>
    <d v="2025-10-04T20:27:30"/>
    <n v="1.0004980000000001"/>
    <m/>
    <m/>
    <m/>
    <m/>
    <m/>
    <m/>
    <d v="2025-10-04T20:27:30"/>
    <d v="2025-10-06T20:27:39"/>
    <n v="2.0001039999999999"/>
    <d v="2025-10-06T20:27:39"/>
    <d v="2025-10-08T18:57:28"/>
    <n v="1.9373610000000001"/>
    <m/>
    <m/>
    <m/>
    <m/>
    <m/>
    <n v="160.14814074074093"/>
    <x v="0"/>
    <x v="4"/>
    <x v="0"/>
    <n v="197"/>
    <n v="149"/>
    <n v="0.75634517766497467"/>
    <n v="0.75634517766497467"/>
    <n v="1"/>
  </r>
  <r>
    <n v="1268999651"/>
    <s v="46.387.537/0001-57"/>
    <s v="RIGATTI COMERCIO DE PRODUTOS ALIMENTICIOS LTDA"/>
    <x v="0"/>
    <s v="Pipebot"/>
    <x v="1162"/>
    <m/>
    <m/>
    <d v="2025-12-30T15:07:00"/>
    <d v="2025-12-31T15:07:24"/>
    <n v="1.000278"/>
    <d v="2026-01-04T15:08:47"/>
    <d v="2026-01-09T12:44:55"/>
    <n v="4.900093"/>
    <m/>
    <m/>
    <m/>
    <d v="2025-12-31T15:07:24"/>
    <d v="2026-01-02T15:07:54"/>
    <n v="2.0003470000000001"/>
    <d v="2026-01-02T15:07:54"/>
    <d v="2026-01-04T15:08:47"/>
    <n v="2.0006020000000002"/>
    <m/>
    <m/>
    <m/>
    <m/>
    <m/>
    <n v="72.370873993058922"/>
    <x v="0"/>
    <x v="7"/>
    <x v="0"/>
    <n v="207"/>
    <n v="140"/>
    <n v="0.67632850241545894"/>
    <n v="0.67632850241545894"/>
    <n v="1"/>
  </r>
  <r>
    <n v="1260496051"/>
    <s v="46.267.390/0001-61"/>
    <s v="Renan oliveira da silva"/>
    <x v="5"/>
    <s v="Pipebot"/>
    <x v="1163"/>
    <m/>
    <m/>
    <d v="2025-12-11T19:07:16"/>
    <d v="2026-02-18T13:24:59"/>
    <n v="3.022338"/>
    <d v="2025-12-16T19:08:47"/>
    <d v="2026-02-16T12:52:55"/>
    <n v="61.738970000000002"/>
    <m/>
    <m/>
    <m/>
    <d v="2025-12-12T19:07:23"/>
    <d v="2026-02-19T12:27:33"/>
    <n v="2.9605670000000002"/>
    <d v="2025-12-14T19:08:02"/>
    <d v="2025-12-16T19:08:47"/>
    <n v="9.3715159999999997"/>
    <m/>
    <m/>
    <m/>
    <m/>
    <m/>
    <n v="91.20340969908284"/>
    <x v="0"/>
    <x v="0"/>
    <x v="0"/>
    <n v="131"/>
    <n v="87"/>
    <n v="0.66412213740458015"/>
    <n v="0.66412213740458015"/>
    <n v="1"/>
  </r>
  <r>
    <n v="1242272610"/>
    <s v="58.065.998/0001-92"/>
    <s v="Renata - SMART FAST MARKET"/>
    <x v="0"/>
    <s v="Pipebot"/>
    <x v="1164"/>
    <m/>
    <m/>
    <m/>
    <m/>
    <m/>
    <m/>
    <m/>
    <m/>
    <m/>
    <m/>
    <m/>
    <m/>
    <m/>
    <m/>
    <m/>
    <m/>
    <m/>
    <m/>
    <m/>
    <m/>
    <m/>
    <m/>
    <n v="126.37168562500301"/>
    <x v="0"/>
    <x v="6"/>
    <x v="0"/>
    <n v="195"/>
    <n v="132"/>
    <n v="0.67692307692307696"/>
    <n v="0.67692307692307696"/>
    <n v="1"/>
  </r>
  <r>
    <n v="1270413423"/>
    <s v="54.831.667/0001-65"/>
    <s v="Rita de Cássia Almeida Lima Gralha"/>
    <x v="0"/>
    <s v="Pipebot"/>
    <x v="1165"/>
    <m/>
    <m/>
    <d v="2026-01-02T12:24:52"/>
    <d v="2026-01-03T12:25:14"/>
    <n v="1.000243"/>
    <d v="2026-01-07T12:25:48"/>
    <d v="2026-01-21T13:10:33"/>
    <n v="14.031076000000001"/>
    <m/>
    <m/>
    <m/>
    <d v="2026-01-03T12:25:14"/>
    <d v="2026-01-05T12:25:25"/>
    <n v="2.000127"/>
    <d v="2026-01-05T12:25:25"/>
    <d v="2026-01-07T12:25:48"/>
    <n v="2.0002550000000001"/>
    <m/>
    <m/>
    <m/>
    <m/>
    <m/>
    <n v="69.482795127318241"/>
    <x v="0"/>
    <x v="7"/>
    <x v="0"/>
    <n v="207"/>
    <n v="140"/>
    <n v="0.67632850241545894"/>
    <n v="0.67632850241545894"/>
    <n v="1"/>
  </r>
  <r>
    <n v="1225193346"/>
    <s v="47.747.623/0001-96"/>
    <s v="Renata Nivea Totolo Contiero - Cliente devolveu uma máquina a mais"/>
    <x v="0"/>
    <s v="Pipebot"/>
    <x v="1166"/>
    <m/>
    <m/>
    <d v="2025-10-15T15:26:21"/>
    <d v="2025-10-16T15:26:38"/>
    <n v="1.000197"/>
    <d v="2025-10-20T15:27:41"/>
    <d v="2025-10-27T17:52:14"/>
    <n v="7.1003699999999998"/>
    <m/>
    <m/>
    <m/>
    <d v="2025-10-16T15:26:38"/>
    <d v="2025-10-18T15:27:12"/>
    <n v="2.0003820000000001"/>
    <d v="2025-10-18T15:27:12"/>
    <d v="2025-10-20T15:27:41"/>
    <n v="2.000324"/>
    <m/>
    <m/>
    <m/>
    <m/>
    <m/>
    <n v="148.3570085648098"/>
    <x v="0"/>
    <x v="6"/>
    <x v="0"/>
    <n v="195"/>
    <n v="132"/>
    <n v="0.67692307692307696"/>
    <n v="0.67692307692307696"/>
    <n v="1"/>
  </r>
  <r>
    <n v="1298304655"/>
    <s v="49.792.784/0001-27_x000a__x000a_"/>
    <s v="Renata Totolo Contiero"/>
    <x v="0"/>
    <s v="Samuel Alexandre Bittencourt Vieira "/>
    <x v="1167"/>
    <m/>
    <m/>
    <m/>
    <m/>
    <m/>
    <m/>
    <m/>
    <m/>
    <m/>
    <m/>
    <m/>
    <m/>
    <m/>
    <m/>
    <m/>
    <m/>
    <m/>
    <m/>
    <m/>
    <m/>
    <m/>
    <m/>
    <n v="10.311581354173541"/>
    <x v="4"/>
    <x v="1"/>
    <x v="1"/>
    <n v="189"/>
    <n v="33"/>
    <n v="0.17460317460317459"/>
    <n v="0.17460317460317459"/>
    <n v="1"/>
  </r>
  <r>
    <n v="1179015918"/>
    <s v="49.792.784/0001-27"/>
    <s v="Renata Totolo Contiero"/>
    <x v="5"/>
    <s v="Pipebot"/>
    <x v="1168"/>
    <m/>
    <m/>
    <d v="2025-08-01T20:27:33"/>
    <d v="2026-02-12T12:25:28"/>
    <n v="1.6458219999999999"/>
    <d v="2025-08-06T20:28:46"/>
    <d v="2026-02-11T20:56:01"/>
    <n v="189.018912"/>
    <m/>
    <m/>
    <m/>
    <d v="2025-08-02T20:28:06"/>
    <d v="2026-02-13T15:59:21"/>
    <n v="3.1489470000000002"/>
    <d v="2025-08-04T20:28:43"/>
    <d v="2025-08-06T20:28:46"/>
    <n v="15.223947000000001"/>
    <m/>
    <m/>
    <m/>
    <m/>
    <m/>
    <n v="223.14826016203733"/>
    <x v="0"/>
    <x v="5"/>
    <x v="0"/>
    <n v="177"/>
    <n v="130"/>
    <n v="0.7344632768361582"/>
    <n v="0.7344632768361582"/>
    <n v="1"/>
  </r>
  <r>
    <n v="1180478931"/>
    <s v="47.309.680/0001-93"/>
    <s v="Renato Gonçalves Vieira "/>
    <x v="0"/>
    <s v="Pipebot"/>
    <x v="1169"/>
    <m/>
    <m/>
    <m/>
    <m/>
    <m/>
    <m/>
    <m/>
    <m/>
    <m/>
    <m/>
    <m/>
    <m/>
    <m/>
    <m/>
    <m/>
    <m/>
    <m/>
    <m/>
    <m/>
    <m/>
    <m/>
    <m/>
    <n v="220.11298789351713"/>
    <x v="0"/>
    <x v="5"/>
    <x v="0"/>
    <n v="177"/>
    <n v="130"/>
    <n v="0.7344632768361582"/>
    <n v="0.7344632768361582"/>
    <n v="1"/>
  </r>
  <r>
    <n v="1267817522"/>
    <s v="14.774.755/0001-58"/>
    <s v="Rodrigo do Nascimento Amorim  Emporio Gyz"/>
    <x v="0"/>
    <s v="Pipebot"/>
    <x v="1170"/>
    <m/>
    <m/>
    <d v="2025-12-26T22:05:59"/>
    <d v="2025-12-27T22:06:49"/>
    <n v="1.0005790000000001"/>
    <d v="2025-12-31T22:08:23"/>
    <d v="2026-01-08T12:54:04"/>
    <n v="7.6150580000000003"/>
    <m/>
    <m/>
    <m/>
    <d v="2025-12-27T22:06:49"/>
    <d v="2025-12-29T22:07:20"/>
    <n v="2.0003470000000001"/>
    <d v="2025-12-29T22:07:20"/>
    <d v="2025-12-31T22:08:23"/>
    <n v="2.0007290000000002"/>
    <m/>
    <m/>
    <m/>
    <m/>
    <m/>
    <n v="76.079907800929504"/>
    <x v="0"/>
    <x v="7"/>
    <x v="0"/>
    <n v="207"/>
    <n v="140"/>
    <n v="0.67632850241545894"/>
    <n v="0.67632850241545894"/>
    <n v="1"/>
  </r>
  <r>
    <n v="1294577564"/>
    <s v="57.414.095/0001-07"/>
    <s v="Renato lobo mendes "/>
    <x v="5"/>
    <s v="Pipebot"/>
    <x v="1171"/>
    <m/>
    <m/>
    <d v="2026-02-20T22:05:33"/>
    <d v="2026-02-21T22:05:48"/>
    <n v="1.000162"/>
    <m/>
    <m/>
    <m/>
    <m/>
    <m/>
    <m/>
    <d v="2026-02-21T22:05:48"/>
    <d v="2026-02-23T13:32:47"/>
    <n v="1.6437379999999999"/>
    <d v="2026-02-23T13:32:48"/>
    <m/>
    <n v="3.3256709999999998"/>
    <m/>
    <m/>
    <m/>
    <m/>
    <m/>
    <n v="20.079881203702826"/>
    <x v="3"/>
    <x v="1"/>
    <x v="1"/>
    <n v="189"/>
    <n v="33"/>
    <n v="0.17460317460317459"/>
    <n v="0.17460317460317459"/>
    <n v="1"/>
  </r>
  <r>
    <n v="1280610058"/>
    <s v="46.464.051/0001-75"/>
    <s v="Renato Luís Bertin "/>
    <x v="0"/>
    <s v="Pipebot"/>
    <x v="1172"/>
    <m/>
    <m/>
    <m/>
    <m/>
    <m/>
    <m/>
    <m/>
    <m/>
    <m/>
    <m/>
    <m/>
    <m/>
    <m/>
    <m/>
    <m/>
    <m/>
    <m/>
    <m/>
    <m/>
    <m/>
    <m/>
    <m/>
    <n v="45.203210254643636"/>
    <x v="2"/>
    <x v="3"/>
    <x v="1"/>
    <n v="223"/>
    <n v="147"/>
    <n v="0.65919282511210764"/>
    <n v="0.65919282511210764"/>
    <n v="1"/>
  </r>
  <r>
    <n v="1176336659"/>
    <s v="46.464.051/0001-75"/>
    <s v="Renato Luís Bertin "/>
    <x v="0"/>
    <s v="Pipebot"/>
    <x v="1173"/>
    <m/>
    <m/>
    <m/>
    <m/>
    <m/>
    <m/>
    <m/>
    <m/>
    <m/>
    <m/>
    <m/>
    <m/>
    <m/>
    <m/>
    <m/>
    <m/>
    <m/>
    <m/>
    <m/>
    <m/>
    <m/>
    <m/>
    <n v="226.98209378473257"/>
    <x v="0"/>
    <x v="5"/>
    <x v="0"/>
    <n v="177"/>
    <n v="130"/>
    <n v="0.7344632768361582"/>
    <n v="0.7344632768361582"/>
    <n v="1"/>
  </r>
  <r>
    <n v="1205939628"/>
    <s v="50.432.188/0001-15"/>
    <s v="Renato Rodrigues Rosa"/>
    <x v="5"/>
    <s v="Pipebot"/>
    <x v="1174"/>
    <m/>
    <m/>
    <d v="2025-09-15T17:02:07"/>
    <d v="2026-02-12T12:26:13"/>
    <n v="1.6449069999999999"/>
    <d v="2025-09-20T17:03:58"/>
    <d v="2026-02-11T20:58:14"/>
    <n v="144.16267400000001"/>
    <m/>
    <m/>
    <m/>
    <d v="2025-09-16T17:02:49"/>
    <d v="2026-02-13T15:59:55"/>
    <n v="3.1490279999999999"/>
    <d v="2025-09-18T17:03:43"/>
    <d v="2025-09-20T17:03:58"/>
    <n v="15.223692"/>
    <m/>
    <m/>
    <m/>
    <m/>
    <m/>
    <n v="178.29077332175802"/>
    <x v="0"/>
    <x v="4"/>
    <x v="0"/>
    <n v="197"/>
    <n v="149"/>
    <n v="0.75634517766497467"/>
    <n v="0.75634517766497467"/>
    <n v="1"/>
  </r>
  <r>
    <n v="1229118270"/>
    <s v="39.591.162/0001-87"/>
    <s v="Retistore  comércio de produtos"/>
    <x v="0"/>
    <s v="Pipebot"/>
    <x v="1175"/>
    <m/>
    <m/>
    <m/>
    <m/>
    <m/>
    <m/>
    <m/>
    <m/>
    <m/>
    <m/>
    <m/>
    <m/>
    <m/>
    <m/>
    <m/>
    <m/>
    <m/>
    <m/>
    <m/>
    <m/>
    <m/>
    <m/>
    <n v="143.16325696759304"/>
    <x v="0"/>
    <x v="6"/>
    <x v="0"/>
    <n v="195"/>
    <n v="132"/>
    <n v="0.67692307692307696"/>
    <n v="0.67692307692307696"/>
    <n v="1"/>
  </r>
  <r>
    <n v="1266958179"/>
    <s v="54.848.533/0001-57"/>
    <s v="Rogério Soares da Cruz "/>
    <x v="0"/>
    <s v="Pipebot"/>
    <x v="1176"/>
    <m/>
    <m/>
    <d v="2025-12-25T13:06:44"/>
    <d v="2025-12-26T13:07:32"/>
    <n v="1.0005440000000001"/>
    <d v="2025-12-30T13:09:12"/>
    <d v="2026-01-12T14:14:51"/>
    <n v="13.045579"/>
    <m/>
    <m/>
    <m/>
    <d v="2025-12-26T13:07:32"/>
    <d v="2025-12-28T13:08:30"/>
    <n v="2.0006599999999999"/>
    <d v="2025-12-28T13:08:30"/>
    <d v="2025-12-30T13:09:12"/>
    <n v="2.000486"/>
    <m/>
    <m/>
    <m/>
    <m/>
    <m/>
    <n v="77.45415837962355"/>
    <x v="0"/>
    <x v="7"/>
    <x v="0"/>
    <n v="207"/>
    <n v="140"/>
    <n v="0.67632850241545894"/>
    <n v="0.67632850241545894"/>
    <n v="1"/>
  </r>
  <r>
    <n v="1212771179"/>
    <s v="39.591.162/0001-87"/>
    <s v="Retistore  comércio de produtos alimentícios ltda"/>
    <x v="0"/>
    <s v="Pipebot"/>
    <x v="1177"/>
    <m/>
    <m/>
    <m/>
    <m/>
    <m/>
    <m/>
    <m/>
    <m/>
    <m/>
    <m/>
    <m/>
    <m/>
    <m/>
    <m/>
    <m/>
    <m/>
    <m/>
    <m/>
    <m/>
    <m/>
    <m/>
    <m/>
    <n v="168.16845526619727"/>
    <x v="0"/>
    <x v="4"/>
    <x v="0"/>
    <n v="197"/>
    <n v="149"/>
    <n v="0.75634517766497467"/>
    <n v="0.75634517766497467"/>
    <n v="1"/>
  </r>
  <r>
    <n v="1251274432"/>
    <s v="02.935.993/0001-19_x000a__x000a_"/>
    <s v="RHEMA SERVIÇOS E COMÉRCIO DE MÁQUINAS LTDA"/>
    <x v="0"/>
    <s v="Winicius Santos"/>
    <x v="1178"/>
    <m/>
    <m/>
    <m/>
    <m/>
    <m/>
    <m/>
    <m/>
    <m/>
    <m/>
    <m/>
    <m/>
    <m/>
    <m/>
    <m/>
    <m/>
    <m/>
    <m/>
    <m/>
    <m/>
    <m/>
    <m/>
    <m/>
    <n v="112.1624235185227"/>
    <x v="0"/>
    <x v="0"/>
    <x v="0"/>
    <n v="131"/>
    <n v="87"/>
    <n v="0.66412213740458015"/>
    <n v="0.66412213740458015"/>
    <n v="1"/>
  </r>
  <r>
    <n v="1245631611"/>
    <s v="02.935.993/0001-19"/>
    <s v="RHEMA SERVIÇOS E COMÉRCIO DE MÁQUINAS LTDA"/>
    <x v="5"/>
    <s v="Pipebot"/>
    <x v="1179"/>
    <m/>
    <m/>
    <d v="2025-11-10T19:05:23"/>
    <d v="2026-02-16T12:51:13"/>
    <n v="3.8678240000000002"/>
    <d v="2025-11-15T19:06:38"/>
    <d v="2026-02-13T16:02:09"/>
    <n v="89.871875000000003"/>
    <m/>
    <m/>
    <m/>
    <d v="2025-11-11T19:05:58"/>
    <d v="2026-02-18T13:21:05"/>
    <n v="4.0208449999999996"/>
    <d v="2025-11-13T19:06:07"/>
    <d v="2025-11-15T19:06:38"/>
    <n v="10.334167000000001"/>
    <m/>
    <m/>
    <m/>
    <m/>
    <m/>
    <n v="122.20506986111286"/>
    <x v="0"/>
    <x v="6"/>
    <x v="0"/>
    <n v="195"/>
    <n v="132"/>
    <n v="0.67692307692307696"/>
    <n v="0.67692307692307696"/>
    <n v="1"/>
  </r>
  <r>
    <n v="1173790582"/>
    <s v="55.341.486/0001-13"/>
    <s v="Ricardo Augusto Silva Lopes"/>
    <x v="0"/>
    <s v="Pipebot"/>
    <x v="1180"/>
    <m/>
    <m/>
    <d v="2025-07-23T20:25:28"/>
    <d v="2025-07-24T16:19:17"/>
    <n v="0.82902799999999999"/>
    <m/>
    <m/>
    <m/>
    <m/>
    <m/>
    <m/>
    <m/>
    <m/>
    <m/>
    <m/>
    <m/>
    <m/>
    <m/>
    <m/>
    <m/>
    <m/>
    <m/>
    <n v="232.14927421296306"/>
    <x v="0"/>
    <x v="5"/>
    <x v="0"/>
    <n v="177"/>
    <n v="130"/>
    <n v="0.7344632768361582"/>
    <n v="0.7344632768361582"/>
    <n v="1"/>
  </r>
  <r>
    <n v="1276682553"/>
    <s v="54.880.972/0001-47"/>
    <s v="Ricardo de Oliveira Franco"/>
    <x v="0"/>
    <s v="Pipebot"/>
    <x v="1181"/>
    <m/>
    <m/>
    <m/>
    <m/>
    <m/>
    <m/>
    <m/>
    <m/>
    <m/>
    <m/>
    <m/>
    <m/>
    <m/>
    <m/>
    <m/>
    <m/>
    <m/>
    <m/>
    <m/>
    <m/>
    <m/>
    <m/>
    <n v="52.079930729167245"/>
    <x v="2"/>
    <x v="3"/>
    <x v="1"/>
    <n v="223"/>
    <n v="147"/>
    <n v="0.65919282511210764"/>
    <n v="0.65919282511210764"/>
    <n v="1"/>
  </r>
  <r>
    <n v="1280425569"/>
    <s v="54.880.972/0001-47"/>
    <s v="Ricardo de Oliveira Franco (trava) - acionado Sofia 03/02"/>
    <x v="3"/>
    <s v="Pipebot"/>
    <x v="1182"/>
    <m/>
    <m/>
    <d v="2026-01-26T15:06:36"/>
    <d v="2026-01-27T15:07:14"/>
    <n v="1.00044"/>
    <d v="2026-01-31T15:07:54"/>
    <d v="2026-02-18T16:59:26"/>
    <n v="18.077442000000001"/>
    <m/>
    <m/>
    <m/>
    <d v="2026-01-27T15:07:14"/>
    <d v="2026-01-29T15:07:26"/>
    <n v="2.000127"/>
    <d v="2026-01-29T15:07:26"/>
    <d v="2026-01-31T15:07:54"/>
    <n v="2.000324"/>
    <m/>
    <m/>
    <m/>
    <m/>
    <m/>
    <n v="45.370823564808234"/>
    <x v="2"/>
    <x v="3"/>
    <x v="1"/>
    <n v="223"/>
    <n v="147"/>
    <n v="0.65919282511210764"/>
    <n v="0.65919282511210764"/>
    <n v="1"/>
  </r>
  <r>
    <n v="1213467834"/>
    <s v="31.191.809/0001-71"/>
    <s v="Ricardo S Sgarbiero"/>
    <x v="0"/>
    <s v="Pipebot"/>
    <x v="1183"/>
    <m/>
    <m/>
    <m/>
    <m/>
    <m/>
    <m/>
    <m/>
    <m/>
    <m/>
    <m/>
    <m/>
    <m/>
    <m/>
    <m/>
    <m/>
    <m/>
    <m/>
    <m/>
    <m/>
    <m/>
    <m/>
    <m/>
    <n v="167.14672201388748"/>
    <x v="0"/>
    <x v="4"/>
    <x v="0"/>
    <n v="197"/>
    <n v="149"/>
    <n v="0.75634517766497467"/>
    <n v="0.75634517766497467"/>
    <n v="1"/>
  </r>
  <r>
    <n v="1289082483"/>
    <s v="46.387.537/0001-57"/>
    <s v="RIGATTI COMERCIO DE PRODUTOS ALIMENTICIOS LTDA"/>
    <x v="0"/>
    <s v="Pipebot"/>
    <x v="1184"/>
    <m/>
    <m/>
    <d v="2026-02-10T22:05:17"/>
    <d v="2026-02-11T20:44:55"/>
    <n v="0.94418999999999997"/>
    <d v="2026-02-11T20:44:55"/>
    <d v="2026-02-12T20:58:45"/>
    <n v="1.008796"/>
    <m/>
    <m/>
    <m/>
    <m/>
    <m/>
    <m/>
    <m/>
    <m/>
    <m/>
    <m/>
    <m/>
    <m/>
    <m/>
    <m/>
    <n v="30.080096932870219"/>
    <x v="2"/>
    <x v="3"/>
    <x v="1"/>
    <n v="223"/>
    <n v="147"/>
    <n v="0.65919282511210764"/>
    <n v="0.65919282511210764"/>
    <n v="1"/>
  </r>
  <r>
    <n v="1296526514"/>
    <s v="46.387.537/0001-57"/>
    <s v="RIGATTI COMERCIO DE PRODUTOS ALIMENTICIOS LTDA"/>
    <x v="1"/>
    <s v="Pipebot"/>
    <x v="1185"/>
    <m/>
    <m/>
    <d v="2026-02-25T19:04:52"/>
    <d v="2026-02-26T19:04:58"/>
    <n v="1.0000690000000001"/>
    <d v="2026-02-12T20:50:29"/>
    <d v="2026-02-12T20:50:50"/>
    <n v="2.31E-4"/>
    <m/>
    <m/>
    <m/>
    <d v="2026-02-26T19:04:58"/>
    <m/>
    <n v="9.5000000000000001E-2"/>
    <m/>
    <m/>
    <m/>
    <m/>
    <m/>
    <m/>
    <m/>
    <m/>
    <n v="15.205620983790141"/>
    <x v="1"/>
    <x v="1"/>
    <x v="1"/>
    <n v="189"/>
    <n v="33"/>
    <n v="0.17460317460317459"/>
    <n v="0.17460317460317459"/>
    <n v="1"/>
  </r>
  <r>
    <n v="1239780691"/>
    <s v="46.387.537/0001-57"/>
    <s v="RIGATTI COMERCIO DE PRODUTOS ALIMENTICIOS LTDA"/>
    <x v="0"/>
    <s v="Pipebot"/>
    <x v="1186"/>
    <m/>
    <m/>
    <d v="2025-11-03T15:03:15"/>
    <d v="2025-11-04T15:04:07"/>
    <n v="1.000602"/>
    <d v="2025-11-08T15:06:09"/>
    <d v="2025-11-18T20:13:01"/>
    <n v="10.213089999999999"/>
    <m/>
    <m/>
    <m/>
    <d v="2025-11-04T15:04:07"/>
    <d v="2025-11-06T15:05:21"/>
    <n v="2.0008560000000002"/>
    <d v="2025-11-06T15:05:21"/>
    <d v="2025-11-08T15:06:09"/>
    <n v="2.0005440000000001"/>
    <m/>
    <m/>
    <m/>
    <m/>
    <m/>
    <n v="129.37308056712936"/>
    <x v="0"/>
    <x v="6"/>
    <x v="0"/>
    <n v="195"/>
    <n v="132"/>
    <n v="0.67692307692307696"/>
    <n v="0.67692307692307696"/>
    <n v="1"/>
  </r>
  <r>
    <n v="1284174209"/>
    <s v="46.387.537/0001-57"/>
    <s v="RIGATTI COMERCIO DE PRODUTOS ALIMENTICIOS LTDA"/>
    <x v="0"/>
    <s v="Pipebot"/>
    <x v="1187"/>
    <m/>
    <m/>
    <d v="2026-02-02T22:03:42"/>
    <d v="2026-02-03T22:04:02"/>
    <n v="1.0002310000000001"/>
    <d v="2026-02-07T22:04:58"/>
    <d v="2026-02-09T18:55:21"/>
    <n v="1.8683099999999999"/>
    <d v="2026-02-09T18:55:21"/>
    <d v="2026-02-12T20:46:23"/>
    <n v="3.0770949999999999"/>
    <d v="2026-02-03T22:04:02"/>
    <d v="2026-02-05T22:04:44"/>
    <n v="2.0004749999999998"/>
    <d v="2026-02-05T22:04:44"/>
    <d v="2026-02-07T22:04:58"/>
    <n v="2.000162"/>
    <m/>
    <m/>
    <m/>
    <m/>
    <m/>
    <n v="38.080917094906908"/>
    <x v="2"/>
    <x v="3"/>
    <x v="1"/>
    <n v="223"/>
    <n v="147"/>
    <n v="0.65919282511210764"/>
    <n v="0.65919282511210764"/>
    <n v="1"/>
  </r>
  <r>
    <n v="1293185577"/>
    <s v="46.387.537/0001-57"/>
    <s v="RIGATTI COMERCIO DE PRODUTOS ALIMENTICIOS LTDA"/>
    <x v="0"/>
    <s v="Pipebot"/>
    <x v="1188"/>
    <m/>
    <m/>
    <m/>
    <m/>
    <m/>
    <m/>
    <m/>
    <m/>
    <m/>
    <m/>
    <m/>
    <m/>
    <m/>
    <m/>
    <m/>
    <m/>
    <m/>
    <m/>
    <m/>
    <m/>
    <m/>
    <m/>
    <n v="22.324333229167678"/>
    <x v="3"/>
    <x v="1"/>
    <x v="1"/>
    <n v="189"/>
    <n v="33"/>
    <n v="0.17460317460317459"/>
    <n v="0.17460317460317459"/>
    <n v="1"/>
  </r>
  <r>
    <n v="1266785073"/>
    <s v="37.765.981/0001-78"/>
    <s v="rua barão do Amazonas "/>
    <x v="5"/>
    <s v="Pipebot"/>
    <x v="1189"/>
    <m/>
    <m/>
    <d v="2025-12-24T22:07:53"/>
    <d v="2026-02-18T13:25:22"/>
    <n v="3.0224769999999999"/>
    <d v="2025-12-29T22:09:20"/>
    <d v="2026-02-16T12:53:31"/>
    <n v="48.614004999999999"/>
    <m/>
    <m/>
    <m/>
    <d v="2025-12-25T22:08:24"/>
    <d v="2026-02-19T12:28:03"/>
    <n v="2.960486"/>
    <d v="2025-12-27T22:08:49"/>
    <d v="2025-12-29T22:09:20"/>
    <n v="9.3709950000000006"/>
    <m/>
    <m/>
    <m/>
    <m/>
    <m/>
    <n v="78.078542557872424"/>
    <x v="0"/>
    <x v="7"/>
    <x v="0"/>
    <n v="207"/>
    <n v="140"/>
    <n v="0.67632850241545894"/>
    <n v="0.67632850241545894"/>
    <n v="1"/>
  </r>
  <r>
    <n v="1284754462"/>
    <s v="46.387.537/0001-57"/>
    <s v="RIGATTI COMERCIO DE PRODUTOS ALIMENTICIOS LTDA (adaptador e leitor) - acionado sofia 09/02 (comentários)"/>
    <x v="0"/>
    <s v="Pipebot"/>
    <x v="1190"/>
    <m/>
    <m/>
    <d v="2026-02-03T22:06:02"/>
    <d v="2026-02-04T22:06:52"/>
    <n v="1.000567"/>
    <d v="2026-02-08T22:08:03"/>
    <d v="2026-02-12T20:57:17"/>
    <n v="3.9508450000000002"/>
    <m/>
    <m/>
    <m/>
    <d v="2026-02-04T22:06:52"/>
    <d v="2026-02-06T22:07:17"/>
    <n v="2.000289"/>
    <d v="2026-02-06T22:07:18"/>
    <d v="2026-02-08T22:08:03"/>
    <n v="2.000521"/>
    <m/>
    <m/>
    <m/>
    <m/>
    <m/>
    <n v="37.079490023148537"/>
    <x v="2"/>
    <x v="3"/>
    <x v="1"/>
    <n v="223"/>
    <n v="147"/>
    <n v="0.65919282511210764"/>
    <n v="0.65919282511210764"/>
    <n v="1"/>
  </r>
  <r>
    <n v="1281250417"/>
    <s v="46.387.537/0001-57"/>
    <s v="RIGATTI COMERCIO DE PRODUTOS ALIMENTICIOS LTDA (leitor + gabinete totem) - acionado sofia 02/02"/>
    <x v="5"/>
    <s v="Pipebot"/>
    <x v="1191"/>
    <m/>
    <m/>
    <d v="2026-01-27T19:03:50"/>
    <d v="2026-02-20T16:51:31"/>
    <n v="2.1766899999999998"/>
    <d v="2026-02-01T19:06:13"/>
    <d v="2026-02-19T12:37:52"/>
    <n v="17.730312999999999"/>
    <m/>
    <m/>
    <m/>
    <d v="2026-01-28T19:04:38"/>
    <d v="2026-02-23T13:32:47"/>
    <n v="4.8624539999999996"/>
    <d v="2026-01-30T19:05:18"/>
    <d v="2026-02-01T19:06:12"/>
    <n v="5.326308"/>
    <m/>
    <m/>
    <m/>
    <m/>
    <m/>
    <n v="44.206295983793098"/>
    <x v="2"/>
    <x v="3"/>
    <x v="1"/>
    <n v="223"/>
    <n v="147"/>
    <n v="0.65919282511210764"/>
    <n v="0.65919282511210764"/>
    <n v="1"/>
  </r>
  <r>
    <n v="1275046487"/>
    <s v="55.600.317/0001-50"/>
    <s v="Rudolfo Azevedo Martins "/>
    <x v="0"/>
    <s v="Pipebot"/>
    <x v="1192"/>
    <m/>
    <m/>
    <d v="2026-01-13T22:08:08"/>
    <d v="2026-01-14T22:08:47"/>
    <n v="1.00044"/>
    <d v="2026-01-18T22:10:00"/>
    <d v="2026-01-29T14:32:14"/>
    <n v="10.682095"/>
    <m/>
    <m/>
    <m/>
    <d v="2026-01-14T22:08:47"/>
    <d v="2026-01-16T22:09:20"/>
    <n v="2.0003820000000001"/>
    <d v="2026-01-16T22:09:20"/>
    <d v="2026-01-18T22:10:00"/>
    <n v="2.000451"/>
    <m/>
    <m/>
    <m/>
    <m/>
    <m/>
    <n v="58.078346747686737"/>
    <x v="2"/>
    <x v="7"/>
    <x v="0"/>
    <n v="207"/>
    <n v="140"/>
    <n v="0.67632850241545894"/>
    <n v="0.67632850241545894"/>
    <n v="1"/>
  </r>
  <r>
    <n v="1195415201"/>
    <s v="54.793.501/0001-00"/>
    <s v="Rita Márcia Macedo Cortado"/>
    <x v="0"/>
    <s v="Pipebot"/>
    <x v="1193"/>
    <m/>
    <m/>
    <m/>
    <m/>
    <m/>
    <m/>
    <m/>
    <m/>
    <m/>
    <m/>
    <m/>
    <m/>
    <m/>
    <m/>
    <m/>
    <m/>
    <m/>
    <m/>
    <m/>
    <m/>
    <m/>
    <m/>
    <n v="196.17298831018707"/>
    <x v="0"/>
    <x v="2"/>
    <x v="0"/>
    <n v="146"/>
    <n v="112"/>
    <n v="0.76712328767123283"/>
    <n v="0.76712328767123283"/>
    <n v="1"/>
  </r>
  <r>
    <n v="1297648258"/>
    <s v="54.793.501/0001-00"/>
    <s v="Rita Márcia Macedo Cortado "/>
    <x v="7"/>
    <s v="Pipebot"/>
    <x v="1194"/>
    <m/>
    <m/>
    <m/>
    <m/>
    <m/>
    <m/>
    <m/>
    <m/>
    <m/>
    <m/>
    <m/>
    <m/>
    <m/>
    <m/>
    <m/>
    <m/>
    <m/>
    <m/>
    <m/>
    <m/>
    <m/>
    <m/>
    <n v="13.228220694436459"/>
    <x v="4"/>
    <x v="1"/>
    <x v="1"/>
    <n v="189"/>
    <n v="33"/>
    <n v="0.17460317460317459"/>
    <n v="0.17460317460317459"/>
    <n v="1"/>
  </r>
  <r>
    <n v="1213737426"/>
    <s v="51.722.582/0001-50"/>
    <s v="RM Store comércio serviços e Mini Mercado Ltda"/>
    <x v="0"/>
    <s v="Pipebot"/>
    <x v="1195"/>
    <m/>
    <m/>
    <m/>
    <m/>
    <m/>
    <m/>
    <m/>
    <m/>
    <m/>
    <m/>
    <m/>
    <m/>
    <m/>
    <m/>
    <m/>
    <m/>
    <m/>
    <m/>
    <m/>
    <m/>
    <m/>
    <m/>
    <n v="166.35684409722307"/>
    <x v="0"/>
    <x v="4"/>
    <x v="0"/>
    <n v="197"/>
    <n v="149"/>
    <n v="0.75634517766497467"/>
    <n v="0.75634517766497467"/>
    <n v="1"/>
  </r>
  <r>
    <n v="1247060800"/>
    <s v="54.727.620/0001-56"/>
    <s v="Roberta Orita Dittz de Castro - chegou adaptador smd"/>
    <x v="8"/>
    <s v="Pipebot"/>
    <x v="1196"/>
    <m/>
    <m/>
    <m/>
    <m/>
    <m/>
    <m/>
    <m/>
    <m/>
    <m/>
    <m/>
    <m/>
    <m/>
    <m/>
    <m/>
    <m/>
    <m/>
    <m/>
    <m/>
    <m/>
    <m/>
    <m/>
    <m/>
    <n v="120.19164596063638"/>
    <x v="0"/>
    <x v="6"/>
    <x v="0"/>
    <n v="195"/>
    <n v="132"/>
    <n v="0.67692307692307696"/>
    <n v="0.67692307692307696"/>
    <n v="1"/>
  </r>
  <r>
    <n v="1216824361"/>
    <s v="51.649.202/0001-08"/>
    <s v="Roberta Regina de Resende Gouveia "/>
    <x v="5"/>
    <s v="Pipebot"/>
    <x v="1197"/>
    <m/>
    <m/>
    <d v="2025-10-02T20:26:44"/>
    <d v="2026-02-13T16:00:42"/>
    <n v="2.1475580000000001"/>
    <d v="2025-10-07T20:28:28"/>
    <d v="2026-02-12T12:28:14"/>
    <n v="127.666505"/>
    <m/>
    <m/>
    <m/>
    <d v="2025-10-03T20:26:47"/>
    <d v="2026-02-16T12:49:05"/>
    <n v="4.8676159999999999"/>
    <d v="2025-10-05T20:27:46"/>
    <d v="2025-10-07T20:28:28"/>
    <n v="12.356515999999999"/>
    <m/>
    <m/>
    <m/>
    <m/>
    <m/>
    <n v="161.1483391898073"/>
    <x v="0"/>
    <x v="4"/>
    <x v="0"/>
    <n v="197"/>
    <n v="149"/>
    <n v="0.75634517766497467"/>
    <n v="0.75634517766497467"/>
    <n v="1"/>
  </r>
  <r>
    <n v="1232586134"/>
    <s v="36.930.095/0001-90"/>
    <s v="Roberto Baroni"/>
    <x v="0"/>
    <s v="Pipebot"/>
    <x v="1198"/>
    <m/>
    <m/>
    <m/>
    <m/>
    <m/>
    <m/>
    <m/>
    <m/>
    <m/>
    <m/>
    <m/>
    <m/>
    <m/>
    <m/>
    <m/>
    <m/>
    <m/>
    <m/>
    <m/>
    <m/>
    <m/>
    <m/>
    <n v="138.98179445602"/>
    <x v="0"/>
    <x v="6"/>
    <x v="0"/>
    <n v="195"/>
    <n v="132"/>
    <n v="0.67692307692307696"/>
    <n v="0.67692307692307696"/>
    <n v="1"/>
  </r>
  <r>
    <n v="1238633150"/>
    <s v="10.941.101/0001-10"/>
    <s v="Robinson Luiz Machado (ler comentário)"/>
    <x v="2"/>
    <s v="Pipebot"/>
    <x v="1199"/>
    <m/>
    <m/>
    <d v="2025-10-31T22:05:14"/>
    <d v="2026-02-13T16:01:08"/>
    <n v="2.1471179999999999"/>
    <d v="2025-11-05T22:07:35"/>
    <d v="2026-02-12T12:30:00"/>
    <n v="98.5989"/>
    <d v="2026-02-19T18:04:36"/>
    <m/>
    <n v="7.136933"/>
    <d v="2025-11-01T22:05:58"/>
    <d v="2026-02-16T12:50:17"/>
    <n v="4.8678590000000002"/>
    <d v="2025-11-03T22:06:32"/>
    <d v="2026-02-19T18:04:36"/>
    <n v="5.2189930000000002"/>
    <m/>
    <m/>
    <m/>
    <m/>
    <m/>
    <n v="132.08045195601881"/>
    <x v="0"/>
    <x v="6"/>
    <x v="0"/>
    <n v="195"/>
    <n v="132"/>
    <n v="0.67692307692307696"/>
    <n v="0.67692307692307696"/>
    <n v="1"/>
  </r>
  <r>
    <n v="1173353623"/>
    <s v="10.941.101/0001-10"/>
    <s v="Robinson Machado"/>
    <x v="0"/>
    <s v="Pipebot"/>
    <x v="1200"/>
    <m/>
    <m/>
    <m/>
    <m/>
    <m/>
    <m/>
    <m/>
    <m/>
    <m/>
    <m/>
    <m/>
    <m/>
    <m/>
    <m/>
    <m/>
    <m/>
    <m/>
    <m/>
    <m/>
    <m/>
    <m/>
    <m/>
    <n v="233.14859174768208"/>
    <x v="0"/>
    <x v="5"/>
    <x v="0"/>
    <n v="177"/>
    <n v="130"/>
    <n v="0.7344632768361582"/>
    <n v="0.7344632768361582"/>
    <n v="1"/>
  </r>
  <r>
    <n v="1216825405"/>
    <s v="53.310.270/0001-65"/>
    <s v="robson"/>
    <x v="8"/>
    <s v="Pipebot"/>
    <x v="1201"/>
    <m/>
    <m/>
    <d v="2025-10-02T20:28:45"/>
    <d v="2025-10-03T20:28:49"/>
    <n v="1.000046"/>
    <d v="2025-10-07T20:30:35"/>
    <d v="2025-11-03T18:45:18"/>
    <n v="26.926874999999999"/>
    <m/>
    <m/>
    <m/>
    <d v="2025-10-03T20:28:49"/>
    <d v="2025-10-05T20:29:46"/>
    <n v="2.0006599999999999"/>
    <d v="2025-10-05T20:29:46"/>
    <d v="2025-10-07T20:30:35"/>
    <n v="2.000556"/>
    <m/>
    <m/>
    <m/>
    <m/>
    <m/>
    <n v="161.14703585647658"/>
    <x v="0"/>
    <x v="4"/>
    <x v="0"/>
    <n v="197"/>
    <n v="149"/>
    <n v="0.75634517766497467"/>
    <n v="0.75634517766497467"/>
    <n v="1"/>
  </r>
  <r>
    <n v="1286111089"/>
    <s v="62.118.319/0001-73"/>
    <s v="Robson Luis severiano RCJ comercial Ltda "/>
    <x v="5"/>
    <s v="Pipebot"/>
    <x v="1202"/>
    <m/>
    <m/>
    <d v="2026-02-05T22:04:43"/>
    <d v="2026-02-20T16:52:27"/>
    <n v="2.1741440000000001"/>
    <d v="2026-02-10T13:05:46"/>
    <d v="2026-02-19T12:42:14"/>
    <n v="8.9836569999999991"/>
    <m/>
    <m/>
    <m/>
    <d v="2026-02-06T22:05:17"/>
    <d v="2026-02-23T13:32:47"/>
    <n v="4.8618629999999996"/>
    <d v="2026-02-08T22:06:03"/>
    <d v="2026-02-10T13:05:46"/>
    <n v="4.9504859999999997"/>
    <m/>
    <m/>
    <m/>
    <m/>
    <m/>
    <n v="35.080381087973365"/>
    <x v="2"/>
    <x v="3"/>
    <x v="1"/>
    <n v="223"/>
    <n v="147"/>
    <n v="0.65919282511210764"/>
    <n v="0.65919282511210764"/>
    <n v="1"/>
  </r>
  <r>
    <n v="1209100398"/>
    <s v="53.310.270/0001-65"/>
    <s v="ROBSON ROCHA DE SOUZA"/>
    <x v="0"/>
    <s v="Pipebot"/>
    <x v="1203"/>
    <m/>
    <m/>
    <m/>
    <m/>
    <m/>
    <m/>
    <m/>
    <m/>
    <m/>
    <m/>
    <m/>
    <m/>
    <m/>
    <m/>
    <m/>
    <m/>
    <m/>
    <m/>
    <m/>
    <m/>
    <m/>
    <m/>
    <n v="174.2769046643516"/>
    <x v="0"/>
    <x v="4"/>
    <x v="0"/>
    <n v="197"/>
    <n v="149"/>
    <n v="0.75634517766497467"/>
    <n v="0.75634517766497467"/>
    <n v="1"/>
  </r>
  <r>
    <n v="1204523187"/>
    <s v="49.201.842/0001-09"/>
    <s v="Robson Teodoro de Faria"/>
    <x v="0"/>
    <s v="Pipebot"/>
    <x v="1204"/>
    <m/>
    <m/>
    <m/>
    <m/>
    <m/>
    <m/>
    <m/>
    <m/>
    <m/>
    <m/>
    <m/>
    <m/>
    <m/>
    <m/>
    <m/>
    <m/>
    <m/>
    <m/>
    <m/>
    <m/>
    <m/>
    <m/>
    <n v="181.35638350695081"/>
    <x v="0"/>
    <x v="2"/>
    <x v="0"/>
    <n v="146"/>
    <n v="112"/>
    <n v="0.76712328767123283"/>
    <n v="0.76712328767123283"/>
    <n v="1"/>
  </r>
  <r>
    <n v="1295384028"/>
    <s v="47.783.546/0001-20"/>
    <s v="Rodolfo de Castro Bernardes - Self Br"/>
    <x v="2"/>
    <s v="Pipebot"/>
    <x v="1205"/>
    <m/>
    <m/>
    <d v="2026-02-23T19:06:14"/>
    <d v="2026-02-23T19:06:14"/>
    <n v="0"/>
    <m/>
    <m/>
    <m/>
    <d v="2026-02-23T19:24:53"/>
    <m/>
    <n v="3.0811809999999999"/>
    <d v="2026-02-23T19:06:14"/>
    <d v="2026-02-23T19:24:53"/>
    <n v="1.294E-2"/>
    <m/>
    <m/>
    <m/>
    <m/>
    <m/>
    <m/>
    <m/>
    <m/>
    <n v="17.204216817131964"/>
    <x v="1"/>
    <x v="1"/>
    <x v="1"/>
    <n v="189"/>
    <n v="33"/>
    <n v="0.17460317460317459"/>
    <n v="0.17460317460317459"/>
    <n v="1"/>
  </r>
  <r>
    <n v="1293738306"/>
    <s v="61.101.888/0001-43"/>
    <s v="Rodolfo Gomes de Lima Caetano"/>
    <x v="0"/>
    <s v="Pipebot"/>
    <x v="1206"/>
    <m/>
    <m/>
    <d v="2026-02-19T15:05:25"/>
    <d v="2026-02-20T15:05:53"/>
    <n v="1.000324"/>
    <m/>
    <m/>
    <m/>
    <m/>
    <m/>
    <m/>
    <d v="2026-02-20T15:05:53"/>
    <d v="2026-02-20T16:50:30"/>
    <n v="7.2638999999999995E-2"/>
    <d v="2026-02-20T16:50:30"/>
    <d v="2026-02-25T14:56:12"/>
    <n v="4.9206250000000002"/>
    <m/>
    <m/>
    <m/>
    <m/>
    <m/>
    <n v="21.372289618062496"/>
    <x v="3"/>
    <x v="1"/>
    <x v="1"/>
    <n v="189"/>
    <n v="33"/>
    <n v="0.17460317460317459"/>
    <n v="0.17460317460317459"/>
    <n v="1"/>
  </r>
  <r>
    <n v="1212565407"/>
    <s v="62.142.881/0001-32"/>
    <s v="Rodrigo de Carvalho Barra"/>
    <x v="0"/>
    <s v="Pipebot"/>
    <x v="1207"/>
    <m/>
    <m/>
    <d v="2025-09-25T15:25:36"/>
    <d v="2025-09-26T15:26:20"/>
    <n v="1.0005090000000001"/>
    <d v="2025-09-30T15:27:48"/>
    <d v="2025-10-06T20:09:42"/>
    <n v="6.1957639999999996"/>
    <m/>
    <m/>
    <m/>
    <d v="2025-09-26T15:26:20"/>
    <d v="2025-09-28T15:27:10"/>
    <n v="2.0005670000000002"/>
    <d v="2025-09-28T15:27:10"/>
    <d v="2025-09-30T15:27:47"/>
    <n v="2.0004279999999999"/>
    <m/>
    <m/>
    <m/>
    <m/>
    <m/>
    <n v="168.35757343749719"/>
    <x v="0"/>
    <x v="4"/>
    <x v="0"/>
    <n v="197"/>
    <n v="149"/>
    <n v="0.75634517766497467"/>
    <n v="0.75634517766497467"/>
    <n v="1"/>
  </r>
  <r>
    <n v="1202543017"/>
    <s v="62.142.881/0001-32"/>
    <s v="Rodrigo de Carvalho Barra"/>
    <x v="0"/>
    <s v="Pipebot"/>
    <x v="1208"/>
    <m/>
    <m/>
    <m/>
    <m/>
    <m/>
    <m/>
    <m/>
    <m/>
    <m/>
    <m/>
    <m/>
    <m/>
    <m/>
    <m/>
    <m/>
    <m/>
    <m/>
    <m/>
    <m/>
    <m/>
    <m/>
    <m/>
    <n v="184.14882384260272"/>
    <x v="0"/>
    <x v="2"/>
    <x v="0"/>
    <n v="146"/>
    <n v="112"/>
    <n v="0.76712328767123283"/>
    <n v="0.76712328767123283"/>
    <n v="1"/>
  </r>
  <r>
    <n v="1270229558"/>
    <s v="52.734.135/0001-84"/>
    <s v="Samara"/>
    <x v="5"/>
    <s v="Pipebot"/>
    <x v="1209"/>
    <m/>
    <m/>
    <d v="2026-01-01T20:18:37"/>
    <d v="2026-02-19T12:35:16"/>
    <n v="1.96485"/>
    <d v="2026-01-06T20:20:54"/>
    <d v="2026-02-18T13:26:19"/>
    <n v="42.712083"/>
    <m/>
    <m/>
    <m/>
    <d v="2026-01-02T20:19:04"/>
    <d v="2026-02-20T13:02:49"/>
    <n v="3.0198610000000001"/>
    <d v="2026-01-04T20:20:08"/>
    <d v="2026-01-06T20:20:54"/>
    <n v="8.3470370000000003"/>
    <m/>
    <m/>
    <m/>
    <m/>
    <m/>
    <n v="70.153998541667534"/>
    <x v="0"/>
    <x v="7"/>
    <x v="0"/>
    <n v="207"/>
    <n v="140"/>
    <n v="0.67632850241545894"/>
    <n v="0.67632850241545894"/>
    <n v="1"/>
  </r>
  <r>
    <n v="1299039382"/>
    <s v="61.514.997/0001-92"/>
    <s v="Rodrigo Guimarães"/>
    <x v="7"/>
    <s v="Pipebot"/>
    <x v="1210"/>
    <m/>
    <m/>
    <m/>
    <m/>
    <m/>
    <m/>
    <m/>
    <m/>
    <m/>
    <m/>
    <m/>
    <m/>
    <m/>
    <m/>
    <m/>
    <m/>
    <m/>
    <m/>
    <m/>
    <m/>
    <m/>
    <m/>
    <n v="8.2047376736227307"/>
    <x v="4"/>
    <x v="1"/>
    <x v="1"/>
    <n v="189"/>
    <n v="33"/>
    <n v="0.17460317460317459"/>
    <n v="0.17460317460317459"/>
    <n v="1"/>
  </r>
  <r>
    <n v="1188129071"/>
    <s v="20.800.281/0001-74"/>
    <s v="Rodrigo Hoffmann"/>
    <x v="5"/>
    <s v="Pipebot"/>
    <x v="1211"/>
    <m/>
    <m/>
    <d v="2025-08-18T15:26:54"/>
    <d v="2026-02-12T12:25:41"/>
    <n v="1.6455439999999999"/>
    <d v="2025-08-23T15:28:48"/>
    <d v="2026-02-11T20:56:13"/>
    <n v="172.227373"/>
    <m/>
    <m/>
    <m/>
    <d v="2025-08-19T15:27:02"/>
    <d v="2026-02-13T15:59:35"/>
    <n v="3.149051"/>
    <d v="2025-08-21T15:27:47"/>
    <d v="2025-08-23T15:28:48"/>
    <n v="15.224444"/>
    <m/>
    <m/>
    <m/>
    <m/>
    <m/>
    <n v="206.356965057872"/>
    <x v="0"/>
    <x v="2"/>
    <x v="0"/>
    <n v="146"/>
    <n v="112"/>
    <n v="0.76712328767123283"/>
    <n v="0.76712328767123283"/>
    <n v="1"/>
  </r>
  <r>
    <n v="1285248551"/>
    <s v="28.520.967/0001-13"/>
    <s v="Rodrigo Presser"/>
    <x v="3"/>
    <s v="Pipebot"/>
    <x v="1212"/>
    <m/>
    <m/>
    <d v="2026-02-04T19:06:37"/>
    <d v="2026-02-05T19:07:16"/>
    <n v="1.00044"/>
    <d v="2026-02-09T19:08:16"/>
    <d v="2026-02-18T17:22:23"/>
    <n v="8.9264700000000001"/>
    <d v="2026-02-18T17:22:23"/>
    <d v="2026-02-18T17:22:56"/>
    <n v="3.6999999999999999E-4"/>
    <d v="2026-02-05T19:07:16"/>
    <d v="2026-02-07T19:07:18"/>
    <n v="2.0000230000000001"/>
    <d v="2026-02-07T19:07:18"/>
    <d v="2026-02-09T19:08:16"/>
    <n v="2.0006599999999999"/>
    <m/>
    <m/>
    <m/>
    <m/>
    <m/>
    <n v="36.203984768522787"/>
    <x v="2"/>
    <x v="3"/>
    <x v="1"/>
    <n v="223"/>
    <n v="147"/>
    <n v="0.65919282511210764"/>
    <n v="0.65919282511210764"/>
    <n v="1"/>
  </r>
  <r>
    <n v="1245709834"/>
    <s v="28.520.967/0001-13"/>
    <s v="Rodrigo Presser - analisar no grupo quantos totens chegaram presencialmente - 45 totens"/>
    <x v="11"/>
    <s v="Pipebot"/>
    <x v="1213"/>
    <m/>
    <m/>
    <d v="2025-11-10T20:29:58"/>
    <d v="2026-02-16T12:51:15"/>
    <n v="3.8678940000000002"/>
    <d v="2025-11-15T20:32:39"/>
    <d v="2026-02-13T16:02:10"/>
    <n v="89.812163999999996"/>
    <m/>
    <m/>
    <m/>
    <d v="2025-11-11T20:30:40"/>
    <d v="2026-02-18T13:21:08"/>
    <n v="4.0214350000000003"/>
    <d v="2025-11-13T20:31:40"/>
    <d v="2026-02-19T19:19:14"/>
    <n v="3.2493629999999998"/>
    <m/>
    <m/>
    <m/>
    <m/>
    <m/>
    <n v="122.14651788194897"/>
    <x v="0"/>
    <x v="6"/>
    <x v="0"/>
    <n v="195"/>
    <n v="132"/>
    <n v="0.67692307692307696"/>
    <n v="0.67692307692307696"/>
    <n v="1"/>
  </r>
  <r>
    <n v="1240626305"/>
    <s v="28.520.967/0001-13"/>
    <s v="Rodrigo Presser - Muda Vending - analisar no grupo quantos totens chegaram presencialmente - 29 totens"/>
    <x v="11"/>
    <s v="Pipebot"/>
    <x v="1214"/>
    <m/>
    <m/>
    <d v="2025-11-04T17:19:07"/>
    <d v="2026-02-13T16:01:11"/>
    <n v="2.1470829999999999"/>
    <d v="2025-11-09T17:20:35"/>
    <d v="2026-02-12T12:30:03"/>
    <n v="94.798241000000004"/>
    <m/>
    <m/>
    <m/>
    <d v="2025-11-05T17:19:48"/>
    <d v="2026-02-16T12:50:20"/>
    <n v="4.867928"/>
    <d v="2025-11-07T17:20:29"/>
    <d v="2026-02-19T19:18:51"/>
    <n v="5.2698609999999997"/>
    <m/>
    <m/>
    <m/>
    <m/>
    <m/>
    <n v="128.27900670139206"/>
    <x v="0"/>
    <x v="6"/>
    <x v="0"/>
    <n v="195"/>
    <n v="132"/>
    <n v="0.67692307692307696"/>
    <n v="0.67692307692307696"/>
    <n v="1"/>
  </r>
  <r>
    <n v="1235486933"/>
    <s v="28.520.967/0001-13"/>
    <s v="Rodrigo Presser - Muda Vending - Henerique forçou pedido ( Só ira devolver 1 toten,  pois o outro foi um toten TP Flex)"/>
    <x v="0"/>
    <s v="Pipebot"/>
    <x v="1215"/>
    <m/>
    <m/>
    <d v="2025-10-28T19:34:57"/>
    <d v="2025-10-29T19:35:56"/>
    <n v="1.0006710000000001"/>
    <d v="2025-11-02T19:36:38"/>
    <d v="2025-12-20T15:32:16"/>
    <n v="47.830300999999999"/>
    <d v="2025-12-20T15:32:16"/>
    <d v="2025-12-20T15:32:22"/>
    <n v="5.8E-5"/>
    <d v="2025-10-29T19:35:56"/>
    <d v="2025-10-31T19:36:03"/>
    <n v="2.0000810000000002"/>
    <d v="2025-10-31T19:36:03"/>
    <d v="2025-11-02T19:36:38"/>
    <n v="2.000394"/>
    <m/>
    <m/>
    <m/>
    <m/>
    <m/>
    <n v="135.18433166665636"/>
    <x v="0"/>
    <x v="6"/>
    <x v="0"/>
    <n v="195"/>
    <n v="132"/>
    <n v="0.67692307692307696"/>
    <n v="0.67692307692307696"/>
    <n v="1"/>
  </r>
  <r>
    <n v="1282285791"/>
    <s v="46.474.586/0001-27"/>
    <s v="Roger Otoni de Araújo "/>
    <x v="0"/>
    <s v="Pipebot"/>
    <x v="1216"/>
    <m/>
    <m/>
    <m/>
    <m/>
    <m/>
    <m/>
    <m/>
    <m/>
    <m/>
    <m/>
    <m/>
    <m/>
    <m/>
    <m/>
    <m/>
    <m/>
    <m/>
    <m/>
    <m/>
    <m/>
    <m/>
    <m/>
    <n v="42.370965810187045"/>
    <x v="2"/>
    <x v="3"/>
    <x v="1"/>
    <n v="223"/>
    <n v="147"/>
    <n v="0.65919282511210764"/>
    <n v="0.65919282511210764"/>
    <n v="1"/>
  </r>
  <r>
    <n v="1278799619"/>
    <s v="46.787.662/0001-54"/>
    <s v="Roger Trierveiler"/>
    <x v="0"/>
    <s v="Pipebot"/>
    <x v="1217"/>
    <m/>
    <m/>
    <m/>
    <m/>
    <m/>
    <m/>
    <m/>
    <m/>
    <m/>
    <m/>
    <m/>
    <m/>
    <m/>
    <m/>
    <m/>
    <m/>
    <m/>
    <m/>
    <m/>
    <m/>
    <m/>
    <m/>
    <n v="49.37046248842671"/>
    <x v="2"/>
    <x v="3"/>
    <x v="1"/>
    <n v="223"/>
    <n v="147"/>
    <n v="0.65919282511210764"/>
    <n v="0.65919282511210764"/>
    <n v="1"/>
  </r>
  <r>
    <n v="1297644057"/>
    <s v="56.098.085/0001-47"/>
    <s v="Roger/ Pedro"/>
    <x v="7"/>
    <s v="Pipebot"/>
    <x v="1218"/>
    <m/>
    <m/>
    <m/>
    <m/>
    <m/>
    <m/>
    <m/>
    <m/>
    <m/>
    <m/>
    <m/>
    <m/>
    <m/>
    <m/>
    <m/>
    <m/>
    <m/>
    <m/>
    <m/>
    <m/>
    <m/>
    <m/>
    <n v="13.230584953707876"/>
    <x v="4"/>
    <x v="1"/>
    <x v="1"/>
    <n v="189"/>
    <n v="33"/>
    <n v="0.17460317460317459"/>
    <n v="0.17460317460317459"/>
    <n v="1"/>
  </r>
  <r>
    <n v="1182617084"/>
    <s v="60.981.429/0001-39"/>
    <s v="Rogério Corsini"/>
    <x v="0"/>
    <s v="Pipebot"/>
    <x v="1219"/>
    <m/>
    <m/>
    <m/>
    <m/>
    <m/>
    <m/>
    <m/>
    <m/>
    <m/>
    <m/>
    <m/>
    <m/>
    <m/>
    <m/>
    <m/>
    <m/>
    <m/>
    <m/>
    <m/>
    <m/>
    <m/>
    <m/>
    <n v="217.32617081019271"/>
    <x v="0"/>
    <x v="5"/>
    <x v="0"/>
    <n v="177"/>
    <n v="130"/>
    <n v="0.7344632768361582"/>
    <n v="0.7344632768361582"/>
    <n v="1"/>
  </r>
  <r>
    <n v="1207655991"/>
    <s v="57.730.060/0002-68"/>
    <s v="Rogério do Nascimento"/>
    <x v="0"/>
    <s v="Pipebot"/>
    <x v="1220"/>
    <m/>
    <m/>
    <m/>
    <m/>
    <m/>
    <m/>
    <m/>
    <m/>
    <m/>
    <m/>
    <m/>
    <m/>
    <m/>
    <m/>
    <m/>
    <m/>
    <m/>
    <m/>
    <m/>
    <m/>
    <m/>
    <m/>
    <n v="176.14884851851821"/>
    <x v="0"/>
    <x v="4"/>
    <x v="0"/>
    <n v="197"/>
    <n v="149"/>
    <n v="0.75634517766497467"/>
    <n v="0.75634517766497467"/>
    <n v="1"/>
  </r>
  <r>
    <n v="1266707058"/>
    <s v="51.403.354/0001-18"/>
    <s v="Sandra Maria dos Santos Gouvea "/>
    <x v="0"/>
    <s v="Pipebot"/>
    <x v="1221"/>
    <m/>
    <m/>
    <d v="2025-12-24T19:11:52"/>
    <d v="2025-12-25T19:12:25"/>
    <n v="1.00037"/>
    <d v="2025-12-29T19:13:22"/>
    <d v="2026-01-12T14:59:06"/>
    <n v="13.823426"/>
    <m/>
    <m/>
    <m/>
    <d v="2025-12-25T19:12:25"/>
    <d v="2025-12-27T19:12:51"/>
    <n v="2.0003009999999999"/>
    <d v="2025-12-27T19:12:51"/>
    <d v="2025-12-29T19:13:22"/>
    <n v="2.0003470000000001"/>
    <m/>
    <m/>
    <m/>
    <m/>
    <m/>
    <n v="78.200752662036393"/>
    <x v="0"/>
    <x v="7"/>
    <x v="0"/>
    <n v="207"/>
    <n v="140"/>
    <n v="0.67632850241545894"/>
    <n v="0.67632850241545894"/>
    <n v="1"/>
  </r>
  <r>
    <n v="1239657443"/>
    <s v="55.500.902/0001-89"/>
    <s v="Rômulo Soares de Sá"/>
    <x v="0"/>
    <s v="Pipebot"/>
    <x v="1222"/>
    <m/>
    <m/>
    <d v="2025-11-03T13:04:21"/>
    <d v="2025-11-04T13:05:05"/>
    <n v="1.0005090000000001"/>
    <d v="2025-11-08T13:06:09"/>
    <d v="2025-11-17T17:46:58"/>
    <n v="9.1950120000000002"/>
    <m/>
    <m/>
    <m/>
    <d v="2025-11-04T13:05:05"/>
    <d v="2025-11-06T13:05:45"/>
    <n v="2.000451"/>
    <d v="2025-11-06T13:05:45"/>
    <d v="2025-11-08T13:06:09"/>
    <n v="2.0002659999999999"/>
    <m/>
    <m/>
    <m/>
    <m/>
    <m/>
    <n v="129.45570002314344"/>
    <x v="0"/>
    <x v="6"/>
    <x v="0"/>
    <n v="195"/>
    <n v="132"/>
    <n v="0.67692307692307696"/>
    <n v="0.67692307692307696"/>
    <n v="1"/>
  </r>
  <r>
    <n v="1257102101"/>
    <s v="54.265.385/0001-48"/>
    <s v="Ronaldo Elias de Mello"/>
    <x v="0"/>
    <s v="Pipebot"/>
    <x v="1223"/>
    <m/>
    <m/>
    <m/>
    <m/>
    <m/>
    <m/>
    <m/>
    <m/>
    <m/>
    <m/>
    <m/>
    <m/>
    <m/>
    <m/>
    <m/>
    <m/>
    <m/>
    <m/>
    <m/>
    <m/>
    <m/>
    <m/>
    <n v="99.204801608786511"/>
    <x v="0"/>
    <x v="0"/>
    <x v="0"/>
    <n v="131"/>
    <n v="87"/>
    <n v="0.66412213740458015"/>
    <n v="0.66412213740458015"/>
    <n v="1"/>
  </r>
  <r>
    <n v="1249086081"/>
    <s v="55.499.193/0001-69"/>
    <s v="Rooster Soluções Autônomas Ltda"/>
    <x v="0"/>
    <s v="Pipebot"/>
    <x v="1224"/>
    <m/>
    <m/>
    <d v="2025-11-17T19:04:38"/>
    <d v="2025-11-18T19:05:40"/>
    <n v="1.0007060000000001"/>
    <m/>
    <m/>
    <m/>
    <m/>
    <m/>
    <m/>
    <d v="2025-11-18T19:05:40"/>
    <d v="2025-11-18T19:24:40"/>
    <n v="1.3194000000000001E-2"/>
    <m/>
    <m/>
    <m/>
    <m/>
    <m/>
    <m/>
    <m/>
    <m/>
    <n v="115.20519943285763"/>
    <x v="0"/>
    <x v="0"/>
    <x v="0"/>
    <n v="131"/>
    <n v="87"/>
    <n v="0.66412213740458015"/>
    <n v="0.66412213740458015"/>
    <n v="1"/>
  </r>
  <r>
    <n v="1199604976"/>
    <s v="47.681.537/0001-28"/>
    <s v="Rosana Bernardini Erbetto"/>
    <x v="0"/>
    <s v="Pipebot"/>
    <x v="1225"/>
    <m/>
    <m/>
    <m/>
    <m/>
    <m/>
    <m/>
    <m/>
    <m/>
    <m/>
    <m/>
    <m/>
    <m/>
    <m/>
    <m/>
    <m/>
    <m/>
    <m/>
    <m/>
    <m/>
    <m/>
    <m/>
    <m/>
    <n v="189.14855959491251"/>
    <x v="0"/>
    <x v="2"/>
    <x v="0"/>
    <n v="146"/>
    <n v="112"/>
    <n v="0.76712328767123283"/>
    <n v="0.76712328767123283"/>
    <n v="1"/>
  </r>
  <r>
    <n v="1203611085"/>
    <s v="47.681.537/0001-28"/>
    <s v="Rosana Bernardini Erbetto"/>
    <x v="0"/>
    <s v="Pipebot"/>
    <x v="1226"/>
    <m/>
    <m/>
    <m/>
    <m/>
    <m/>
    <m/>
    <m/>
    <m/>
    <m/>
    <m/>
    <m/>
    <m/>
    <m/>
    <m/>
    <m/>
    <m/>
    <m/>
    <m/>
    <m/>
    <m/>
    <m/>
    <m/>
    <n v="182.43072281250352"/>
    <x v="0"/>
    <x v="2"/>
    <x v="0"/>
    <n v="146"/>
    <n v="112"/>
    <n v="0.76712328767123283"/>
    <n v="0.76712328767123283"/>
    <n v="1"/>
  </r>
  <r>
    <n v="1253909705"/>
    <s v="47.681.537/0001-28"/>
    <s v="Rosana Bernardini Erbetto "/>
    <x v="0"/>
    <s v="Pipebot"/>
    <x v="1227"/>
    <m/>
    <m/>
    <d v="2025-11-18T18:09:44"/>
    <d v="2025-11-18T18:09:49"/>
    <n v="5.8E-5"/>
    <m/>
    <m/>
    <m/>
    <m/>
    <m/>
    <m/>
    <m/>
    <m/>
    <m/>
    <m/>
    <m/>
    <m/>
    <m/>
    <m/>
    <m/>
    <m/>
    <m/>
    <n v="106.29418559028272"/>
    <x v="0"/>
    <x v="0"/>
    <x v="0"/>
    <n v="131"/>
    <n v="87"/>
    <n v="0.66412213740458015"/>
    <n v="0.66412213740458015"/>
    <n v="1"/>
  </r>
  <r>
    <n v="1257960062"/>
    <s v="61.383.175/0001-10"/>
    <s v="ROSANA SANTOS DE ALMEIDA"/>
    <x v="0"/>
    <s v="Pipebot"/>
    <x v="1228"/>
    <m/>
    <m/>
    <d v="2025-12-05T19:06:10"/>
    <d v="2025-12-06T19:06:29"/>
    <n v="1.0002200000000001"/>
    <d v="2025-12-10T19:07:48"/>
    <d v="2025-12-20T12:25:08"/>
    <n v="9.7203590000000002"/>
    <m/>
    <m/>
    <m/>
    <d v="2025-12-06T19:06:29"/>
    <d v="2025-12-08T19:07:22"/>
    <n v="2.000613"/>
    <d v="2025-12-08T19:07:22"/>
    <d v="2025-12-10T19:07:48"/>
    <n v="2.000289"/>
    <m/>
    <m/>
    <m/>
    <m/>
    <m/>
    <n v="97.204534560180036"/>
    <x v="0"/>
    <x v="0"/>
    <x v="0"/>
    <n v="131"/>
    <n v="87"/>
    <n v="0.66412213740458015"/>
    <n v="0.66412213740458015"/>
    <n v="1"/>
  </r>
  <r>
    <n v="1212564476"/>
    <s v="59.454.954/0001-17"/>
    <s v="RSolaris Mercato Ltda"/>
    <x v="0"/>
    <s v="Pipebot"/>
    <x v="1229"/>
    <m/>
    <m/>
    <m/>
    <m/>
    <m/>
    <m/>
    <m/>
    <m/>
    <m/>
    <m/>
    <m/>
    <m/>
    <m/>
    <m/>
    <m/>
    <m/>
    <m/>
    <m/>
    <m/>
    <m/>
    <m/>
    <m/>
    <n v="168.35866061342676"/>
    <x v="0"/>
    <x v="4"/>
    <x v="0"/>
    <n v="197"/>
    <n v="149"/>
    <n v="0.75634517766497467"/>
    <n v="0.75634517766497467"/>
    <n v="1"/>
  </r>
  <r>
    <n v="1269143265"/>
    <s v="52.744.987/0001-52"/>
    <s v="Sandro Reis de Moraes Oliveira"/>
    <x v="3"/>
    <s v="Pipebot"/>
    <x v="1230"/>
    <m/>
    <m/>
    <d v="2025-12-30T19:09:00"/>
    <d v="2025-12-31T19:09:16"/>
    <n v="1.0001850000000001"/>
    <d v="2026-01-04T19:10:00"/>
    <d v="2026-01-15T14:14:56"/>
    <n v="10.795093"/>
    <m/>
    <m/>
    <m/>
    <d v="2025-12-31T19:09:16"/>
    <d v="2026-01-02T19:09:57"/>
    <n v="2.0004629999999999"/>
    <d v="2026-01-02T19:09:57"/>
    <d v="2026-01-04T19:10:00"/>
    <n v="2.000035"/>
    <m/>
    <m/>
    <m/>
    <m/>
    <m/>
    <n v="72.202518217593024"/>
    <x v="0"/>
    <x v="7"/>
    <x v="0"/>
    <n v="207"/>
    <n v="140"/>
    <n v="0.67632850241545894"/>
    <n v="0.67632850241545894"/>
    <n v="1"/>
  </r>
  <r>
    <n v="1207418006"/>
    <s v="61.460.411/0001-54"/>
    <s v="Rubens Luis da Silva"/>
    <x v="0"/>
    <s v="Pipebot"/>
    <x v="1231"/>
    <m/>
    <m/>
    <m/>
    <m/>
    <m/>
    <m/>
    <m/>
    <m/>
    <m/>
    <m/>
    <m/>
    <m/>
    <m/>
    <m/>
    <m/>
    <m/>
    <m/>
    <m/>
    <m/>
    <m/>
    <m/>
    <m/>
    <n v="176.35630900462274"/>
    <x v="0"/>
    <x v="4"/>
    <x v="0"/>
    <n v="197"/>
    <n v="149"/>
    <n v="0.75634517766497467"/>
    <n v="0.75634517766497467"/>
    <n v="1"/>
  </r>
  <r>
    <n v="1255811741"/>
    <s v="54.310.070/0001-75"/>
    <s v="Rubens Martins Domingues "/>
    <x v="0"/>
    <s v="Pipebot"/>
    <x v="1232"/>
    <m/>
    <m/>
    <m/>
    <m/>
    <m/>
    <m/>
    <m/>
    <m/>
    <m/>
    <m/>
    <m/>
    <m/>
    <m/>
    <m/>
    <m/>
    <m/>
    <m/>
    <m/>
    <m/>
    <m/>
    <m/>
    <m/>
    <n v="101.24869584490079"/>
    <x v="0"/>
    <x v="0"/>
    <x v="0"/>
    <n v="131"/>
    <n v="87"/>
    <n v="0.66412213740458015"/>
    <n v="0.66412213740458015"/>
    <n v="1"/>
  </r>
  <r>
    <n v="1266706387"/>
    <s v="04.976.108/0001-75"/>
    <s v="SERGIO KARAGULIAN "/>
    <x v="0"/>
    <s v="Pipebot"/>
    <x v="1233"/>
    <m/>
    <m/>
    <d v="2025-12-24T19:09:56"/>
    <d v="2025-12-25T19:10:25"/>
    <n v="1.000324"/>
    <d v="2025-12-29T19:11:23"/>
    <d v="2026-01-09T12:11:02"/>
    <n v="10.70809"/>
    <m/>
    <m/>
    <m/>
    <d v="2025-12-25T19:10:25"/>
    <d v="2025-12-27T19:10:50"/>
    <n v="2.000289"/>
    <d v="2025-12-27T19:10:50"/>
    <d v="2025-12-29T19:11:23"/>
    <n v="2.0003820000000001"/>
    <m/>
    <m/>
    <m/>
    <m/>
    <m/>
    <n v="78.201546076386876"/>
    <x v="0"/>
    <x v="7"/>
    <x v="0"/>
    <n v="207"/>
    <n v="140"/>
    <n v="0.67632850241545894"/>
    <n v="0.67632850241545894"/>
    <n v="1"/>
  </r>
  <r>
    <n v="1219117679"/>
    <s v="47.183.849/0001-01"/>
    <s v="S P DE CARVALHO NETO"/>
    <x v="5"/>
    <s v="Pipebot"/>
    <x v="1234"/>
    <m/>
    <m/>
    <d v="2025-10-06T15:24:35"/>
    <d v="2026-02-13T16:00:43"/>
    <n v="2.1481599999999998"/>
    <d v="2025-10-11T15:26:47"/>
    <d v="2026-02-12T12:28:19"/>
    <n v="123.875451"/>
    <m/>
    <m/>
    <m/>
    <d v="2025-10-07T15:25:33"/>
    <d v="2026-02-16T12:49:06"/>
    <n v="4.8675930000000003"/>
    <d v="2025-10-09T15:26:31"/>
    <d v="2025-10-11T15:26:47"/>
    <n v="12.356227000000001"/>
    <m/>
    <m/>
    <m/>
    <m/>
    <m/>
    <n v="157.35829545137676"/>
    <x v="0"/>
    <x v="4"/>
    <x v="0"/>
    <n v="197"/>
    <n v="149"/>
    <n v="0.75634517766497467"/>
    <n v="0.75634517766497467"/>
    <n v="1"/>
  </r>
  <r>
    <n v="1264757416"/>
    <s v="61.726.273/0001-02"/>
    <s v="Silvio César dos Santos Piovesane"/>
    <x v="0"/>
    <s v="Pipebot"/>
    <x v="1235"/>
    <m/>
    <m/>
    <d v="2025-12-19T19:08:28"/>
    <d v="2025-12-20T19:09:08"/>
    <n v="1.0004630000000001"/>
    <d v="2025-12-24T19:09:52"/>
    <d v="2026-01-12T16:37:28"/>
    <n v="18.894155000000001"/>
    <m/>
    <m/>
    <m/>
    <d v="2025-12-20T19:09:08"/>
    <d v="2025-12-22T19:09:13"/>
    <n v="2.0000460000000002"/>
    <d v="2025-12-22T19:09:13"/>
    <d v="2025-12-24T19:09:52"/>
    <n v="2.000451"/>
    <m/>
    <m/>
    <m/>
    <m/>
    <m/>
    <n v="83.202524745371193"/>
    <x v="0"/>
    <x v="7"/>
    <x v="0"/>
    <n v="207"/>
    <n v="140"/>
    <n v="0.67632850241545894"/>
    <n v="0.67632850241545894"/>
    <n v="1"/>
  </r>
  <r>
    <n v="1227027438"/>
    <s v="54.590.684/0001-58"/>
    <s v="Samara "/>
    <x v="5"/>
    <s v="Pipebot"/>
    <x v="1236"/>
    <m/>
    <m/>
    <d v="2025-10-17T20:25:12"/>
    <d v="2026-02-13T16:00:49"/>
    <n v="2.1470250000000002"/>
    <d v="2025-10-22T20:27:44"/>
    <d v="2026-02-12T12:29:48"/>
    <n v="112.668102"/>
    <m/>
    <m/>
    <m/>
    <d v="2025-10-18T20:25:55"/>
    <d v="2026-02-16T12:49:10"/>
    <n v="4.8676269999999997"/>
    <d v="2025-10-20T20:26:56"/>
    <d v="2025-10-22T20:27:44"/>
    <n v="12.356528000000001"/>
    <m/>
    <m/>
    <m/>
    <m/>
    <m/>
    <n v="146.14985922453343"/>
    <x v="0"/>
    <x v="6"/>
    <x v="0"/>
    <n v="195"/>
    <n v="132"/>
    <n v="0.67692307692307696"/>
    <n v="0.67692307692307696"/>
    <n v="1"/>
  </r>
  <r>
    <n v="1231461264"/>
    <s v="52.734.135/0001-84"/>
    <s v="SAMARA DE SOUZA MARQUES"/>
    <x v="8"/>
    <s v="Pipebot"/>
    <x v="1237"/>
    <m/>
    <m/>
    <d v="2025-10-23T20:25:55"/>
    <d v="2025-10-24T20:26:16"/>
    <n v="1.000243"/>
    <d v="2025-10-28T20:27:57"/>
    <d v="2025-10-29T19:45:00"/>
    <n v="0.97017399999999998"/>
    <m/>
    <m/>
    <m/>
    <d v="2025-10-24T20:26:16"/>
    <d v="2025-10-26T20:27:16"/>
    <n v="2.0006940000000002"/>
    <d v="2025-10-26T20:27:16"/>
    <d v="2025-10-28T20:27:57"/>
    <n v="2.0004629999999999"/>
    <m/>
    <m/>
    <m/>
    <m/>
    <m/>
    <n v="140.14903146989673"/>
    <x v="0"/>
    <x v="6"/>
    <x v="0"/>
    <n v="195"/>
    <n v="132"/>
    <n v="0.67692307692307696"/>
    <n v="0.67692307692307696"/>
    <n v="1"/>
  </r>
  <r>
    <n v="1181276184"/>
    <s v="55.502.909/0001-30"/>
    <s v="Sandra Gouvea - 30C para V1"/>
    <x v="0"/>
    <s v="Pipebot"/>
    <x v="1238"/>
    <m/>
    <m/>
    <m/>
    <m/>
    <m/>
    <m/>
    <m/>
    <m/>
    <m/>
    <m/>
    <m/>
    <m/>
    <m/>
    <m/>
    <m/>
    <m/>
    <m/>
    <m/>
    <m/>
    <m/>
    <m/>
    <m/>
    <n v="219.14821972222126"/>
    <x v="0"/>
    <x v="5"/>
    <x v="0"/>
    <n v="177"/>
    <n v="130"/>
    <n v="0.7344632768361582"/>
    <n v="0.7344632768361582"/>
    <n v="1"/>
  </r>
  <r>
    <n v="1266706929"/>
    <s v="56.213.383/0001-30"/>
    <s v="Solange Oliveira Canuto dos Reis"/>
    <x v="0"/>
    <s v="Pipebot"/>
    <x v="1239"/>
    <m/>
    <m/>
    <d v="2025-12-24T19:10:57"/>
    <d v="2026-02-18T13:25:21"/>
    <n v="3.0224310000000001"/>
    <d v="2025-12-29T19:12:20"/>
    <d v="2026-02-16T12:53:30"/>
    <n v="48.734802999999999"/>
    <m/>
    <m/>
    <m/>
    <d v="2025-12-25T19:11:25"/>
    <d v="2026-02-19T12:28:02"/>
    <n v="2.960486"/>
    <d v="2025-12-27T19:11:50"/>
    <d v="2026-02-23T20:45:11"/>
    <n v="6.3455789999999999"/>
    <m/>
    <m/>
    <m/>
    <m/>
    <m/>
    <n v="78.20091127314663"/>
    <x v="0"/>
    <x v="7"/>
    <x v="0"/>
    <n v="207"/>
    <n v="140"/>
    <n v="0.67632850241545894"/>
    <n v="0.67632850241545894"/>
    <n v="1"/>
  </r>
  <r>
    <n v="1172560754"/>
    <s v="47.654.766/0001-53"/>
    <s v="Sandro Carvalho de Oliveira "/>
    <x v="0"/>
    <s v="Pipebot"/>
    <x v="1240"/>
    <m/>
    <m/>
    <d v="2025-07-21T15:27:09"/>
    <d v="2025-07-21T21:12:19"/>
    <n v="0.23968800000000001"/>
    <m/>
    <m/>
    <m/>
    <m/>
    <m/>
    <m/>
    <m/>
    <m/>
    <m/>
    <m/>
    <m/>
    <m/>
    <m/>
    <m/>
    <m/>
    <m/>
    <m/>
    <n v="234.35650966435787"/>
    <x v="0"/>
    <x v="5"/>
    <x v="0"/>
    <n v="177"/>
    <n v="130"/>
    <n v="0.7344632768361582"/>
    <n v="0.7344632768361582"/>
    <n v="1"/>
  </r>
  <r>
    <n v="1259942442"/>
    <s v="52.744.987/0001-52"/>
    <s v="Sandro Reis de Moraes Oliveira"/>
    <x v="0"/>
    <s v="Pipebot"/>
    <x v="1241"/>
    <m/>
    <m/>
    <d v="2025-12-10T19:23:45"/>
    <d v="2025-12-11T19:24:16"/>
    <n v="1.0003470000000001"/>
    <d v="2025-12-15T19:24:45"/>
    <d v="2026-01-15T14:15:15"/>
    <n v="30.785057999999999"/>
    <m/>
    <m/>
    <m/>
    <d v="2025-12-11T19:24:16"/>
    <d v="2025-12-13T19:24:37"/>
    <n v="2.0002430000000002"/>
    <d v="2025-12-13T19:24:37"/>
    <d v="2025-12-15T19:24:45"/>
    <n v="2.0000930000000001"/>
    <m/>
    <m/>
    <m/>
    <m/>
    <m/>
    <n v="92.192373217592831"/>
    <x v="0"/>
    <x v="0"/>
    <x v="0"/>
    <n v="131"/>
    <n v="87"/>
    <n v="0.66412213740458015"/>
    <n v="0.66412213740458015"/>
    <n v="1"/>
  </r>
  <r>
    <n v="1257102499"/>
    <s v="52.744.987/0001-52"/>
    <s v="Sandro Reis de Moraes Oliveira"/>
    <x v="0"/>
    <s v="Pipebot"/>
    <x v="1242"/>
    <m/>
    <m/>
    <d v="2025-12-03T19:06:10"/>
    <d v="2025-12-04T19:06:19"/>
    <n v="1.0001040000000001"/>
    <d v="2025-12-08T19:07:22"/>
    <d v="2026-01-15T14:16:04"/>
    <n v="37.797696999999999"/>
    <m/>
    <m/>
    <m/>
    <d v="2025-12-04T19:06:19"/>
    <d v="2025-12-06T19:06:29"/>
    <n v="2.0001159999999998"/>
    <d v="2025-12-06T19:06:29"/>
    <d v="2025-12-08T19:07:22"/>
    <n v="2.000613"/>
    <m/>
    <m/>
    <m/>
    <m/>
    <m/>
    <n v="99.20451103009691"/>
    <x v="0"/>
    <x v="0"/>
    <x v="0"/>
    <n v="131"/>
    <n v="87"/>
    <n v="0.66412213740458015"/>
    <n v="0.66412213740458015"/>
    <n v="1"/>
  </r>
  <r>
    <n v="1270228261"/>
    <s v="62.725.348/0001-01"/>
    <s v="Sophia Dione Emanuele Nunes "/>
    <x v="0"/>
    <s v="Pipebot"/>
    <x v="1243"/>
    <m/>
    <m/>
    <m/>
    <m/>
    <m/>
    <m/>
    <m/>
    <m/>
    <m/>
    <m/>
    <m/>
    <m/>
    <m/>
    <m/>
    <m/>
    <m/>
    <m/>
    <m/>
    <m/>
    <m/>
    <m/>
    <m/>
    <n v="70.155686562502524"/>
    <x v="0"/>
    <x v="7"/>
    <x v="0"/>
    <n v="207"/>
    <n v="140"/>
    <n v="0.67632850241545894"/>
    <n v="0.67632850241545894"/>
    <n v="1"/>
  </r>
  <r>
    <n v="1235452070"/>
    <s v="52.744.987/0001-52"/>
    <s v="Sandro Reis de Moraes Oliveira "/>
    <x v="0"/>
    <s v="Pipebot"/>
    <x v="1244"/>
    <m/>
    <m/>
    <d v="2025-10-28T19:05:50"/>
    <d v="2025-10-29T19:05:55"/>
    <n v="1.000046"/>
    <d v="2025-11-02T19:06:38"/>
    <d v="2026-01-15T14:15:31"/>
    <n v="73.797836000000004"/>
    <m/>
    <m/>
    <m/>
    <d v="2025-10-29T19:05:55"/>
    <d v="2025-10-31T19:06:07"/>
    <n v="2.000127"/>
    <d v="2025-10-31T19:06:07"/>
    <d v="2025-11-02T19:06:38"/>
    <n v="2.000359"/>
    <m/>
    <m/>
    <m/>
    <m/>
    <m/>
    <n v="135.20453553240804"/>
    <x v="0"/>
    <x v="6"/>
    <x v="0"/>
    <n v="195"/>
    <n v="132"/>
    <n v="0.67692307692307696"/>
    <n v="0.67692307692307696"/>
    <n v="1"/>
  </r>
  <r>
    <n v="1282982273"/>
    <s v="27.374.448/0001-21"/>
    <s v="SANTOS E NOBRE SÍNDICOS ASSOCIADOS"/>
    <x v="0"/>
    <s v="Pipebot"/>
    <x v="1245"/>
    <m/>
    <m/>
    <d v="2026-01-30T19:05:18"/>
    <d v="2026-01-31T19:05:55"/>
    <n v="1.0004169999999999"/>
    <m/>
    <m/>
    <m/>
    <m/>
    <m/>
    <m/>
    <d v="2026-01-31T19:05:55"/>
    <d v="2026-02-02T19:06:45"/>
    <n v="2.0005790000000001"/>
    <d v="2026-02-02T19:06:45"/>
    <d v="2026-02-03T19:04:43"/>
    <n v="0.99857600000000002"/>
    <m/>
    <m/>
    <m/>
    <m/>
    <m/>
    <n v="41.205065474539879"/>
    <x v="2"/>
    <x v="3"/>
    <x v="1"/>
    <n v="223"/>
    <n v="147"/>
    <n v="0.65919282511210764"/>
    <n v="0.65919282511210764"/>
    <n v="1"/>
  </r>
  <r>
    <n v="1240711790"/>
    <s v="27.374.448/0001-21"/>
    <s v="SANTOS E NOBRE SÍNDICOS ASSOCIADOS  - chegou"/>
    <x v="8"/>
    <s v="Pipebot"/>
    <x v="1246"/>
    <m/>
    <m/>
    <m/>
    <m/>
    <m/>
    <m/>
    <m/>
    <m/>
    <m/>
    <m/>
    <m/>
    <m/>
    <m/>
    <m/>
    <m/>
    <m/>
    <m/>
    <m/>
    <m/>
    <m/>
    <m/>
    <m/>
    <n v="128.20408923611103"/>
    <x v="0"/>
    <x v="6"/>
    <x v="0"/>
    <n v="195"/>
    <n v="132"/>
    <n v="0.67692307692307696"/>
    <n v="0.67692307692307696"/>
    <n v="1"/>
  </r>
  <r>
    <n v="1208413089"/>
    <s v="41.195.860/0001-05"/>
    <s v="Sara Maria Santos Negrao"/>
    <x v="5"/>
    <s v="Pipebot"/>
    <x v="1247"/>
    <m/>
    <m/>
    <d v="2025-09-18T20:14:40"/>
    <d v="2026-02-16T12:51:10"/>
    <n v="3.8724419999999999"/>
    <d v="2025-09-23T20:15:15"/>
    <d v="2026-02-13T16:02:05"/>
    <n v="142.81924799999999"/>
    <m/>
    <m/>
    <m/>
    <d v="2025-09-19T20:14:49"/>
    <d v="2026-02-18T13:20:58"/>
    <n v="4.0207519999999999"/>
    <d v="2025-09-21T20:14:54"/>
    <d v="2025-09-23T20:15:15"/>
    <n v="10.334144"/>
    <m/>
    <m/>
    <m/>
    <m/>
    <m/>
    <n v="175.15707400462998"/>
    <x v="0"/>
    <x v="4"/>
    <x v="0"/>
    <n v="197"/>
    <n v="149"/>
    <n v="0.75634517766497467"/>
    <n v="0.75634517766497467"/>
    <n v="1"/>
  </r>
  <r>
    <n v="1182801975"/>
    <s v="53.678.345/0001-65"/>
    <s v="Sara Sena Rocha de Matos"/>
    <x v="0"/>
    <s v="Pipebot"/>
    <x v="1248"/>
    <m/>
    <m/>
    <d v="2025-08-07T20:28:10"/>
    <d v="2025-08-08T19:47:20"/>
    <n v="0.97164399999999995"/>
    <m/>
    <m/>
    <m/>
    <m/>
    <m/>
    <m/>
    <m/>
    <m/>
    <m/>
    <m/>
    <m/>
    <m/>
    <m/>
    <m/>
    <m/>
    <m/>
    <m/>
    <n v="217.14731624999695"/>
    <x v="0"/>
    <x v="5"/>
    <x v="0"/>
    <n v="177"/>
    <n v="130"/>
    <n v="0.7344632768361582"/>
    <n v="0.7344632768361582"/>
    <n v="1"/>
  </r>
  <r>
    <n v="1169645504"/>
    <s v="42.606.223/0001-47"/>
    <s v="SB Comercio de Alimentos Ltda"/>
    <x v="0"/>
    <s v="Pipebot"/>
    <x v="1249"/>
    <m/>
    <m/>
    <d v="2025-07-15T16:17:56"/>
    <d v="2025-07-16T16:18:20"/>
    <n v="1.000278"/>
    <d v="2025-07-20T16:19:00"/>
    <d v="2025-07-21T20:15:56"/>
    <n v="1.164525"/>
    <d v="2025-07-21T20:15:56"/>
    <d v="2025-07-21T20:16:02"/>
    <n v="5.8E-5"/>
    <d v="2025-07-16T16:18:20"/>
    <d v="2025-07-18T16:18:43"/>
    <n v="2.0002550000000001"/>
    <d v="2025-07-18T16:18:43"/>
    <d v="2025-07-20T16:19:00"/>
    <n v="2.000197"/>
    <m/>
    <m/>
    <m/>
    <m/>
    <m/>
    <n v="240.32126538194279"/>
    <x v="0"/>
    <x v="5"/>
    <x v="0"/>
    <n v="177"/>
    <n v="130"/>
    <n v="0.7344632768361582"/>
    <n v="0.7344632768361582"/>
    <n v="1"/>
  </r>
  <r>
    <n v="1200308442"/>
    <s v="60.291.944/0001-97"/>
    <s v="SEMPREAQUI COMERCIO E SERVIÇOS LTDA"/>
    <x v="0"/>
    <s v="Pipebot"/>
    <x v="1250"/>
    <m/>
    <m/>
    <d v="2025-09-05T20:25:12"/>
    <d v="2025-09-06T20:25:24"/>
    <n v="1.0001389999999999"/>
    <d v="2025-09-10T20:25:54"/>
    <d v="2025-09-15T20:29:58"/>
    <n v="5.0028129999999997"/>
    <m/>
    <m/>
    <m/>
    <d v="2025-09-06T20:25:24"/>
    <d v="2025-09-08T20:25:33"/>
    <n v="2.0000930000000001"/>
    <d v="2025-09-08T20:25:33"/>
    <d v="2025-09-10T20:25:54"/>
    <n v="2.0002309999999999"/>
    <m/>
    <m/>
    <m/>
    <m/>
    <m/>
    <n v="188.14991979167098"/>
    <x v="0"/>
    <x v="2"/>
    <x v="0"/>
    <n v="146"/>
    <n v="112"/>
    <n v="0.76712328767123283"/>
    <n v="0.76712328767123283"/>
    <n v="1"/>
  </r>
  <r>
    <n v="1174080041"/>
    <s v="60.291.944/0001-97"/>
    <s v="SEMPREAQUI COMERCIO E SERVIÇOS LTDA"/>
    <x v="0"/>
    <s v="Pipebot"/>
    <x v="1251"/>
    <m/>
    <m/>
    <d v="2025-07-24T15:26:54"/>
    <d v="2025-07-25T15:27:31"/>
    <n v="1.0004169999999999"/>
    <d v="2025-07-29T15:27:58"/>
    <d v="2025-09-15T20:29:28"/>
    <n v="48.209363000000003"/>
    <m/>
    <m/>
    <m/>
    <d v="2025-07-25T15:27:31"/>
    <d v="2025-07-27T15:27:33"/>
    <n v="2.0000230000000001"/>
    <d v="2025-07-27T15:27:33"/>
    <d v="2025-07-29T15:27:58"/>
    <n v="2.000289"/>
    <m/>
    <m/>
    <m/>
    <m/>
    <m/>
    <n v="231.35699327546172"/>
    <x v="0"/>
    <x v="5"/>
    <x v="0"/>
    <n v="177"/>
    <n v="130"/>
    <n v="0.7344632768361582"/>
    <n v="0.7344632768361582"/>
    <n v="1"/>
  </r>
  <r>
    <n v="1295384441"/>
    <s v="04.976.108/0001-75"/>
    <s v="Sergio Karagulian"/>
    <x v="0"/>
    <s v="Pipebot"/>
    <x v="1252"/>
    <m/>
    <m/>
    <d v="2026-02-23T19:06:46"/>
    <d v="2026-02-23T19:27:57"/>
    <n v="1.4711E-2"/>
    <m/>
    <m/>
    <m/>
    <d v="2026-02-23T19:27:57"/>
    <d v="2026-02-25T17:00:03"/>
    <n v="1.8972800000000001"/>
    <m/>
    <m/>
    <m/>
    <m/>
    <m/>
    <m/>
    <m/>
    <m/>
    <m/>
    <m/>
    <m/>
    <n v="17.20386922454054"/>
    <x v="1"/>
    <x v="1"/>
    <x v="1"/>
    <n v="189"/>
    <n v="33"/>
    <n v="0.17460317460317459"/>
    <n v="0.17460317460317459"/>
    <n v="1"/>
  </r>
  <r>
    <n v="1279124995"/>
    <s v="04.976.108/0001-75"/>
    <s v="Sergio Karagulian "/>
    <x v="0"/>
    <s v="Pipebot"/>
    <x v="1253"/>
    <m/>
    <m/>
    <m/>
    <m/>
    <m/>
    <m/>
    <m/>
    <m/>
    <m/>
    <m/>
    <m/>
    <m/>
    <m/>
    <m/>
    <m/>
    <m/>
    <m/>
    <m/>
    <m/>
    <m/>
    <m/>
    <m/>
    <n v="49.079441018518992"/>
    <x v="2"/>
    <x v="3"/>
    <x v="1"/>
    <n v="223"/>
    <n v="147"/>
    <n v="0.65919282511210764"/>
    <n v="0.65919282511210764"/>
    <n v="1"/>
  </r>
  <r>
    <n v="1270720601"/>
    <s v="62.616.904/0001-01"/>
    <s v="STEFANI SOLLA ANDRADE MARTINS"/>
    <x v="0"/>
    <s v="Pipebot"/>
    <x v="1254"/>
    <m/>
    <m/>
    <d v="2026-01-02T18:11:52"/>
    <d v="2026-02-19T12:35:21"/>
    <n v="1.9647920000000001"/>
    <d v="2026-01-07T18:13:09"/>
    <d v="2026-02-18T13:26:23"/>
    <n v="41.800856000000003"/>
    <d v="2026-02-24T13:52:38"/>
    <d v="2026-02-24T13:52:44"/>
    <n v="5.8E-5"/>
    <d v="2026-01-03T18:12:13"/>
    <d v="2026-02-20T13:02:55"/>
    <n v="3.0194100000000001"/>
    <d v="2026-01-05T18:12:38"/>
    <d v="2026-02-24T13:52:38"/>
    <n v="6.0348839999999999"/>
    <m/>
    <m/>
    <m/>
    <m/>
    <m/>
    <n v="69.242379074072232"/>
    <x v="0"/>
    <x v="7"/>
    <x v="0"/>
    <n v="207"/>
    <n v="140"/>
    <n v="0.67632850241545894"/>
    <n v="0.67632850241545894"/>
    <n v="1"/>
  </r>
  <r>
    <n v="1206573965"/>
    <s v="51.330.549/0001-85"/>
    <s v="Sergio Sinzato Junior "/>
    <x v="0"/>
    <s v="Pipebot"/>
    <x v="1255"/>
    <m/>
    <m/>
    <d v="2025-09-16T15:25:25"/>
    <d v="2025-09-17T15:25:57"/>
    <n v="1.00037"/>
    <d v="2025-09-21T15:26:54"/>
    <d v="2025-09-25T13:41:49"/>
    <n v="3.927025"/>
    <m/>
    <m/>
    <m/>
    <d v="2025-09-17T15:25:57"/>
    <d v="2025-09-19T15:26:44"/>
    <n v="2.0005440000000001"/>
    <d v="2025-09-19T15:26:45"/>
    <d v="2025-09-21T15:26:54"/>
    <n v="2.0001039999999999"/>
    <m/>
    <m/>
    <m/>
    <m/>
    <m/>
    <n v="177.35744431711646"/>
    <x v="0"/>
    <x v="4"/>
    <x v="0"/>
    <n v="197"/>
    <n v="149"/>
    <n v="0.75634517766497467"/>
    <n v="0.75634517766497467"/>
    <n v="1"/>
  </r>
  <r>
    <n v="1290573292"/>
    <s v="40.655.145/0001-45"/>
    <s v="Sheila Samara"/>
    <x v="0"/>
    <s v="Pipebot"/>
    <x v="1256"/>
    <m/>
    <m/>
    <d v="2026-02-12T19:07:20"/>
    <d v="2026-02-13T16:01:17"/>
    <n v="0.87079899999999999"/>
    <m/>
    <m/>
    <m/>
    <m/>
    <m/>
    <m/>
    <d v="2026-02-13T16:01:17"/>
    <d v="2026-02-15T16:01:53"/>
    <n v="2.0004050000000002"/>
    <d v="2026-02-15T16:01:53"/>
    <d v="2026-02-20T20:27:55"/>
    <n v="5.1847450000000004"/>
    <m/>
    <m/>
    <m/>
    <m/>
    <m/>
    <n v="28.203476215283445"/>
    <x v="5"/>
    <x v="3"/>
    <x v="1"/>
    <n v="223"/>
    <n v="147"/>
    <n v="0.65919282511210764"/>
    <n v="0.65919282511210764"/>
    <n v="1"/>
  </r>
  <r>
    <n v="1303238162"/>
    <s v="46.108.202/0001-52"/>
    <s v="Sheila Smart Store"/>
    <x v="7"/>
    <s v="Pipebot"/>
    <x v="1257"/>
    <m/>
    <m/>
    <m/>
    <m/>
    <m/>
    <m/>
    <m/>
    <m/>
    <m/>
    <m/>
    <m/>
    <m/>
    <m/>
    <m/>
    <m/>
    <m/>
    <m/>
    <m/>
    <m/>
    <m/>
    <m/>
    <m/>
    <n v="2.204435092593485"/>
    <x v="4"/>
    <x v="1"/>
    <x v="1"/>
    <n v="189"/>
    <n v="33"/>
    <n v="0.17460317460317459"/>
    <n v="0.17460317460317459"/>
    <n v="1"/>
  </r>
  <r>
    <n v="1205062258"/>
    <s v="58.065.998/0001-92"/>
    <s v="Silas Pereira da Luz"/>
    <x v="0"/>
    <s v="Pipebot"/>
    <x v="1258"/>
    <m/>
    <m/>
    <m/>
    <m/>
    <m/>
    <m/>
    <m/>
    <m/>
    <m/>
    <m/>
    <m/>
    <m/>
    <m/>
    <m/>
    <m/>
    <m/>
    <m/>
    <m/>
    <m/>
    <m/>
    <m/>
    <m/>
    <n v="180.35720820602"/>
    <x v="0"/>
    <x v="2"/>
    <x v="0"/>
    <n v="146"/>
    <n v="112"/>
    <n v="0.76712328767123283"/>
    <n v="0.76712328767123283"/>
    <n v="1"/>
  </r>
  <r>
    <n v="1248230413"/>
    <s v="55.510.335/0001-41"/>
    <s v="Silmar Rodrigues Torres"/>
    <x v="0"/>
    <s v="Pipebot"/>
    <x v="1259"/>
    <m/>
    <m/>
    <m/>
    <m/>
    <m/>
    <m/>
    <m/>
    <m/>
    <m/>
    <m/>
    <m/>
    <m/>
    <m/>
    <m/>
    <m/>
    <m/>
    <m/>
    <m/>
    <m/>
    <m/>
    <m/>
    <m/>
    <n v="118.20442702546279"/>
    <x v="0"/>
    <x v="6"/>
    <x v="0"/>
    <n v="195"/>
    <n v="132"/>
    <n v="0.67692307692307696"/>
    <n v="0.67692307692307696"/>
    <n v="1"/>
  </r>
  <r>
    <n v="1258997850"/>
    <s v="63.574.121/0001-67"/>
    <s v="Silvério Cardeliquio"/>
    <x v="5"/>
    <s v="Pipebot"/>
    <x v="1260"/>
    <m/>
    <m/>
    <d v="2025-12-08T22:05:57"/>
    <d v="2026-02-18T13:24:53"/>
    <n v="3.0228700000000002"/>
    <d v="2025-12-13T22:08:37"/>
    <d v="2026-02-16T12:52:51"/>
    <n v="64.614051000000003"/>
    <m/>
    <m/>
    <m/>
    <d v="2025-12-09T22:06:53"/>
    <d v="2026-02-19T12:27:29"/>
    <n v="2.9607640000000002"/>
    <d v="2025-12-11T22:07:48"/>
    <d v="2025-12-13T22:08:37"/>
    <n v="9.3716089999999994"/>
    <m/>
    <m/>
    <m/>
    <m/>
    <m/>
    <n v="94.079403020827158"/>
    <x v="0"/>
    <x v="0"/>
    <x v="0"/>
    <n v="131"/>
    <n v="87"/>
    <n v="0.66412213740458015"/>
    <n v="0.66412213740458015"/>
    <n v="1"/>
  </r>
  <r>
    <n v="1210538877"/>
    <s v="61.452.156/0001-06"/>
    <s v="Silvia Letícia Dutra Melles"/>
    <x v="0"/>
    <s v="Pipebot"/>
    <x v="1261"/>
    <m/>
    <m/>
    <m/>
    <m/>
    <m/>
    <m/>
    <m/>
    <m/>
    <m/>
    <m/>
    <m/>
    <m/>
    <m/>
    <m/>
    <m/>
    <m/>
    <m/>
    <m/>
    <m/>
    <m/>
    <m/>
    <m/>
    <n v="171.14937789351097"/>
    <x v="0"/>
    <x v="4"/>
    <x v="0"/>
    <n v="197"/>
    <n v="149"/>
    <n v="0.75634517766497467"/>
    <n v="0.75634517766497467"/>
    <n v="1"/>
  </r>
  <r>
    <n v="1281257637"/>
    <s v="61.452.156/0001-06"/>
    <s v="Silvia Leticia Dutra Melles (cabo USB) - acionado sofia em 02/02"/>
    <x v="0"/>
    <s v="Pipebot"/>
    <x v="1262"/>
    <m/>
    <m/>
    <d v="2026-01-27T19:08:51"/>
    <d v="2026-01-28T19:09:37"/>
    <n v="1.000521"/>
    <d v="2026-02-01T19:11:00"/>
    <d v="2026-02-09T18:29:35"/>
    <n v="7.9712379999999996"/>
    <m/>
    <m/>
    <m/>
    <d v="2026-01-28T19:09:37"/>
    <d v="2026-01-30T19:10:21"/>
    <n v="2.0005090000000001"/>
    <d v="2026-01-30T19:10:21"/>
    <d v="2026-02-01T19:11:00"/>
    <n v="2.0004400000000002"/>
    <m/>
    <m/>
    <m/>
    <m/>
    <m/>
    <n v="44.202904895842948"/>
    <x v="2"/>
    <x v="3"/>
    <x v="1"/>
    <n v="223"/>
    <n v="147"/>
    <n v="0.65919282511210764"/>
    <n v="0.65919282511210764"/>
    <n v="1"/>
  </r>
  <r>
    <n v="1254680227"/>
    <s v="61.726.273/0001-02"/>
    <s v="Silvio César dos Santos Piovesane"/>
    <x v="0"/>
    <s v="Pipebot"/>
    <x v="1263"/>
    <m/>
    <m/>
    <d v="2025-11-27T22:05:51"/>
    <d v="2025-11-28T22:06:46"/>
    <n v="1.000637"/>
    <d v="2025-12-02T22:08:07"/>
    <d v="2026-01-12T16:37:33"/>
    <n v="40.770428000000003"/>
    <m/>
    <m/>
    <m/>
    <d v="2025-11-28T22:06:46"/>
    <d v="2025-11-30T22:07:42"/>
    <n v="2.0006370000000002"/>
    <d v="2025-11-30T22:07:42"/>
    <d v="2025-12-02T22:08:07"/>
    <n v="2.000289"/>
    <m/>
    <m/>
    <m/>
    <m/>
    <m/>
    <n v="105.07992074073991"/>
    <x v="0"/>
    <x v="0"/>
    <x v="0"/>
    <n v="131"/>
    <n v="87"/>
    <n v="0.66412213740458015"/>
    <n v="0.66412213740458015"/>
    <n v="1"/>
  </r>
  <r>
    <n v="1229141477"/>
    <s v="61.726.273/0001-02"/>
    <s v="Silvio Cesar dos Santos Piovesane"/>
    <x v="8"/>
    <s v="Pipebot"/>
    <x v="1264"/>
    <m/>
    <m/>
    <m/>
    <m/>
    <m/>
    <d v="2025-10-17T19:53:26"/>
    <d v="2025-10-29T19:45:07"/>
    <n v="11.994213"/>
    <m/>
    <m/>
    <m/>
    <m/>
    <m/>
    <m/>
    <m/>
    <m/>
    <m/>
    <m/>
    <m/>
    <m/>
    <m/>
    <m/>
    <n v="143.14884890046233"/>
    <x v="0"/>
    <x v="6"/>
    <x v="0"/>
    <n v="195"/>
    <n v="132"/>
    <n v="0.67692307692307696"/>
    <n v="0.67692307692307696"/>
    <n v="1"/>
  </r>
  <r>
    <n v="1270510614"/>
    <s v="51.782.507/0003-47"/>
    <s v="Stevanato &amp; Trevisan comércio de alimentos Ltda"/>
    <x v="0"/>
    <s v="Pipebot"/>
    <x v="1265"/>
    <m/>
    <m/>
    <d v="2026-01-02T13:58:54"/>
    <d v="2026-01-03T13:59:14"/>
    <n v="1.0002310000000001"/>
    <d v="2026-01-07T14:01:17"/>
    <d v="2026-01-12T13:56:45"/>
    <n v="4.9968519999999996"/>
    <m/>
    <m/>
    <m/>
    <d v="2026-01-03T13:59:14"/>
    <d v="2026-01-05T14:00:13"/>
    <n v="2.0006710000000001"/>
    <d v="2026-01-05T14:00:13"/>
    <d v="2026-01-07T14:01:17"/>
    <n v="2.0007290000000002"/>
    <m/>
    <m/>
    <m/>
    <m/>
    <m/>
    <n v="69.417584050926962"/>
    <x v="0"/>
    <x v="7"/>
    <x v="0"/>
    <n v="207"/>
    <n v="140"/>
    <n v="0.67632850241545894"/>
    <n v="0.67632850241545894"/>
    <n v="1"/>
  </r>
  <r>
    <n v="1254000794"/>
    <s v="61.726.273/0001-02"/>
    <s v="Silvio César dos Santos Piovesane"/>
    <x v="0"/>
    <s v="Pipebot"/>
    <x v="1266"/>
    <m/>
    <m/>
    <d v="2025-11-26T19:06:06"/>
    <d v="2025-11-27T19:06:25"/>
    <n v="1.0002200000000001"/>
    <d v="2025-12-01T19:07:57"/>
    <d v="2025-12-10T16:59:48"/>
    <n v="8.9109949999999998"/>
    <m/>
    <m/>
    <m/>
    <d v="2025-11-27T19:06:25"/>
    <d v="2025-11-29T19:07:10"/>
    <n v="2.0005090000000001"/>
    <d v="2025-11-29T19:07:10"/>
    <d v="2025-12-01T19:07:57"/>
    <n v="2.0005320000000002"/>
    <m/>
    <m/>
    <m/>
    <m/>
    <m/>
    <n v="106.20420587962872"/>
    <x v="0"/>
    <x v="0"/>
    <x v="0"/>
    <n v="131"/>
    <n v="87"/>
    <n v="0.66412213740458015"/>
    <n v="0.66412213740458015"/>
    <n v="1"/>
  </r>
  <r>
    <n v="1298847528"/>
    <s v="61.726.273/0001-02"/>
    <s v="Silvio César dos Santos Piovesane"/>
    <x v="7"/>
    <s v="Pipebot"/>
    <x v="1267"/>
    <m/>
    <m/>
    <m/>
    <m/>
    <m/>
    <m/>
    <m/>
    <m/>
    <m/>
    <m/>
    <m/>
    <m/>
    <m/>
    <m/>
    <m/>
    <m/>
    <m/>
    <m/>
    <m/>
    <m/>
    <m/>
    <m/>
    <n v="8.371068819440552"/>
    <x v="4"/>
    <x v="1"/>
    <x v="1"/>
    <n v="189"/>
    <n v="33"/>
    <n v="0.17460317460317459"/>
    <n v="0.17460317460317459"/>
    <n v="1"/>
  </r>
  <r>
    <n v="1278699369"/>
    <s v="61.726.273/0001-02"/>
    <s v="Silvio César dos Santos Piovesane - maquina (acionado 09/02 gabi) - (CONTATO: FERNANDA)"/>
    <x v="5"/>
    <s v="Pipebot"/>
    <x v="1268"/>
    <m/>
    <m/>
    <d v="2026-01-22T13:20:44"/>
    <d v="2026-02-19T12:36:02"/>
    <n v="1.96478"/>
    <d v="2026-01-27T13:23:00"/>
    <d v="2026-02-18T13:27:44"/>
    <n v="22.003287"/>
    <m/>
    <m/>
    <m/>
    <d v="2026-01-23T13:21:44"/>
    <d v="2026-02-20T16:50:16"/>
    <n v="3.176968"/>
    <d v="2026-01-25T13:22:20"/>
    <d v="2026-01-27T13:23:00"/>
    <n v="8.1890049999999999"/>
    <m/>
    <m/>
    <m/>
    <m/>
    <m/>
    <n v="49.444358344902867"/>
    <x v="2"/>
    <x v="3"/>
    <x v="1"/>
    <n v="223"/>
    <n v="147"/>
    <n v="0.65919282511210764"/>
    <n v="0.65919282511210764"/>
    <n v="1"/>
  </r>
  <r>
    <n v="1284620539"/>
    <s v="50.478.554/0001-77"/>
    <s v="Simone"/>
    <x v="0"/>
    <s v="Pipebot"/>
    <x v="1269"/>
    <m/>
    <m/>
    <m/>
    <m/>
    <m/>
    <m/>
    <m/>
    <m/>
    <m/>
    <m/>
    <m/>
    <m/>
    <m/>
    <m/>
    <m/>
    <m/>
    <m/>
    <m/>
    <m/>
    <m/>
    <m/>
    <m/>
    <n v="37.204770590280532"/>
    <x v="2"/>
    <x v="3"/>
    <x v="1"/>
    <n v="223"/>
    <n v="147"/>
    <n v="0.65919282511210764"/>
    <n v="0.65919282511210764"/>
    <n v="1"/>
  </r>
  <r>
    <n v="1232074880"/>
    <s v="60.993.877/0001-52"/>
    <s v="Simone de Souza zanellatto"/>
    <x v="5"/>
    <s v="Pipebot"/>
    <x v="1270"/>
    <m/>
    <m/>
    <d v="2025-10-24T15:25:41"/>
    <d v="2026-02-13T16:00:56"/>
    <n v="2.1466669999999999"/>
    <d v="2025-10-29T15:26:37"/>
    <d v="2026-02-12T12:29:54"/>
    <n v="105.87728"/>
    <m/>
    <m/>
    <m/>
    <d v="2025-10-25T15:25:52"/>
    <d v="2026-02-16T12:49:15"/>
    <n v="4.8669789999999997"/>
    <d v="2025-10-27T15:26:00"/>
    <d v="2025-10-29T15:26:37"/>
    <n v="12.356343000000001"/>
    <m/>
    <m/>
    <m/>
    <m/>
    <m/>
    <n v="139.35740827545669"/>
    <x v="0"/>
    <x v="6"/>
    <x v="0"/>
    <n v="195"/>
    <n v="132"/>
    <n v="0.67692307692307696"/>
    <n v="0.67692307692307696"/>
    <n v="1"/>
  </r>
  <r>
    <n v="1289704191"/>
    <s v="57.419.415/0001-11"/>
    <s v="Simone Vieira de Almeida Silva "/>
    <x v="0"/>
    <s v="Pipebot"/>
    <x v="1271"/>
    <m/>
    <m/>
    <d v="2026-02-11T19:04:57"/>
    <d v="2026-02-20T20:18:00"/>
    <n v="0.20799799999999999"/>
    <d v="2026-02-11T20:44:57"/>
    <d v="2026-02-20T16:58:28"/>
    <n v="8.842708"/>
    <m/>
    <m/>
    <m/>
    <m/>
    <m/>
    <m/>
    <m/>
    <m/>
    <m/>
    <m/>
    <m/>
    <m/>
    <m/>
    <m/>
    <n v="29.205094999997527"/>
    <x v="5"/>
    <x v="3"/>
    <x v="1"/>
    <n v="223"/>
    <n v="147"/>
    <n v="0.65919282511210764"/>
    <n v="0.65919282511210764"/>
    <n v="1"/>
  </r>
  <r>
    <n v="1289298804"/>
    <s v="61.758.586/0001-42"/>
    <s v="Sinval Peixoto Orrico da Silva Neto"/>
    <x v="0"/>
    <s v="Pipebot"/>
    <x v="1272"/>
    <m/>
    <m/>
    <d v="2026-02-11T13:05:07"/>
    <d v="2026-02-11T20:44:55"/>
    <n v="0.31930599999999998"/>
    <d v="2026-02-11T20:44:55"/>
    <d v="2026-02-12T20:14:39"/>
    <n v="0.97897000000000001"/>
    <m/>
    <m/>
    <m/>
    <m/>
    <m/>
    <m/>
    <m/>
    <m/>
    <m/>
    <m/>
    <m/>
    <m/>
    <m/>
    <m/>
    <n v="29.455432395829121"/>
    <x v="5"/>
    <x v="3"/>
    <x v="1"/>
    <n v="223"/>
    <n v="147"/>
    <n v="0.65919282511210764"/>
    <n v="0.65919282511210764"/>
    <n v="1"/>
  </r>
  <r>
    <n v="1295384230"/>
    <s v="42.991.706/0001-02"/>
    <s v="SIVONALDO BERNARDINO DA SILVA"/>
    <x v="5"/>
    <s v="Pipebot"/>
    <x v="1273"/>
    <m/>
    <m/>
    <d v="2026-02-23T19:06:47"/>
    <d v="2026-02-24T19:07:08"/>
    <n v="1.0002310000000001"/>
    <m/>
    <m/>
    <m/>
    <m/>
    <m/>
    <m/>
    <d v="2026-02-24T19:07:08"/>
    <d v="2026-02-26T19:07:37"/>
    <n v="2.0003359999999999"/>
    <d v="2026-02-26T19:07:37"/>
    <m/>
    <n v="9.3171000000000004E-2"/>
    <m/>
    <m/>
    <m/>
    <m/>
    <m/>
    <n v="17.204042604156712"/>
    <x v="1"/>
    <x v="1"/>
    <x v="1"/>
    <n v="189"/>
    <n v="33"/>
    <n v="0.17460317460317459"/>
    <n v="0.17460317460317459"/>
    <n v="1"/>
  </r>
  <r>
    <n v="1183425390"/>
    <s v="60.232.871/0001-62"/>
    <s v="SL MARKET EM CONDOMÍNIOS "/>
    <x v="5"/>
    <s v="Pipebot"/>
    <x v="1274"/>
    <m/>
    <m/>
    <d v="2025-08-08T20:30:00"/>
    <d v="2026-02-12T12:25:37"/>
    <n v="1.6459029999999999"/>
    <d v="2025-08-13T20:32:08"/>
    <d v="2026-02-11T20:56:09"/>
    <n v="182.01666700000001"/>
    <m/>
    <m/>
    <m/>
    <d v="2025-08-09T20:30:39"/>
    <d v="2026-02-13T15:59:31"/>
    <n v="3.1492249999999999"/>
    <d v="2025-08-11T20:31:39"/>
    <d v="2025-08-13T20:32:08"/>
    <n v="15.224132000000001"/>
    <m/>
    <m/>
    <m/>
    <m/>
    <m/>
    <n v="216.14701380787301"/>
    <x v="0"/>
    <x v="5"/>
    <x v="0"/>
    <n v="177"/>
    <n v="130"/>
    <n v="0.7344632768361582"/>
    <n v="0.7344632768361582"/>
    <n v="1"/>
  </r>
  <r>
    <n v="1254442107"/>
    <s v="46.108.202/0001-52"/>
    <s v="Smart Auto comercio"/>
    <x v="0"/>
    <s v="Pipebot"/>
    <x v="1275"/>
    <m/>
    <m/>
    <d v="2025-11-27T15:05:32"/>
    <d v="2025-11-28T15:06:15"/>
    <n v="1.0004980000000001"/>
    <d v="2025-12-02T15:06:37"/>
    <d v="2025-12-10T16:52:01"/>
    <n v="8.0731940000000009"/>
    <m/>
    <m/>
    <m/>
    <d v="2025-11-28T15:06:15"/>
    <d v="2025-11-30T15:06:27"/>
    <n v="2.0001389999999999"/>
    <d v="2025-11-30T15:06:27"/>
    <d v="2025-12-02T15:06:37"/>
    <n v="2.0001039999999999"/>
    <m/>
    <m/>
    <m/>
    <m/>
    <m/>
    <n v="105.37180261573667"/>
    <x v="0"/>
    <x v="0"/>
    <x v="0"/>
    <n v="131"/>
    <n v="87"/>
    <n v="0.66412213740458015"/>
    <n v="0.66412213740458015"/>
    <n v="1"/>
  </r>
  <r>
    <n v="1249085260"/>
    <s v="43.674.690/0001-77"/>
    <s v="Smart bodega ltda "/>
    <x v="5"/>
    <s v="Pipebot"/>
    <x v="1276"/>
    <m/>
    <m/>
    <d v="2025-11-17T19:03:39"/>
    <d v="2026-02-16T12:51:21"/>
    <n v="3.8680789999999998"/>
    <d v="2025-11-22T19:05:40"/>
    <d v="2026-02-13T16:02:17"/>
    <n v="82.872639000000007"/>
    <m/>
    <m/>
    <m/>
    <d v="2025-11-18T19:04:38"/>
    <d v="2026-02-18T13:21:15"/>
    <n v="4.0213190000000001"/>
    <d v="2025-11-20T19:05:26"/>
    <d v="2025-11-22T19:05:40"/>
    <n v="10.333866"/>
    <m/>
    <m/>
    <m/>
    <m/>
    <m/>
    <n v="115.20597290510341"/>
    <x v="0"/>
    <x v="0"/>
    <x v="0"/>
    <n v="131"/>
    <n v="87"/>
    <n v="0.66412213740458015"/>
    <n v="0.66412213740458015"/>
    <n v="1"/>
  </r>
  <r>
    <n v="1286721527"/>
    <s v="44.444.952/0001-70"/>
    <s v="Smart Café"/>
    <x v="0"/>
    <s v="Pipebot"/>
    <x v="1277"/>
    <m/>
    <m/>
    <d v="2026-02-06T19:07:26"/>
    <d v="2026-02-07T19:08:18"/>
    <n v="1.0005900000000001"/>
    <m/>
    <m/>
    <m/>
    <m/>
    <m/>
    <m/>
    <d v="2026-02-07T19:08:18"/>
    <d v="2026-02-09T18:48:57"/>
    <n v="1.9865630000000001"/>
    <m/>
    <m/>
    <m/>
    <m/>
    <m/>
    <m/>
    <m/>
    <m/>
    <n v="34.203449629632814"/>
    <x v="2"/>
    <x v="3"/>
    <x v="1"/>
    <n v="223"/>
    <n v="147"/>
    <n v="0.65919282511210764"/>
    <n v="0.65919282511210764"/>
    <n v="1"/>
  </r>
  <r>
    <n v="1225193099"/>
    <s v="46.327.306/0001-58"/>
    <s v="Smart Store Apucarana Ltda"/>
    <x v="0"/>
    <s v="Pipebot"/>
    <x v="1278"/>
    <m/>
    <m/>
    <d v="2025-10-09T18:10:57"/>
    <d v="2025-10-09T18:10:59"/>
    <n v="2.3E-5"/>
    <m/>
    <m/>
    <m/>
    <m/>
    <m/>
    <m/>
    <m/>
    <m/>
    <m/>
    <m/>
    <m/>
    <m/>
    <m/>
    <m/>
    <m/>
    <m/>
    <m/>
    <n v="148.35730664352013"/>
    <x v="0"/>
    <x v="6"/>
    <x v="0"/>
    <n v="195"/>
    <n v="132"/>
    <n v="0.67692307692307696"/>
    <n v="0.67692307692307696"/>
    <n v="1"/>
  </r>
  <r>
    <n v="1185104679"/>
    <s v="54.708.799/0001-02"/>
    <s v="SMARTSTORE ASSIS"/>
    <x v="0"/>
    <s v="Vinícius Melesque dos Santos"/>
    <x v="1279"/>
    <m/>
    <m/>
    <m/>
    <m/>
    <m/>
    <m/>
    <m/>
    <m/>
    <m/>
    <m/>
    <m/>
    <m/>
    <m/>
    <m/>
    <m/>
    <m/>
    <m/>
    <m/>
    <m/>
    <m/>
    <m/>
    <m/>
    <n v="212.40332079860673"/>
    <x v="0"/>
    <x v="5"/>
    <x v="0"/>
    <n v="177"/>
    <n v="130"/>
    <n v="0.7344632768361582"/>
    <n v="0.7344632768361582"/>
    <n v="1"/>
  </r>
  <r>
    <n v="1298260941"/>
    <s v="37.502.560/0001-54_x000a__x000a_"/>
    <s v="SMARTSTORE COMERCIO E LICENCIAMENTO"/>
    <x v="0"/>
    <s v="Samuel Alexandre Bittencourt Vieira "/>
    <x v="1280"/>
    <m/>
    <m/>
    <m/>
    <m/>
    <m/>
    <m/>
    <m/>
    <m/>
    <m/>
    <m/>
    <m/>
    <m/>
    <m/>
    <m/>
    <m/>
    <m/>
    <m/>
    <m/>
    <m/>
    <m/>
    <m/>
    <m/>
    <n v="10.427180243059411"/>
    <x v="4"/>
    <x v="1"/>
    <x v="1"/>
    <n v="189"/>
    <n v="33"/>
    <n v="0.17460317460317459"/>
    <n v="0.17460317460317459"/>
    <n v="1"/>
  </r>
  <r>
    <n v="1186589348"/>
    <s v="42.334.311/0001-37"/>
    <s v="SmartStore Rio Claro"/>
    <x v="8"/>
    <s v="Pipebot"/>
    <x v="1281"/>
    <m/>
    <m/>
    <d v="2025-08-14T20:26:51"/>
    <d v="2025-08-15T20:27:34"/>
    <n v="1.0004980000000001"/>
    <d v="2025-08-19T20:29:05"/>
    <d v="2025-10-29T19:45:09"/>
    <n v="70.969491000000005"/>
    <m/>
    <m/>
    <m/>
    <d v="2025-08-15T20:27:34"/>
    <d v="2025-08-17T20:27:54"/>
    <n v="2.0002309999999999"/>
    <d v="2025-08-17T20:27:54"/>
    <d v="2025-08-19T20:29:05"/>
    <n v="2.00081"/>
    <m/>
    <m/>
    <m/>
    <m/>
    <m/>
    <n v="210.14827069443709"/>
    <x v="0"/>
    <x v="5"/>
    <x v="0"/>
    <n v="177"/>
    <n v="130"/>
    <n v="0.7344632768361582"/>
    <n v="0.7344632768361582"/>
    <n v="1"/>
  </r>
  <r>
    <n v="1189844829"/>
    <s v="57.776.517/0001-94"/>
    <s v="SmartStore Serra Gaúcha"/>
    <x v="0"/>
    <s v="Pipebot"/>
    <x v="1282"/>
    <m/>
    <m/>
    <m/>
    <m/>
    <m/>
    <m/>
    <m/>
    <m/>
    <m/>
    <m/>
    <m/>
    <m/>
    <m/>
    <m/>
    <m/>
    <m/>
    <m/>
    <m/>
    <m/>
    <m/>
    <m/>
    <m/>
    <n v="204.14957746527944"/>
    <x v="0"/>
    <x v="2"/>
    <x v="0"/>
    <n v="146"/>
    <n v="112"/>
    <n v="0.76712328767123283"/>
    <n v="0.76712328767123283"/>
    <n v="1"/>
  </r>
  <r>
    <n v="1185129593"/>
    <s v="57.776.517/0001-94"/>
    <s v="SmartStore Serra Gaúcha"/>
    <x v="5"/>
    <s v="Pipebot"/>
    <x v="1283"/>
    <m/>
    <m/>
    <d v="2025-08-12T14:53:42"/>
    <d v="2026-02-12T12:25:38"/>
    <n v="1.645729"/>
    <d v="2025-08-15T16:22:41"/>
    <d v="2026-02-11T20:56:10"/>
    <n v="180.189919"/>
    <m/>
    <m/>
    <m/>
    <d v="2025-08-13T14:54:05"/>
    <d v="2026-02-13T15:59:32"/>
    <n v="3.1487039999999999"/>
    <d v="2025-08-15T14:54:20"/>
    <d v="2025-08-15T16:20:35"/>
    <n v="13.283681"/>
    <m/>
    <m/>
    <m/>
    <m/>
    <m/>
    <n v="212.37980226852233"/>
    <x v="0"/>
    <x v="5"/>
    <x v="0"/>
    <n v="177"/>
    <n v="130"/>
    <n v="0.7344632768361582"/>
    <n v="0.7344632768361582"/>
    <n v="1"/>
  </r>
  <r>
    <n v="1188128637"/>
    <s v="47.010.135/0001-00"/>
    <s v="Snack Garage "/>
    <x v="0"/>
    <s v="Pipebot"/>
    <x v="1284"/>
    <m/>
    <m/>
    <m/>
    <m/>
    <m/>
    <m/>
    <m/>
    <m/>
    <m/>
    <m/>
    <m/>
    <m/>
    <m/>
    <m/>
    <m/>
    <m/>
    <m/>
    <m/>
    <m/>
    <m/>
    <m/>
    <m/>
    <n v="206.35771289350669"/>
    <x v="0"/>
    <x v="2"/>
    <x v="0"/>
    <n v="146"/>
    <n v="112"/>
    <n v="0.76712328767123283"/>
    <n v="0.76712328767123283"/>
    <n v="1"/>
  </r>
  <r>
    <n v="1284983897"/>
    <s v="13.776.437/0001-63"/>
    <s v="Sofia de Diego (adaptador e leitor) - acionado Sofia 09/02 (comentários)"/>
    <x v="5"/>
    <s v="Pipebot"/>
    <x v="1285"/>
    <m/>
    <m/>
    <d v="2026-02-04T13:04:09"/>
    <d v="2026-02-20T16:52:12"/>
    <n v="2.1741440000000001"/>
    <d v="2026-02-09T13:05:31"/>
    <d v="2026-02-19T12:42:05"/>
    <n v="9.9837150000000001"/>
    <m/>
    <m/>
    <m/>
    <d v="2026-02-05T13:04:48"/>
    <d v="2026-02-23T13:32:47"/>
    <n v="4.8618519999999998"/>
    <d v="2026-02-07T13:05:17"/>
    <d v="2026-02-09T13:05:31"/>
    <n v="5.3258330000000003"/>
    <m/>
    <m/>
    <m/>
    <m/>
    <m/>
    <n v="36.455999768520996"/>
    <x v="2"/>
    <x v="3"/>
    <x v="1"/>
    <n v="223"/>
    <n v="147"/>
    <n v="0.65919282511210764"/>
    <n v="0.65919282511210764"/>
    <n v="1"/>
  </r>
  <r>
    <n v="1187232109"/>
    <s v="30.020.715/0001-77"/>
    <s v="Solange Aguiar de Souza"/>
    <x v="0"/>
    <s v="Pipebot"/>
    <x v="1286"/>
    <m/>
    <m/>
    <d v="2025-08-15T20:26:31"/>
    <d v="2025-08-16T20:27:04"/>
    <n v="1.0003820000000001"/>
    <m/>
    <m/>
    <m/>
    <m/>
    <m/>
    <m/>
    <d v="2025-08-16T20:27:04"/>
    <d v="2025-08-18T20:28:09"/>
    <n v="2.0007410000000001"/>
    <d v="2025-08-18T20:28:09"/>
    <d v="2025-08-19T12:01:46"/>
    <n v="0.64833300000000005"/>
    <m/>
    <m/>
    <m/>
    <m/>
    <m/>
    <n v="209.14882278935693"/>
    <x v="0"/>
    <x v="2"/>
    <x v="0"/>
    <n v="146"/>
    <n v="112"/>
    <n v="0.76712328767123283"/>
    <n v="0.76712328767123283"/>
    <n v="1"/>
  </r>
  <r>
    <n v="1264758557"/>
    <s v="25.316.405/0001-64"/>
    <s v="Sthefany Karen Muniz Queiroz Araujo "/>
    <x v="0"/>
    <s v="Pipebot"/>
    <x v="1287"/>
    <m/>
    <m/>
    <d v="2025-12-19T19:10:32"/>
    <d v="2025-12-20T19:11:07"/>
    <n v="1.000405"/>
    <d v="2025-12-24T19:11:53"/>
    <d v="2026-02-03T19:45:23"/>
    <n v="41.023263999999998"/>
    <m/>
    <m/>
    <m/>
    <d v="2025-12-20T19:11:07"/>
    <d v="2025-12-22T19:11:16"/>
    <n v="2.0000930000000001"/>
    <d v="2025-12-22T19:11:16"/>
    <d v="2025-12-24T19:11:53"/>
    <n v="2.0004279999999999"/>
    <m/>
    <m/>
    <m/>
    <m/>
    <m/>
    <n v="83.201182476863323"/>
    <x v="0"/>
    <x v="7"/>
    <x v="0"/>
    <n v="207"/>
    <n v="140"/>
    <n v="0.67632850241545894"/>
    <n v="0.67632850241545894"/>
    <n v="1"/>
  </r>
  <r>
    <n v="1217449674"/>
    <s v="48.940.890/0001-48"/>
    <s v="Soma Suplementos"/>
    <x v="0"/>
    <s v="Pipebot"/>
    <x v="1288"/>
    <m/>
    <m/>
    <d v="2025-10-03T20:24:46"/>
    <d v="2025-10-04T20:25:30"/>
    <n v="1.0004980000000001"/>
    <m/>
    <m/>
    <m/>
    <m/>
    <m/>
    <m/>
    <d v="2025-10-04T20:25:30"/>
    <d v="2025-10-06T20:25:40"/>
    <n v="2.0001159999999998"/>
    <d v="2025-10-06T20:25:40"/>
    <d v="2025-10-07T20:32:33"/>
    <n v="1.00478"/>
    <m/>
    <m/>
    <m/>
    <m/>
    <m/>
    <n v="160.14968100695114"/>
    <x v="0"/>
    <x v="4"/>
    <x v="0"/>
    <n v="197"/>
    <n v="149"/>
    <n v="0.75634517766497467"/>
    <n v="0.75634517766497467"/>
    <n v="1"/>
  </r>
  <r>
    <n v="1173790727"/>
    <s v="57.860.164/0001-06"/>
    <s v="Sônia Maria Time"/>
    <x v="0"/>
    <s v="Pipebot"/>
    <x v="1289"/>
    <m/>
    <m/>
    <m/>
    <m/>
    <m/>
    <m/>
    <m/>
    <m/>
    <m/>
    <m/>
    <m/>
    <m/>
    <m/>
    <m/>
    <m/>
    <m/>
    <m/>
    <m/>
    <m/>
    <m/>
    <m/>
    <m/>
    <n v="232.14896465277707"/>
    <x v="0"/>
    <x v="5"/>
    <x v="0"/>
    <n v="177"/>
    <n v="130"/>
    <n v="0.7344632768361582"/>
    <n v="0.7344632768361582"/>
    <n v="1"/>
  </r>
  <r>
    <n v="1267299202"/>
    <s v="38.193.791/0001-96"/>
    <s v="Super Box Minimercado"/>
    <x v="5"/>
    <s v="Pipebot"/>
    <x v="1290"/>
    <m/>
    <m/>
    <d v="2025-12-25T22:02:35"/>
    <d v="2026-02-18T13:25:25"/>
    <n v="3.0224069999999998"/>
    <d v="2025-12-30T22:03:59"/>
    <d v="2026-02-16T12:53:33"/>
    <n v="47.617742999999997"/>
    <m/>
    <m/>
    <m/>
    <d v="2025-12-26T22:02:59"/>
    <d v="2026-02-19T12:28:06"/>
    <n v="2.960521"/>
    <d v="2025-12-28T22:03:28"/>
    <d v="2025-12-30T22:03:59"/>
    <n v="9.3709609999999994"/>
    <m/>
    <m/>
    <m/>
    <m/>
    <m/>
    <n v="77.081659791670972"/>
    <x v="0"/>
    <x v="7"/>
    <x v="0"/>
    <n v="207"/>
    <n v="140"/>
    <n v="0.67632850241545894"/>
    <n v="0.67632850241545894"/>
    <n v="1"/>
  </r>
  <r>
    <n v="1213257243"/>
    <s v="48.940.890/0001-48"/>
    <s v="Souza e Machado Suplementos LTDA Soma Suplementos"/>
    <x v="0"/>
    <s v="Pipebot"/>
    <x v="1291"/>
    <m/>
    <m/>
    <d v="2025-09-26T15:24:09"/>
    <d v="2025-09-27T15:24:48"/>
    <n v="1.000451"/>
    <d v="2025-10-01T15:26:30"/>
    <d v="2025-10-07T20:25:33"/>
    <n v="6.2076739999999999"/>
    <m/>
    <m/>
    <m/>
    <d v="2025-09-27T15:24:48"/>
    <d v="2025-09-29T15:25:43"/>
    <n v="2.0006249999999999"/>
    <d v="2025-09-29T15:25:43"/>
    <d v="2025-10-01T15:26:30"/>
    <n v="2.0005320000000002"/>
    <m/>
    <m/>
    <m/>
    <m/>
    <m/>
    <n v="167.35876932869724"/>
    <x v="0"/>
    <x v="4"/>
    <x v="0"/>
    <n v="197"/>
    <n v="149"/>
    <n v="0.75634517766497467"/>
    <n v="0.75634517766497467"/>
    <n v="1"/>
  </r>
  <r>
    <n v="1300140751"/>
    <s v="18.069.936/0001-34"/>
    <s v="Speedmaster"/>
    <x v="7"/>
    <s v="Pipebot"/>
    <x v="1292"/>
    <m/>
    <m/>
    <m/>
    <m/>
    <m/>
    <m/>
    <m/>
    <m/>
    <m/>
    <m/>
    <m/>
    <m/>
    <m/>
    <m/>
    <m/>
    <m/>
    <m/>
    <m/>
    <m/>
    <m/>
    <m/>
    <m/>
    <n v="6.454444421302469"/>
    <x v="4"/>
    <x v="1"/>
    <x v="1"/>
    <n v="189"/>
    <n v="33"/>
    <n v="0.17460317460317459"/>
    <n v="0.17460317460317459"/>
    <n v="1"/>
  </r>
  <r>
    <n v="1210539024"/>
    <s v="57.033.794/0001-07"/>
    <s v="ST MARKET LTDA"/>
    <x v="3"/>
    <s v="Pipebot"/>
    <x v="1293"/>
    <m/>
    <m/>
    <d v="2025-09-22T20:25:49"/>
    <d v="2026-02-16T12:51:10"/>
    <n v="3.8725580000000002"/>
    <d v="2025-09-27T20:26:49"/>
    <d v="2026-02-13T16:02:05"/>
    <n v="138.811238"/>
    <m/>
    <m/>
    <m/>
    <d v="2025-09-23T20:26:10"/>
    <d v="2026-02-18T13:20:59"/>
    <n v="4.0209260000000002"/>
    <d v="2025-09-25T20:26:29"/>
    <d v="2026-02-18T18:25:03"/>
    <n v="2.2113770000000001"/>
    <m/>
    <m/>
    <m/>
    <m/>
    <m/>
    <n v="171.14927508102119"/>
    <x v="0"/>
    <x v="4"/>
    <x v="0"/>
    <n v="197"/>
    <n v="149"/>
    <n v="0.75634517766497467"/>
    <n v="0.75634517766497467"/>
    <n v="1"/>
  </r>
  <r>
    <n v="1298847601"/>
    <s v="57.033.794/0001-07"/>
    <s v="ST MARKET LTDA"/>
    <x v="7"/>
    <s v="Pipebot"/>
    <x v="1294"/>
    <m/>
    <m/>
    <m/>
    <m/>
    <m/>
    <m/>
    <m/>
    <m/>
    <m/>
    <m/>
    <m/>
    <m/>
    <m/>
    <m/>
    <m/>
    <m/>
    <m/>
    <m/>
    <m/>
    <m/>
    <m/>
    <m/>
    <n v="8.3709333680599229"/>
    <x v="4"/>
    <x v="1"/>
    <x v="1"/>
    <n v="189"/>
    <n v="33"/>
    <n v="0.17460317460317459"/>
    <n v="0.17460317460317459"/>
    <n v="1"/>
  </r>
  <r>
    <n v="1219402519"/>
    <s v="46.139.577/0001-80"/>
    <s v="St micromarket comércio ltda"/>
    <x v="0"/>
    <s v="Pipebot"/>
    <x v="1295"/>
    <m/>
    <m/>
    <d v="2025-10-06T20:26:38"/>
    <d v="2025-10-07T20:27:27"/>
    <n v="1.000567"/>
    <d v="2025-10-11T20:28:46"/>
    <d v="2025-10-13T17:41:31"/>
    <n v="1.8838429999999999"/>
    <m/>
    <m/>
    <m/>
    <d v="2025-10-07T20:27:27"/>
    <d v="2025-10-09T20:28:04"/>
    <n v="2.0004170000000001"/>
    <d v="2025-10-09T20:28:04"/>
    <d v="2025-10-11T20:28:46"/>
    <n v="2.000486"/>
    <m/>
    <m/>
    <m/>
    <m/>
    <m/>
    <n v="157.14825953703257"/>
    <x v="0"/>
    <x v="4"/>
    <x v="0"/>
    <n v="197"/>
    <n v="149"/>
    <n v="0.75634517766497467"/>
    <n v="0.75634517766497467"/>
    <n v="1"/>
  </r>
  <r>
    <n v="1219402031"/>
    <s v="46.139.577/0001-80"/>
    <s v="St micromarket comércio ltda"/>
    <x v="0"/>
    <s v="Pipebot"/>
    <x v="1296"/>
    <m/>
    <m/>
    <d v="2025-10-06T20:26:38"/>
    <d v="2025-10-06T20:36:07"/>
    <n v="6.574E-3"/>
    <m/>
    <m/>
    <m/>
    <m/>
    <m/>
    <m/>
    <m/>
    <m/>
    <m/>
    <m/>
    <m/>
    <m/>
    <m/>
    <m/>
    <m/>
    <m/>
    <m/>
    <n v="157.14870581019204"/>
    <x v="0"/>
    <x v="4"/>
    <x v="0"/>
    <n v="197"/>
    <n v="149"/>
    <n v="0.75634517766497467"/>
    <n v="0.75634517766497467"/>
    <n v="1"/>
  </r>
  <r>
    <n v="1268740523"/>
    <s v="59.916.151/0001-37"/>
    <s v="TATIANE BARBOSA DA SILVA "/>
    <x v="0"/>
    <s v="Pipebot"/>
    <x v="1297"/>
    <m/>
    <m/>
    <d v="2025-12-29T22:07:20"/>
    <d v="2025-12-30T22:07:59"/>
    <n v="1.00044"/>
    <d v="2026-01-03T22:09:11"/>
    <d v="2026-01-09T13:18:15"/>
    <n v="5.6312959999999999"/>
    <m/>
    <m/>
    <m/>
    <d v="2025-12-30T22:07:59"/>
    <d v="2026-01-01T22:08:37"/>
    <n v="2.0004279999999999"/>
    <d v="2026-01-01T22:08:37"/>
    <d v="2026-01-03T22:09:11"/>
    <n v="2.000394"/>
    <m/>
    <m/>
    <m/>
    <m/>
    <m/>
    <n v="73.078866620373446"/>
    <x v="0"/>
    <x v="7"/>
    <x v="0"/>
    <n v="207"/>
    <n v="140"/>
    <n v="0.67632850241545894"/>
    <n v="0.67632850241545894"/>
    <n v="1"/>
  </r>
  <r>
    <n v="1220715079"/>
    <s v="62.616.904/0001-01"/>
    <s v="Stefani solla andrade martins"/>
    <x v="0"/>
    <s v="Pipebot"/>
    <x v="1298"/>
    <m/>
    <m/>
    <m/>
    <m/>
    <m/>
    <m/>
    <m/>
    <m/>
    <m/>
    <m/>
    <m/>
    <m/>
    <m/>
    <m/>
    <m/>
    <m/>
    <m/>
    <m/>
    <m/>
    <m/>
    <m/>
    <m/>
    <n v="155.25654809027765"/>
    <x v="0"/>
    <x v="4"/>
    <x v="0"/>
    <n v="197"/>
    <n v="149"/>
    <n v="0.75634517766497467"/>
    <n v="0.75634517766497467"/>
    <n v="1"/>
  </r>
  <r>
    <n v="1291012636"/>
    <s v="34.212.116/0001-06"/>
    <s v="Stefanie Sapag Salgado"/>
    <x v="5"/>
    <s v="Pipebot"/>
    <x v="1299"/>
    <m/>
    <m/>
    <d v="2026-02-13T16:55:12"/>
    <d v="2026-02-14T16:55:29"/>
    <n v="1.000197"/>
    <m/>
    <m/>
    <m/>
    <m/>
    <m/>
    <m/>
    <d v="2026-02-14T16:55:29"/>
    <d v="2026-02-16T12:50:25"/>
    <n v="1.8298030000000001"/>
    <d v="2026-02-16T12:50:25"/>
    <m/>
    <n v="10.355116000000001"/>
    <m/>
    <m/>
    <m/>
    <m/>
    <m/>
    <n v="27.295563368046714"/>
    <x v="5"/>
    <x v="3"/>
    <x v="1"/>
    <n v="223"/>
    <n v="147"/>
    <n v="0.65919282511210764"/>
    <n v="0.65919282511210764"/>
    <n v="1"/>
  </r>
  <r>
    <n v="1270181025"/>
    <s v="43.850.687/0001-67"/>
    <s v="Tatiane Candido Molina"/>
    <x v="5"/>
    <s v="Pipebot"/>
    <x v="1300"/>
    <m/>
    <m/>
    <d v="2026-01-01T19:10:36"/>
    <d v="2026-02-19T12:35:11"/>
    <n v="1.964734"/>
    <d v="2026-01-06T19:11:54"/>
    <d v="2026-02-18T13:26:14"/>
    <n v="42.759954"/>
    <m/>
    <m/>
    <m/>
    <d v="2026-01-02T19:10:54"/>
    <d v="2026-02-20T12:58:53"/>
    <n v="3.0165280000000001"/>
    <d v="2026-01-04T19:11:00"/>
    <d v="2026-01-06T19:11:54"/>
    <n v="8.34985"/>
    <m/>
    <m/>
    <m/>
    <m/>
    <m/>
    <n v="70.201140555553138"/>
    <x v="0"/>
    <x v="7"/>
    <x v="0"/>
    <n v="207"/>
    <n v="140"/>
    <n v="0.67632850241545894"/>
    <n v="0.67632850241545894"/>
    <n v="1"/>
  </r>
  <r>
    <n v="1262029698"/>
    <s v="43.850.687/0001-67"/>
    <s v="Tatiane Candido Molina - Km Com"/>
    <x v="0"/>
    <s v="Pipebot"/>
    <x v="1301"/>
    <m/>
    <m/>
    <d v="2025-12-15T19:07:48"/>
    <d v="2025-12-16T19:08:48"/>
    <n v="1.000683"/>
    <m/>
    <m/>
    <m/>
    <m/>
    <m/>
    <m/>
    <d v="2025-12-16T19:08:48"/>
    <d v="2025-12-18T19:08:52"/>
    <n v="2.000035"/>
    <d v="2025-12-18T19:08:52"/>
    <d v="2025-12-19T13:04:15"/>
    <n v="0.74679399999999996"/>
    <m/>
    <m/>
    <m/>
    <m/>
    <m/>
    <n v="87.203306597220944"/>
    <x v="0"/>
    <x v="7"/>
    <x v="0"/>
    <n v="207"/>
    <n v="140"/>
    <n v="0.67632850241545894"/>
    <n v="0.67632850241545894"/>
    <n v="1"/>
  </r>
  <r>
    <n v="1198103599"/>
    <s v="50.438.537/0001-06"/>
    <s v="STORE IMPACTUS"/>
    <x v="0"/>
    <s v="Pipebot"/>
    <x v="1302"/>
    <m/>
    <m/>
    <m/>
    <m/>
    <m/>
    <m/>
    <m/>
    <m/>
    <m/>
    <m/>
    <m/>
    <m/>
    <m/>
    <m/>
    <m/>
    <m/>
    <m/>
    <m/>
    <m/>
    <m/>
    <m/>
    <m/>
    <n v="191.14432006944844"/>
    <x v="0"/>
    <x v="2"/>
    <x v="0"/>
    <n v="146"/>
    <n v="112"/>
    <n v="0.76712328767123283"/>
    <n v="0.76712328767123283"/>
    <n v="1"/>
  </r>
  <r>
    <n v="1203232261"/>
    <s v="54.944.598/0001-04"/>
    <s v="Sue Ane Bianca Santos"/>
    <x v="0"/>
    <s v="Pipebot"/>
    <x v="1303"/>
    <m/>
    <m/>
    <d v="2025-09-10T20:26:51"/>
    <d v="2025-09-11T20:27:03"/>
    <n v="1.000127"/>
    <d v="2025-09-15T20:28:29"/>
    <d v="2025-09-17T20:28:54"/>
    <n v="2.0002779999999998"/>
    <m/>
    <m/>
    <m/>
    <d v="2025-09-11T20:27:03"/>
    <d v="2025-09-13T20:27:37"/>
    <n v="2.000394"/>
    <d v="2025-09-13T20:27:37"/>
    <d v="2025-09-15T20:28:29"/>
    <n v="2.0006020000000002"/>
    <m/>
    <m/>
    <m/>
    <m/>
    <m/>
    <n v="183.14863430555852"/>
    <x v="0"/>
    <x v="2"/>
    <x v="0"/>
    <n v="146"/>
    <n v="112"/>
    <n v="0.76712328767123283"/>
    <n v="0.76712328767123283"/>
    <n v="1"/>
  </r>
  <r>
    <n v="1214799637"/>
    <s v="38.193.791/0001-96"/>
    <s v="Super Box 24h"/>
    <x v="5"/>
    <s v="Pipebot"/>
    <x v="1304"/>
    <m/>
    <m/>
    <d v="2025-09-29T20:27:25"/>
    <d v="2026-02-13T16:00:37"/>
    <n v="2.1480320000000002"/>
    <d v="2025-10-04T20:29:30"/>
    <d v="2026-02-12T12:27:55"/>
    <n v="130.66556700000001"/>
    <m/>
    <m/>
    <m/>
    <d v="2025-09-30T20:27:55"/>
    <d v="2026-02-16T12:49:00"/>
    <n v="4.8675119999999996"/>
    <d v="2025-10-02T20:28:44"/>
    <d v="2025-10-04T20:29:30"/>
    <n v="12.356619999999999"/>
    <m/>
    <m/>
    <m/>
    <m/>
    <m/>
    <n v="164.14793722221657"/>
    <x v="0"/>
    <x v="4"/>
    <x v="0"/>
    <n v="197"/>
    <n v="149"/>
    <n v="0.75634517766497467"/>
    <n v="0.75634517766497467"/>
    <n v="1"/>
  </r>
  <r>
    <n v="1267760244"/>
    <s v="05.932.689/0001-06"/>
    <s v="Tatiane Cristina Veríssimo de Paula"/>
    <x v="0"/>
    <s v="Pipebot"/>
    <x v="1305"/>
    <m/>
    <m/>
    <d v="2025-12-26T20:03:04"/>
    <d v="2025-12-27T20:03:50"/>
    <n v="1.000532"/>
    <d v="2025-12-31T20:05:15"/>
    <d v="2026-01-12T14:19:39"/>
    <n v="11.759988"/>
    <m/>
    <m/>
    <m/>
    <d v="2025-12-27T20:03:50"/>
    <d v="2025-12-29T20:04:59"/>
    <n v="2.0007990000000002"/>
    <d v="2025-12-29T20:04:59"/>
    <d v="2025-12-31T20:05:15"/>
    <n v="2.0001850000000001"/>
    <m/>
    <m/>
    <m/>
    <m/>
    <m/>
    <n v="76.165224247677543"/>
    <x v="0"/>
    <x v="7"/>
    <x v="0"/>
    <n v="207"/>
    <n v="140"/>
    <n v="0.67632850241545894"/>
    <n v="0.67632850241545894"/>
    <n v="1"/>
  </r>
  <r>
    <n v="1253463660"/>
    <s v="38.193.791/0001-96"/>
    <s v="SUPER BOX MINIMERCADO LTDA"/>
    <x v="0"/>
    <s v="Pipebot"/>
    <x v="1306"/>
    <m/>
    <m/>
    <d v="2025-11-25T19:05:01"/>
    <d v="2025-11-26T19:05:05"/>
    <n v="1.000046"/>
    <d v="2025-11-30T19:05:27"/>
    <d v="2025-12-20T12:24:22"/>
    <n v="19.721457999999998"/>
    <m/>
    <m/>
    <m/>
    <d v="2025-11-26T19:05:05"/>
    <d v="2025-11-28T19:05:13"/>
    <n v="2.0000810000000002"/>
    <d v="2025-11-28T19:05:13"/>
    <d v="2025-11-30T19:05:27"/>
    <n v="2.0001500000000001"/>
    <m/>
    <m/>
    <m/>
    <m/>
    <m/>
    <n v="107.20572796297347"/>
    <x v="0"/>
    <x v="0"/>
    <x v="0"/>
    <n v="131"/>
    <n v="87"/>
    <n v="0.66412213740458015"/>
    <n v="0.66412213740458015"/>
    <n v="1"/>
  </r>
  <r>
    <n v="1223688356"/>
    <s v="38.193.791/0001-96"/>
    <s v="SUPER BOX MINIMERCADO LTDA"/>
    <x v="0"/>
    <s v="Pipebot"/>
    <x v="1307"/>
    <m/>
    <m/>
    <m/>
    <m/>
    <m/>
    <m/>
    <m/>
    <m/>
    <m/>
    <m/>
    <m/>
    <m/>
    <m/>
    <m/>
    <m/>
    <m/>
    <m/>
    <m/>
    <m/>
    <m/>
    <m/>
    <m/>
    <n v="150.35621468749741"/>
    <x v="0"/>
    <x v="4"/>
    <x v="0"/>
    <n v="197"/>
    <n v="149"/>
    <n v="0.75634517766497467"/>
    <n v="0.75634517766497467"/>
    <n v="1"/>
  </r>
  <r>
    <n v="1223687354"/>
    <s v="38.193.791/0001-96"/>
    <s v="SUPER BOX MINIMERCADO LTDA"/>
    <x v="0"/>
    <s v="Pipebot"/>
    <x v="1308"/>
    <m/>
    <m/>
    <d v="2025-10-13T15:25:47"/>
    <d v="2025-10-14T15:27:44"/>
    <n v="1.0013540000000001"/>
    <d v="2025-10-18T15:29:12"/>
    <d v="2025-10-28T19:57:28"/>
    <n v="10.186285"/>
    <m/>
    <m/>
    <m/>
    <d v="2025-10-14T15:27:44"/>
    <d v="2025-10-16T15:28:37"/>
    <n v="2.000613"/>
    <d v="2025-10-16T15:28:37"/>
    <d v="2025-10-18T15:29:12"/>
    <n v="2.000394"/>
    <m/>
    <m/>
    <m/>
    <m/>
    <m/>
    <n v="150.35729703703691"/>
    <x v="0"/>
    <x v="4"/>
    <x v="0"/>
    <n v="197"/>
    <n v="149"/>
    <n v="0.75634517766497467"/>
    <n v="0.75634517766497467"/>
    <n v="1"/>
  </r>
  <r>
    <n v="1210539863"/>
    <s v="38.193.791/0001-96"/>
    <s v="SUPER BOX MINIMERCADO LTDA"/>
    <x v="0"/>
    <s v="Pipebot"/>
    <x v="1309"/>
    <m/>
    <m/>
    <d v="2025-09-22T20:26:51"/>
    <d v="2025-09-23T20:27:11"/>
    <n v="1.0002310000000001"/>
    <m/>
    <m/>
    <m/>
    <m/>
    <m/>
    <m/>
    <d v="2025-09-23T20:27:11"/>
    <d v="2025-09-25T18:55:29"/>
    <n v="1.9363189999999999"/>
    <m/>
    <m/>
    <m/>
    <m/>
    <m/>
    <m/>
    <m/>
    <m/>
    <n v="171.14837592592812"/>
    <x v="0"/>
    <x v="4"/>
    <x v="0"/>
    <n v="197"/>
    <n v="149"/>
    <n v="0.75634517766497467"/>
    <n v="0.75634517766497467"/>
    <n v="1"/>
  </r>
  <r>
    <n v="1215955015"/>
    <s v="38.193.791/0001-96"/>
    <s v="SUPER BOX MINIMERCADO LTDA"/>
    <x v="0"/>
    <s v="Pipebot"/>
    <x v="1310"/>
    <m/>
    <m/>
    <m/>
    <m/>
    <m/>
    <m/>
    <m/>
    <m/>
    <m/>
    <m/>
    <m/>
    <m/>
    <m/>
    <m/>
    <m/>
    <m/>
    <m/>
    <m/>
    <m/>
    <m/>
    <m/>
    <m/>
    <n v="162.35861334491346"/>
    <x v="0"/>
    <x v="4"/>
    <x v="0"/>
    <n v="197"/>
    <n v="149"/>
    <n v="0.75634517766497467"/>
    <n v="0.75634517766497467"/>
    <n v="1"/>
  </r>
  <r>
    <n v="1286721105"/>
    <s v="22.949.368/0001-33"/>
    <s v="SUPPORTE SERVICOS DE APOIO ADMINISTRATIVO LTDA"/>
    <x v="0"/>
    <s v="Pipebot"/>
    <x v="1311"/>
    <m/>
    <m/>
    <d v="2026-02-06T19:07:26"/>
    <d v="2026-02-20T16:52:35"/>
    <n v="2.1743980000000001"/>
    <d v="2026-02-10T13:05:50"/>
    <d v="2026-02-19T12:42:19"/>
    <n v="8.9836569999999991"/>
    <m/>
    <m/>
    <m/>
    <d v="2026-02-07T19:08:18"/>
    <d v="2026-02-23T13:32:47"/>
    <n v="4.8618870000000003"/>
    <d v="2026-02-09T19:09:13"/>
    <d v="2026-02-23T19:27:28"/>
    <n v="0.99393500000000001"/>
    <m/>
    <m/>
    <m/>
    <m/>
    <m/>
    <n v="34.203970462956931"/>
    <x v="2"/>
    <x v="3"/>
    <x v="1"/>
    <n v="223"/>
    <n v="147"/>
    <n v="0.65919282511210764"/>
    <n v="0.65919282511210764"/>
    <n v="1"/>
  </r>
  <r>
    <n v="1184721917"/>
    <s v="22.949.368/0001-33"/>
    <s v="SUPPORTTE GESTAO E REPRESENTACAO"/>
    <x v="0"/>
    <s v="Pipebot"/>
    <x v="1312"/>
    <m/>
    <m/>
    <d v="2025-08-11T20:27:43"/>
    <d v="2025-08-12T18:01:52"/>
    <n v="0.89871500000000004"/>
    <m/>
    <m/>
    <m/>
    <m/>
    <m/>
    <m/>
    <m/>
    <m/>
    <m/>
    <m/>
    <m/>
    <m/>
    <m/>
    <m/>
    <m/>
    <m/>
    <m/>
    <n v="213.14791224536748"/>
    <x v="0"/>
    <x v="5"/>
    <x v="0"/>
    <n v="177"/>
    <n v="130"/>
    <n v="0.7344632768361582"/>
    <n v="0.7344632768361582"/>
    <n v="1"/>
  </r>
  <r>
    <n v="1245234598"/>
    <s v="32.348.868/0001-73"/>
    <s v="Suzana das dores marcilia "/>
    <x v="0"/>
    <s v="Pipebot"/>
    <x v="1313"/>
    <m/>
    <m/>
    <m/>
    <m/>
    <m/>
    <m/>
    <m/>
    <m/>
    <m/>
    <m/>
    <m/>
    <m/>
    <m/>
    <m/>
    <m/>
    <m/>
    <m/>
    <m/>
    <m/>
    <m/>
    <m/>
    <m/>
    <n v="122.45394725693768"/>
    <x v="0"/>
    <x v="6"/>
    <x v="0"/>
    <n v="195"/>
    <n v="132"/>
    <n v="0.67692307692307696"/>
    <n v="0.67692307692307696"/>
    <n v="1"/>
  </r>
  <r>
    <n v="1288313207"/>
    <s v="32.348.868/0001-73"/>
    <s v="Suzana das Dores Marcilia "/>
    <x v="0"/>
    <s v="Pipebot"/>
    <x v="1314"/>
    <m/>
    <m/>
    <d v="2026-02-09T19:05:03"/>
    <d v="2026-02-20T20:08:09"/>
    <n v="1.1320950000000001"/>
    <d v="2026-02-11T20:50:12"/>
    <d v="2026-02-20T16:58:17"/>
    <n v="8.8389469999999992"/>
    <m/>
    <m/>
    <m/>
    <d v="2026-02-10T19:05:25"/>
    <d v="2026-02-11T20:50:12"/>
    <n v="1.0727549999999999"/>
    <m/>
    <m/>
    <m/>
    <m/>
    <m/>
    <m/>
    <m/>
    <m/>
    <n v="31.206223773151578"/>
    <x v="2"/>
    <x v="3"/>
    <x v="1"/>
    <n v="223"/>
    <n v="147"/>
    <n v="0.65919282511210764"/>
    <n v="0.65919282511210764"/>
    <n v="1"/>
  </r>
  <r>
    <n v="1171335283"/>
    <s v="51.393.028/0001-77"/>
    <s v="Sxmart Solutions "/>
    <x v="5"/>
    <s v="Pipebot"/>
    <x v="1315"/>
    <m/>
    <m/>
    <d v="2025-07-17T20:27:13"/>
    <d v="2026-02-12T12:25:21"/>
    <n v="1.6461110000000001"/>
    <d v="2025-07-22T20:29:37"/>
    <d v="2026-02-11T20:55:55"/>
    <n v="204.01825199999999"/>
    <m/>
    <m/>
    <m/>
    <d v="2025-07-18T20:28:12"/>
    <d v="2026-02-13T15:59:15"/>
    <n v="3.1490860000000001"/>
    <d v="2025-07-20T20:29:00"/>
    <d v="2026-02-19T17:56:28"/>
    <n v="15.224016000000001"/>
    <d v="2026-02-19T17:56:28"/>
    <d v="2026-02-19T17:57:02"/>
    <n v="3.9399999999999998E-4"/>
    <m/>
    <m/>
    <n v="238.148297766209"/>
    <x v="0"/>
    <x v="5"/>
    <x v="0"/>
    <n v="177"/>
    <n v="130"/>
    <n v="0.7344632768361582"/>
    <n v="0.7344632768361582"/>
    <n v="1"/>
  </r>
  <r>
    <n v="1282443132"/>
    <s v="51.851.450/0001-29"/>
    <s v="Tainá Cleto Ferreira"/>
    <x v="0"/>
    <s v="Pipebot"/>
    <x v="1316"/>
    <m/>
    <m/>
    <m/>
    <m/>
    <m/>
    <m/>
    <m/>
    <m/>
    <m/>
    <m/>
    <m/>
    <m/>
    <m/>
    <m/>
    <m/>
    <m/>
    <m/>
    <m/>
    <m/>
    <m/>
    <m/>
    <m/>
    <n v="42.201884374997462"/>
    <x v="2"/>
    <x v="3"/>
    <x v="1"/>
    <n v="223"/>
    <n v="147"/>
    <n v="0.65919282511210764"/>
    <n v="0.65919282511210764"/>
    <n v="1"/>
  </r>
  <r>
    <n v="1280340523"/>
    <s v="61.453.374/0001-57"/>
    <s v="Taís Morada Bento Corrêa "/>
    <x v="0"/>
    <s v="Pipebot"/>
    <x v="1317"/>
    <m/>
    <m/>
    <m/>
    <m/>
    <m/>
    <m/>
    <m/>
    <m/>
    <m/>
    <m/>
    <m/>
    <m/>
    <m/>
    <m/>
    <m/>
    <m/>
    <m/>
    <m/>
    <m/>
    <m/>
    <m/>
    <m/>
    <n v="45.440956388891209"/>
    <x v="2"/>
    <x v="3"/>
    <x v="1"/>
    <n v="223"/>
    <n v="147"/>
    <n v="0.65919282511210764"/>
    <n v="0.65919282511210764"/>
    <n v="1"/>
  </r>
  <r>
    <n v="1294279832"/>
    <s v="48.233.954/0001-70"/>
    <s v="Take a Break - TPFlex Pro Max Completo!"/>
    <x v="5"/>
    <s v="Pipebot"/>
    <x v="1318"/>
    <m/>
    <m/>
    <d v="2026-02-20T13:38:28"/>
    <d v="2026-02-21T13:38:33"/>
    <n v="1.000046"/>
    <m/>
    <m/>
    <m/>
    <m/>
    <m/>
    <m/>
    <d v="2026-02-21T13:38:33"/>
    <d v="2026-02-23T13:32:47"/>
    <n v="1.995995"/>
    <d v="2026-02-23T13:32:48"/>
    <m/>
    <n v="3.3256709999999998"/>
    <m/>
    <m/>
    <m/>
    <m/>
    <m/>
    <n v="20.432294351849123"/>
    <x v="3"/>
    <x v="1"/>
    <x v="1"/>
    <n v="189"/>
    <n v="33"/>
    <n v="0.17460317460317459"/>
    <n v="0.17460317460317459"/>
    <n v="1"/>
  </r>
  <r>
    <n v="1279041619"/>
    <s v="48.233.954/0001-70"/>
    <s v="TAKE MERCADO LTDA - Acionado sofia 06/02 (comentários)"/>
    <x v="5"/>
    <s v="Pipebot"/>
    <x v="1319"/>
    <m/>
    <m/>
    <d v="2026-01-22T20:14:38"/>
    <d v="2026-02-20T16:51:20"/>
    <n v="2.176736"/>
    <d v="2026-01-27T20:15:45"/>
    <d v="2026-02-19T12:37:42"/>
    <n v="22.681898"/>
    <m/>
    <m/>
    <m/>
    <d v="2026-01-23T20:15:30"/>
    <d v="2026-02-23T13:32:47"/>
    <n v="4.8621759999999998"/>
    <d v="2026-01-25T20:15:35"/>
    <d v="2026-01-27T20:15:45"/>
    <n v="5.3257989999999999"/>
    <m/>
    <m/>
    <m/>
    <m/>
    <m/>
    <n v="49.157000729166612"/>
    <x v="2"/>
    <x v="3"/>
    <x v="1"/>
    <n v="223"/>
    <n v="147"/>
    <n v="0.65919282511210764"/>
    <n v="0.65919282511210764"/>
    <n v="1"/>
  </r>
  <r>
    <n v="1299906074"/>
    <s v="64.418.873/0001-00"/>
    <s v="Tales Mendes Mancebo"/>
    <x v="7"/>
    <s v="Pipebot"/>
    <x v="1320"/>
    <m/>
    <m/>
    <m/>
    <m/>
    <m/>
    <m/>
    <m/>
    <m/>
    <m/>
    <m/>
    <m/>
    <m/>
    <m/>
    <m/>
    <m/>
    <m/>
    <m/>
    <m/>
    <m/>
    <m/>
    <m/>
    <m/>
    <n v="7.081347685190849"/>
    <x v="4"/>
    <x v="1"/>
    <x v="1"/>
    <n v="189"/>
    <n v="33"/>
    <n v="0.17460317460317459"/>
    <n v="0.17460317460317459"/>
    <n v="1"/>
  </r>
  <r>
    <n v="1283849792"/>
    <s v="46.731.249/0001-78"/>
    <s v="Talita Cardoso Reame - maquina ( acionado 09/02 gabi)"/>
    <x v="5"/>
    <s v="Pipebot"/>
    <x v="1321"/>
    <m/>
    <m/>
    <d v="2026-02-02T13:05:44"/>
    <d v="2026-02-20T16:51:46"/>
    <n v="2.177257"/>
    <d v="2026-02-07T13:08:19"/>
    <d v="2026-02-19T12:38:03"/>
    <n v="11.978980999999999"/>
    <m/>
    <m/>
    <m/>
    <d v="2026-02-03T13:07:17"/>
    <d v="2026-02-23T13:32:47"/>
    <n v="4.8621759999999998"/>
    <d v="2026-02-05T13:07:48"/>
    <d v="2026-02-07T13:08:19"/>
    <n v="5.3260300000000003"/>
    <m/>
    <m/>
    <m/>
    <m/>
    <m/>
    <n v="38.4549322337989"/>
    <x v="2"/>
    <x v="3"/>
    <x v="1"/>
    <n v="223"/>
    <n v="147"/>
    <n v="0.65919282511210764"/>
    <n v="0.65919282511210764"/>
    <n v="1"/>
  </r>
  <r>
    <n v="1276236049"/>
    <s v="51.141.280/0001-99"/>
    <s v="Talita Claudiano Pires"/>
    <x v="5"/>
    <s v="Pipebot"/>
    <x v="1322"/>
    <m/>
    <m/>
    <d v="2026-01-19T13:08:58"/>
    <d v="2026-02-19T12:35:56"/>
    <n v="1.964178"/>
    <d v="2026-01-24T13:09:50"/>
    <d v="2026-02-18T13:27:39"/>
    <n v="25.012373"/>
    <m/>
    <m/>
    <m/>
    <d v="2026-01-20T13:09:06"/>
    <d v="2026-02-20T13:03:05"/>
    <n v="3.0193289999999999"/>
    <d v="2026-01-22T13:09:48"/>
    <d v="2026-01-24T13:09:50"/>
    <n v="8.3463429999999992"/>
    <m/>
    <m/>
    <m/>
    <m/>
    <m/>
    <n v="52.452838171302574"/>
    <x v="2"/>
    <x v="3"/>
    <x v="1"/>
    <n v="223"/>
    <n v="147"/>
    <n v="0.65919282511210764"/>
    <n v="0.65919282511210764"/>
    <n v="1"/>
  </r>
  <r>
    <n v="1193712894"/>
    <s v="37.714.871/0001-87"/>
    <s v="TALITA PEREIRA DA SILVA "/>
    <x v="5"/>
    <s v="Pipebot"/>
    <x v="1323"/>
    <m/>
    <m/>
    <d v="2025-08-26T15:24:42"/>
    <d v="2026-02-12T12:26:04"/>
    <n v="1.6449769999999999"/>
    <d v="2025-08-31T15:27:16"/>
    <d v="2026-02-11T20:58:00"/>
    <n v="164.22966400000001"/>
    <m/>
    <m/>
    <m/>
    <d v="2025-08-27T15:25:24"/>
    <d v="2026-02-13T15:59:47"/>
    <n v="3.1490390000000001"/>
    <d v="2025-08-29T15:26:19"/>
    <d v="2025-08-31T15:27:16"/>
    <n v="15.224259"/>
    <m/>
    <m/>
    <m/>
    <m/>
    <m/>
    <n v="198.35811881943664"/>
    <x v="0"/>
    <x v="2"/>
    <x v="0"/>
    <n v="146"/>
    <n v="112"/>
    <n v="0.76712328767123283"/>
    <n v="0.76712328767123283"/>
    <n v="1"/>
  </r>
  <r>
    <n v="1221264340"/>
    <s v="51.141.280/0001-99"/>
    <s v="Talita Pires"/>
    <x v="0"/>
    <s v="Pipebot"/>
    <x v="1324"/>
    <m/>
    <m/>
    <d v="2025-10-09T15:28:31"/>
    <d v="2025-10-10T15:28:38"/>
    <n v="1.0000690000000001"/>
    <m/>
    <m/>
    <m/>
    <m/>
    <m/>
    <m/>
    <d v="2025-10-10T15:28:38"/>
    <d v="2025-10-12T15:28:58"/>
    <n v="2.0002309999999999"/>
    <d v="2025-10-12T15:28:58"/>
    <d v="2025-10-13T17:35:07"/>
    <n v="1.087593"/>
    <m/>
    <m/>
    <m/>
    <m/>
    <m/>
    <n v="154.35556909722072"/>
    <x v="0"/>
    <x v="4"/>
    <x v="0"/>
    <n v="197"/>
    <n v="149"/>
    <n v="0.75634517766497467"/>
    <n v="0.75634517766497467"/>
    <n v="1"/>
  </r>
  <r>
    <n v="1231180223"/>
    <s v="62.050.006/0001-20"/>
    <s v="Tamara Kaline Firmino Souza"/>
    <x v="0"/>
    <s v="Pipebot"/>
    <x v="1325"/>
    <m/>
    <m/>
    <d v="2025-10-23T15:28:52"/>
    <d v="2025-10-24T15:29:39"/>
    <n v="1.000532"/>
    <m/>
    <m/>
    <m/>
    <m/>
    <m/>
    <m/>
    <d v="2025-10-24T15:29:39"/>
    <d v="2025-10-26T15:30:16"/>
    <n v="2.0004279999999999"/>
    <d v="2025-10-26T15:30:16"/>
    <d v="2025-10-28T11:55:08"/>
    <n v="1.8506020000000001"/>
    <m/>
    <m/>
    <m/>
    <m/>
    <m/>
    <n v="140.35566310185095"/>
    <x v="0"/>
    <x v="6"/>
    <x v="0"/>
    <n v="195"/>
    <n v="132"/>
    <n v="0.67692307692307696"/>
    <n v="0.67692307692307696"/>
    <n v="1"/>
  </r>
  <r>
    <n v="1213737409"/>
    <s v="62.050.006/0001-20"/>
    <s v="Tamara Kaline Firmino Souza - v3"/>
    <x v="0"/>
    <s v="Pipebot"/>
    <x v="1326"/>
    <m/>
    <m/>
    <m/>
    <m/>
    <m/>
    <m/>
    <m/>
    <m/>
    <m/>
    <m/>
    <m/>
    <m/>
    <m/>
    <m/>
    <m/>
    <m/>
    <m/>
    <m/>
    <m/>
    <m/>
    <m/>
    <m/>
    <n v="166.35699700230907"/>
    <x v="0"/>
    <x v="4"/>
    <x v="0"/>
    <n v="197"/>
    <n v="149"/>
    <n v="0.75634517766497467"/>
    <n v="0.75634517766497467"/>
    <n v="1"/>
  </r>
  <r>
    <n v="1225987581"/>
    <s v="57.303.207/0001-52"/>
    <s v="Tatiane"/>
    <x v="0"/>
    <s v="Pipebot"/>
    <x v="1327"/>
    <m/>
    <m/>
    <d v="2025-10-16T15:25:39"/>
    <d v="2025-10-16T20:13:44"/>
    <n v="0.20005800000000001"/>
    <m/>
    <m/>
    <m/>
    <m/>
    <m/>
    <m/>
    <m/>
    <m/>
    <m/>
    <m/>
    <m/>
    <m/>
    <m/>
    <m/>
    <m/>
    <m/>
    <m/>
    <n v="147.35764194444346"/>
    <x v="0"/>
    <x v="6"/>
    <x v="0"/>
    <n v="195"/>
    <n v="132"/>
    <n v="0.67692307692307696"/>
    <n v="0.67692307692307696"/>
    <n v="1"/>
  </r>
  <r>
    <n v="1270220483"/>
    <s v="55.428.642/0001-88"/>
    <s v="Tatiane de Paula Thomé"/>
    <x v="0"/>
    <s v="Pipebot"/>
    <x v="1328"/>
    <m/>
    <m/>
    <m/>
    <m/>
    <m/>
    <m/>
    <m/>
    <m/>
    <m/>
    <m/>
    <m/>
    <m/>
    <m/>
    <m/>
    <m/>
    <m/>
    <m/>
    <m/>
    <m/>
    <m/>
    <m/>
    <m/>
    <n v="70.165200370371167"/>
    <x v="0"/>
    <x v="7"/>
    <x v="0"/>
    <n v="207"/>
    <n v="140"/>
    <n v="0.67632850241545894"/>
    <n v="0.67632850241545894"/>
    <n v="1"/>
  </r>
  <r>
    <n v="1264373377"/>
    <s v="44.712.254/0001-08"/>
    <s v="Tawany Pires sabes "/>
    <x v="0"/>
    <s v="Pipebot"/>
    <x v="1329"/>
    <m/>
    <m/>
    <d v="2025-12-18T22:07:37"/>
    <d v="2025-12-19T12:28:16"/>
    <n v="0.59767400000000004"/>
    <m/>
    <m/>
    <m/>
    <m/>
    <m/>
    <m/>
    <m/>
    <m/>
    <m/>
    <m/>
    <m/>
    <m/>
    <m/>
    <m/>
    <m/>
    <m/>
    <m/>
    <n v="84.078288078701007"/>
    <x v="0"/>
    <x v="7"/>
    <x v="0"/>
    <n v="207"/>
    <n v="140"/>
    <n v="0.67632850241545894"/>
    <n v="0.67632850241545894"/>
    <n v="1"/>
  </r>
  <r>
    <n v="1288943314"/>
    <s v="43.850.687/0001-67"/>
    <s v="Tatiane Candido Molina"/>
    <x v="5"/>
    <s v="Pipebot"/>
    <x v="1330"/>
    <m/>
    <m/>
    <d v="2026-02-10T19:06:26"/>
    <d v="2026-02-23T13:37:13"/>
    <n v="3.8606020000000001"/>
    <d v="2026-02-11T20:50:21"/>
    <d v="2026-02-20T16:58:25"/>
    <n v="8.8389349999999993"/>
    <m/>
    <m/>
    <m/>
    <d v="2026-02-11T19:06:56"/>
    <d v="2026-02-25T11:54:34"/>
    <n v="2.000521"/>
    <d v="2026-02-25T11:54:34"/>
    <m/>
    <n v="1.3938999999999999"/>
    <m/>
    <m/>
    <m/>
    <m/>
    <m/>
    <n v="30.204465567127045"/>
    <x v="2"/>
    <x v="3"/>
    <x v="1"/>
    <n v="223"/>
    <n v="147"/>
    <n v="0.65919282511210764"/>
    <n v="0.65919282511210764"/>
    <n v="1"/>
  </r>
  <r>
    <n v="1280327453"/>
    <s v="43.850.687/0001-67"/>
    <s v="Tatiane Candido Molina (adaptador e leitor) - acionado Sofia 03/02 (11) 977997163"/>
    <x v="5"/>
    <s v="Pipebot"/>
    <x v="1331"/>
    <m/>
    <m/>
    <d v="2026-01-26T13:08:34"/>
    <d v="2026-02-20T16:51:28"/>
    <n v="2.1763889999999999"/>
    <d v="2026-01-31T13:09:54"/>
    <d v="2026-02-19T12:37:49"/>
    <n v="18.977708"/>
    <m/>
    <m/>
    <m/>
    <d v="2026-01-27T13:08:56"/>
    <d v="2026-02-23T13:32:47"/>
    <n v="4.8623380000000003"/>
    <d v="2026-01-29T13:09:24"/>
    <d v="2026-01-31T13:09:54"/>
    <n v="5.3260300000000003"/>
    <m/>
    <m/>
    <m/>
    <m/>
    <m/>
    <n v="45.453136412026652"/>
    <x v="2"/>
    <x v="3"/>
    <x v="1"/>
    <n v="223"/>
    <n v="147"/>
    <n v="0.65919282511210764"/>
    <n v="0.65919282511210764"/>
    <n v="1"/>
  </r>
  <r>
    <n v="1270563971"/>
    <s v="50.345.585/0001-50"/>
    <s v="Thalisson da Silva Santos "/>
    <x v="0"/>
    <s v="Pipebot"/>
    <x v="1332"/>
    <m/>
    <m/>
    <m/>
    <m/>
    <m/>
    <m/>
    <m/>
    <m/>
    <m/>
    <m/>
    <m/>
    <m/>
    <m/>
    <m/>
    <m/>
    <m/>
    <m/>
    <m/>
    <m/>
    <m/>
    <m/>
    <m/>
    <n v="69.380510983799468"/>
    <x v="0"/>
    <x v="7"/>
    <x v="0"/>
    <n v="207"/>
    <n v="140"/>
    <n v="0.67632850241545894"/>
    <n v="0.67632850241545894"/>
    <n v="1"/>
  </r>
  <r>
    <n v="1284622209"/>
    <s v="43.850.687/0001-67"/>
    <s v="Tatiane Candido Molina - maquina (acionado 09/02 gabi)"/>
    <x v="5"/>
    <s v="Pipebot"/>
    <x v="1333"/>
    <m/>
    <m/>
    <d v="2026-02-03T19:07:46"/>
    <d v="2026-02-20T16:51:52"/>
    <n v="2.1768169999999998"/>
    <d v="2026-02-06T19:09:33"/>
    <d v="2026-02-19T12:38:06"/>
    <n v="12.728147999999999"/>
    <m/>
    <m/>
    <m/>
    <d v="2026-02-04T19:08:38"/>
    <d v="2026-02-23T13:32:47"/>
    <n v="4.8623839999999996"/>
    <d v="2026-02-06T19:09:33"/>
    <d v="2026-02-06T19:09:33"/>
    <n v="3.3256830000000002"/>
    <m/>
    <m/>
    <m/>
    <m/>
    <m/>
    <n v="37.203299594912096"/>
    <x v="2"/>
    <x v="3"/>
    <x v="1"/>
    <n v="223"/>
    <n v="147"/>
    <n v="0.65919282511210764"/>
    <n v="0.65919282511210764"/>
    <n v="1"/>
  </r>
  <r>
    <n v="1253540828"/>
    <s v="05.932.689/0001-06"/>
    <s v="TATIANE CRISTINA VERISSIMO DE PAULA"/>
    <x v="0"/>
    <s v="Pipebot"/>
    <x v="1334"/>
    <m/>
    <m/>
    <d v="2025-11-25T20:44:09"/>
    <d v="2025-11-26T20:44:28"/>
    <n v="1.000208"/>
    <d v="2025-11-30T20:45:42"/>
    <d v="2025-12-10T18:12:56"/>
    <n v="9.8939120000000003"/>
    <m/>
    <m/>
    <m/>
    <d v="2025-11-26T20:44:28"/>
    <d v="2025-11-28T20:44:48"/>
    <n v="2.0002200000000001"/>
    <d v="2025-11-28T20:44:48"/>
    <d v="2025-11-30T20:45:42"/>
    <n v="2.000613"/>
    <m/>
    <m/>
    <m/>
    <m/>
    <m/>
    <n v="107.13651706017845"/>
    <x v="0"/>
    <x v="0"/>
    <x v="0"/>
    <n v="131"/>
    <n v="87"/>
    <n v="0.66412213740458015"/>
    <n v="0.66412213740458015"/>
    <n v="1"/>
  </r>
  <r>
    <n v="1268452677"/>
    <s v="39.641.424/0001-70"/>
    <s v="Thiago Moura Galindo"/>
    <x v="5"/>
    <s v="Pipebot"/>
    <x v="1335"/>
    <m/>
    <m/>
    <d v="2025-12-29T15:08:02"/>
    <d v="2026-02-19T12:35:01"/>
    <n v="1.9652080000000001"/>
    <d v="2026-01-03T15:10:12"/>
    <d v="2026-02-18T13:26:04"/>
    <n v="45.927684999999997"/>
    <m/>
    <m/>
    <m/>
    <d v="2025-12-30T15:08:59"/>
    <d v="2026-02-20T12:58:42"/>
    <n v="3.0166780000000002"/>
    <d v="2026-01-01T15:09:20"/>
    <d v="2026-01-03T15:10:12"/>
    <n v="8.3499540000000003"/>
    <m/>
    <m/>
    <m/>
    <m/>
    <m/>
    <n v="73.369551030089497"/>
    <x v="0"/>
    <x v="7"/>
    <x v="0"/>
    <n v="207"/>
    <n v="140"/>
    <n v="0.67632850241545894"/>
    <n v="0.67632850241545894"/>
    <n v="1"/>
  </r>
  <r>
    <n v="1266705228"/>
    <s v="63.561.036/0001-64"/>
    <s v="Uai Machine"/>
    <x v="0"/>
    <s v="Pipebot"/>
    <x v="1336"/>
    <m/>
    <m/>
    <d v="2025-12-24T19:08:54"/>
    <d v="2025-12-25T19:09:26"/>
    <n v="1.00037"/>
    <d v="2025-12-29T19:10:21"/>
    <d v="2026-01-14T19:05:05"/>
    <n v="15.996343"/>
    <m/>
    <m/>
    <m/>
    <d v="2025-12-25T19:09:26"/>
    <d v="2025-12-27T19:09:50"/>
    <n v="2.0002659999999999"/>
    <d v="2025-12-27T19:09:50"/>
    <d v="2025-12-29T19:10:20"/>
    <n v="2.0003470000000001"/>
    <m/>
    <m/>
    <m/>
    <m/>
    <m/>
    <n v="78.202614421301405"/>
    <x v="0"/>
    <x v="7"/>
    <x v="0"/>
    <n v="207"/>
    <n v="140"/>
    <n v="0.67632850241545894"/>
    <n v="0.67632850241545894"/>
    <n v="1"/>
  </r>
  <r>
    <n v="1269669946"/>
    <s v="45.253.915/0001-47"/>
    <s v="V&amp;F COMERCIO LTDA"/>
    <x v="2"/>
    <s v="Pipebot"/>
    <x v="1337"/>
    <m/>
    <m/>
    <d v="2025-12-31T19:08:16"/>
    <d v="2026-02-19T12:35:09"/>
    <n v="1.964769"/>
    <d v="2026-01-05T19:09:39"/>
    <d v="2026-02-18T13:26:13"/>
    <n v="43.761493000000002"/>
    <d v="2026-02-20T19:10:40"/>
    <m/>
    <n v="6.0910419999999998"/>
    <d v="2026-01-01T19:08:37"/>
    <d v="2026-02-20T12:58:51"/>
    <n v="3.0168629999999999"/>
    <d v="2026-01-03T19:09:12"/>
    <d v="2026-02-20T19:10:40"/>
    <n v="2.2585069999999998"/>
    <m/>
    <m/>
    <m/>
    <m/>
    <m/>
    <n v="71.20328885417257"/>
    <x v="0"/>
    <x v="7"/>
    <x v="0"/>
    <n v="207"/>
    <n v="140"/>
    <n v="0.67632850241545894"/>
    <n v="0.67632850241545894"/>
    <n v="1"/>
  </r>
  <r>
    <n v="1252997361"/>
    <s v="44.712.254/0001-08"/>
    <s v="Tawany Pires sabes "/>
    <x v="0"/>
    <s v="Pipebot"/>
    <x v="1338"/>
    <m/>
    <m/>
    <d v="2025-11-24T22:06:25"/>
    <d v="2026-02-16T12:51:56"/>
    <n v="3.866933"/>
    <d v="2025-11-29T22:07:10"/>
    <d v="2026-02-13T16:03:48"/>
    <n v="75.747649999999993"/>
    <m/>
    <m/>
    <m/>
    <d v="2025-11-25T22:06:40"/>
    <d v="2026-02-18T13:22:23"/>
    <n v="4.0212729999999999"/>
    <d v="2025-11-27T22:06:52"/>
    <d v="2026-02-25T16:28:15"/>
    <n v="9.1292709999999992"/>
    <m/>
    <m/>
    <m/>
    <m/>
    <m/>
    <n v="108.07949906249996"/>
    <x v="0"/>
    <x v="0"/>
    <x v="0"/>
    <n v="131"/>
    <n v="87"/>
    <n v="0.66412213740458015"/>
    <n v="0.66412213740458015"/>
    <n v="1"/>
  </r>
  <r>
    <n v="1226264866"/>
    <s v="42.866.619/0001-23"/>
    <s v="TECH MARKET BRASIL - Bruno"/>
    <x v="0"/>
    <s v="Pipebot"/>
    <x v="1339"/>
    <m/>
    <m/>
    <d v="2025-10-16T20:25:47"/>
    <d v="2025-10-17T20:26:13"/>
    <n v="1.000289"/>
    <d v="2025-10-21T20:27:23"/>
    <d v="2025-10-27T18:14:23"/>
    <n v="5.9076269999999997"/>
    <m/>
    <m/>
    <m/>
    <d v="2025-10-17T20:26:13"/>
    <d v="2025-10-19T20:26:35"/>
    <n v="2.0002550000000001"/>
    <d v="2025-10-19T20:26:35"/>
    <d v="2025-10-21T20:27:23"/>
    <n v="2.0005440000000001"/>
    <m/>
    <m/>
    <m/>
    <m/>
    <m/>
    <n v="147.1496178009329"/>
    <x v="0"/>
    <x v="6"/>
    <x v="0"/>
    <n v="195"/>
    <n v="132"/>
    <n v="0.67692307692307696"/>
    <n v="0.67692307692307696"/>
    <n v="1"/>
  </r>
  <r>
    <n v="1304246740"/>
    <s v="27.565.497/0001-41"/>
    <s v="Teste"/>
    <x v="7"/>
    <s v="Pipebot"/>
    <x v="1340"/>
    <m/>
    <m/>
    <m/>
    <m/>
    <m/>
    <m/>
    <m/>
    <m/>
    <m/>
    <m/>
    <m/>
    <m/>
    <m/>
    <m/>
    <m/>
    <m/>
    <m/>
    <m/>
    <m/>
    <m/>
    <m/>
    <m/>
    <n v="1.0935229976894334"/>
    <x v="4"/>
    <x v="1"/>
    <x v="1"/>
    <n v="189"/>
    <n v="33"/>
    <n v="0.17460317460317459"/>
    <n v="0.17460317460317459"/>
    <n v="1"/>
  </r>
  <r>
    <n v="1171249844"/>
    <m/>
    <s v="TESTE"/>
    <x v="3"/>
    <s v="julio.bueno@amlabs.com.br"/>
    <x v="1341"/>
    <m/>
    <m/>
    <d v="2025-07-03T18:49:35"/>
    <d v="2025-07-03T18:49:57"/>
    <n v="2.5500000000000002E-4"/>
    <d v="2025-07-04T11:58:50"/>
    <d v="2025-07-15T18:31:59"/>
    <n v="11.273009"/>
    <d v="2025-07-03T18:50:24"/>
    <d v="2025-07-03T18:50:44"/>
    <n v="2.2000000000000001E-4"/>
    <d v="2025-07-03T18:49:57"/>
    <d v="2025-07-03T18:50:24"/>
    <n v="3.1300000000000002E-4"/>
    <m/>
    <m/>
    <m/>
    <m/>
    <m/>
    <m/>
    <m/>
    <m/>
    <n v="238.21687628472137"/>
    <x v="0"/>
    <x v="5"/>
    <x v="0"/>
    <n v="177"/>
    <n v="130"/>
    <n v="0.7344632768361582"/>
    <n v="0.7344632768361582"/>
    <n v="1"/>
  </r>
  <r>
    <n v="1278072422"/>
    <m/>
    <s v="Teste"/>
    <x v="3"/>
    <s v="Vinícius Melesque dos Santos"/>
    <x v="1342"/>
    <m/>
    <m/>
    <m/>
    <m/>
    <m/>
    <m/>
    <m/>
    <m/>
    <m/>
    <m/>
    <m/>
    <m/>
    <m/>
    <m/>
    <m/>
    <m/>
    <m/>
    <m/>
    <m/>
    <m/>
    <m/>
    <m/>
    <n v="50.482737337959406"/>
    <x v="2"/>
    <x v="3"/>
    <x v="1"/>
    <n v="223"/>
    <n v="147"/>
    <n v="0.65919282511210764"/>
    <n v="0.65919282511210764"/>
    <n v="1"/>
  </r>
  <r>
    <n v="1254528082"/>
    <m/>
    <s v="teste"/>
    <x v="5"/>
    <s v="Pipebot"/>
    <x v="1343"/>
    <m/>
    <m/>
    <d v="2025-11-27T17:33:33"/>
    <d v="2026-02-16T12:51:58"/>
    <n v="3.8673959999999998"/>
    <d v="2025-12-02T17:35:48"/>
    <d v="2026-02-13T16:03:51"/>
    <n v="72.936145999999994"/>
    <m/>
    <m/>
    <m/>
    <d v="2025-11-28T17:34:29"/>
    <d v="2026-02-18T13:22:28"/>
    <n v="4.0218170000000004"/>
    <d v="2025-11-30T17:35:26"/>
    <d v="2025-12-02T17:35:47"/>
    <n v="10.333113000000001"/>
    <m/>
    <m/>
    <m/>
    <m/>
    <m/>
    <n v="105.26908444443688"/>
    <x v="0"/>
    <x v="0"/>
    <x v="0"/>
    <n v="131"/>
    <n v="87"/>
    <n v="0.66412213740458015"/>
    <n v="0.66412213740458015"/>
    <n v="1"/>
  </r>
  <r>
    <n v="1301800815"/>
    <s v="  "/>
    <s v="teste caio 2"/>
    <x v="7"/>
    <s v="Pipebot"/>
    <x v="1344"/>
    <m/>
    <m/>
    <m/>
    <m/>
    <m/>
    <m/>
    <m/>
    <m/>
    <m/>
    <m/>
    <m/>
    <m/>
    <m/>
    <m/>
    <m/>
    <m/>
    <m/>
    <m/>
    <m/>
    <m/>
    <m/>
    <m/>
    <n v="3.1810465625021607"/>
    <x v="4"/>
    <x v="1"/>
    <x v="1"/>
    <n v="189"/>
    <n v="33"/>
    <n v="0.17460317460317459"/>
    <n v="0.17460317460317459"/>
    <n v="1"/>
  </r>
  <r>
    <n v="1295382686"/>
    <s v="45.113.390/0001-44"/>
    <s v="Teu Mercado mercado autônomo "/>
    <x v="2"/>
    <s v="Pipebot"/>
    <x v="1345"/>
    <m/>
    <m/>
    <d v="2026-02-23T19:04:47"/>
    <d v="2026-02-24T19:05:04"/>
    <n v="1.0001850000000001"/>
    <m/>
    <m/>
    <m/>
    <d v="2026-02-25T20:56:51"/>
    <m/>
    <n v="1.017315"/>
    <d v="2026-02-24T19:05:04"/>
    <d v="2026-02-25T20:56:51"/>
    <n v="1.0776159999999999"/>
    <m/>
    <m/>
    <m/>
    <m/>
    <m/>
    <m/>
    <m/>
    <m/>
    <n v="17.205483912039199"/>
    <x v="1"/>
    <x v="1"/>
    <x v="1"/>
    <n v="189"/>
    <n v="33"/>
    <n v="0.17460317460317459"/>
    <n v="0.17460317460317459"/>
    <n v="1"/>
  </r>
  <r>
    <n v="1259477949"/>
    <s v="45.044.316/0001-13"/>
    <s v="Thais Cristine kestering barbosa"/>
    <x v="4"/>
    <s v="Pipebot"/>
    <x v="1346"/>
    <m/>
    <m/>
    <d v="2025-12-09T19:06:56"/>
    <d v="2026-02-18T13:24:56"/>
    <n v="3.022824"/>
    <d v="2025-12-14T19:09:01"/>
    <d v="2026-02-16T12:52:53"/>
    <n v="63.738785"/>
    <m/>
    <m/>
    <m/>
    <d v="2025-12-10T19:07:46"/>
    <d v="2026-02-19T12:27:31"/>
    <n v="2.960556"/>
    <d v="2025-12-12T19:08:23"/>
    <d v="2026-02-24T18:10:37"/>
    <n v="7.2387040000000002"/>
    <m/>
    <m/>
    <m/>
    <m/>
    <m/>
    <n v="93.203969062502438"/>
    <x v="0"/>
    <x v="0"/>
    <x v="0"/>
    <n v="131"/>
    <n v="87"/>
    <n v="0.66412213740458015"/>
    <n v="0.66412213740458015"/>
    <n v="1"/>
  </r>
  <r>
    <n v="1293739532"/>
    <s v="50.518.425/0001-65"/>
    <s v="Thaline de Oliveira Novaes"/>
    <x v="0"/>
    <s v="Pipebot"/>
    <x v="1347"/>
    <m/>
    <m/>
    <d v="2026-02-19T15:07:09"/>
    <d v="2026-02-20T15:07:54"/>
    <n v="1.000521"/>
    <m/>
    <m/>
    <m/>
    <m/>
    <m/>
    <m/>
    <d v="2026-02-20T15:07:54"/>
    <d v="2026-02-20T16:50:32"/>
    <n v="7.1262000000000006E-2"/>
    <d v="2026-02-20T16:50:32"/>
    <d v="2026-02-25T17:33:14"/>
    <n v="5.0296529999999997"/>
    <m/>
    <m/>
    <m/>
    <m/>
    <m/>
    <n v="21.370783842590754"/>
    <x v="3"/>
    <x v="1"/>
    <x v="1"/>
    <n v="189"/>
    <n v="33"/>
    <n v="0.17460317460317459"/>
    <n v="0.17460317460317459"/>
    <n v="1"/>
  </r>
  <r>
    <n v="1278799376"/>
    <s v="50.518.425/0001-65"/>
    <s v="Thaline de Oliveira Novaes (leitor) - acionado sofia 06/02."/>
    <x v="0"/>
    <s v="Pipebot"/>
    <x v="1348"/>
    <m/>
    <m/>
    <d v="2026-01-22T15:06:22"/>
    <d v="2026-02-20T16:51:16"/>
    <n v="2.1763309999999998"/>
    <d v="2026-01-27T15:07:59"/>
    <d v="2026-02-19T12:37:39"/>
    <n v="22.895589999999999"/>
    <m/>
    <m/>
    <m/>
    <d v="2026-01-23T15:06:40"/>
    <d v="2026-02-23T13:32:47"/>
    <n v="4.862616"/>
    <d v="2026-01-25T15:07:20"/>
    <d v="2026-02-25T17:32:37"/>
    <n v="4.1669790000000004"/>
    <m/>
    <m/>
    <m/>
    <m/>
    <m/>
    <n v="49.370660057873465"/>
    <x v="2"/>
    <x v="3"/>
    <x v="1"/>
    <n v="223"/>
    <n v="147"/>
    <n v="0.65919282511210764"/>
    <n v="0.65919282511210764"/>
    <n v="1"/>
  </r>
  <r>
    <n v="1178755571"/>
    <s v="50.345.585/0001-50"/>
    <s v="Thalisson da Silva Santos"/>
    <x v="0"/>
    <s v="Pipebot"/>
    <x v="1349"/>
    <m/>
    <m/>
    <m/>
    <m/>
    <m/>
    <m/>
    <m/>
    <m/>
    <m/>
    <m/>
    <m/>
    <m/>
    <m/>
    <m/>
    <m/>
    <m/>
    <m/>
    <m/>
    <m/>
    <m/>
    <m/>
    <m/>
    <n v="223.35691912037146"/>
    <x v="0"/>
    <x v="5"/>
    <x v="0"/>
    <n v="177"/>
    <n v="130"/>
    <n v="0.7344632768361582"/>
    <n v="0.7344632768361582"/>
    <n v="1"/>
  </r>
  <r>
    <n v="1208428229"/>
    <s v="50.345.585/0001-50"/>
    <s v="Thalisson da Silva Santos"/>
    <x v="0"/>
    <s v="Pipebot"/>
    <x v="1350"/>
    <m/>
    <m/>
    <m/>
    <m/>
    <m/>
    <m/>
    <m/>
    <m/>
    <m/>
    <m/>
    <m/>
    <m/>
    <m/>
    <m/>
    <m/>
    <m/>
    <m/>
    <m/>
    <m/>
    <m/>
    <m/>
    <m/>
    <n v="175.14779964119953"/>
    <x v="0"/>
    <x v="4"/>
    <x v="0"/>
    <n v="197"/>
    <n v="149"/>
    <n v="0.75634517766497467"/>
    <n v="0.75634517766497467"/>
    <n v="1"/>
  </r>
  <r>
    <n v="1269143204"/>
    <s v="62.360.595/0001-43"/>
    <s v="Valentin Odair Scantamburlo. "/>
    <x v="0"/>
    <s v="Pipebot"/>
    <x v="1351"/>
    <m/>
    <m/>
    <d v="2025-12-30T19:08:59"/>
    <d v="2025-12-31T19:09:16"/>
    <n v="1.000197"/>
    <d v="2026-01-04T19:10:00"/>
    <d v="2026-01-12T13:48:05"/>
    <n v="7.7764470000000001"/>
    <m/>
    <m/>
    <m/>
    <d v="2025-12-31T19:09:16"/>
    <d v="2026-01-02T19:09:57"/>
    <n v="2.0004629999999999"/>
    <d v="2026-01-02T19:09:57"/>
    <d v="2026-01-04T19:10:00"/>
    <n v="2.0000230000000001"/>
    <m/>
    <m/>
    <m/>
    <m/>
    <m/>
    <n v="72.202583726852026"/>
    <x v="0"/>
    <x v="7"/>
    <x v="0"/>
    <n v="207"/>
    <n v="140"/>
    <n v="0.67632850241545894"/>
    <n v="0.67632850241545894"/>
    <n v="1"/>
  </r>
  <r>
    <n v="1254000656"/>
    <s v="50.345.585/0001-50"/>
    <s v="Thalisson da Silva Santos "/>
    <x v="0"/>
    <s v="Pipebot"/>
    <x v="1352"/>
    <m/>
    <m/>
    <d v="2025-11-26T19:06:05"/>
    <d v="2025-11-27T19:06:26"/>
    <n v="1.000243"/>
    <d v="2025-12-01T19:07:57"/>
    <d v="2025-12-19T14:50:00"/>
    <n v="17.820868000000001"/>
    <m/>
    <m/>
    <m/>
    <d v="2025-11-27T19:06:26"/>
    <d v="2025-11-29T19:07:10"/>
    <n v="2.0005090000000001"/>
    <d v="2025-11-29T19:07:10"/>
    <d v="2025-12-20T13:09:30"/>
    <n v="2.9305439999999998"/>
    <m/>
    <m/>
    <m/>
    <m/>
    <m/>
    <n v="106.20432796297246"/>
    <x v="0"/>
    <x v="0"/>
    <x v="0"/>
    <n v="131"/>
    <n v="87"/>
    <n v="0.66412213740458015"/>
    <n v="0.66412213740458015"/>
    <n v="1"/>
  </r>
  <r>
    <n v="1243427086"/>
    <s v="56.240.675/0001-62"/>
    <s v="THAMILES OLIVEIRA DE SENA"/>
    <x v="8"/>
    <s v="Pipebot"/>
    <x v="1353"/>
    <m/>
    <m/>
    <m/>
    <m/>
    <m/>
    <m/>
    <m/>
    <m/>
    <m/>
    <m/>
    <m/>
    <m/>
    <m/>
    <m/>
    <m/>
    <m/>
    <m/>
    <m/>
    <m/>
    <m/>
    <m/>
    <m/>
    <n v="125.20419356482307"/>
    <x v="0"/>
    <x v="6"/>
    <x v="0"/>
    <n v="195"/>
    <n v="132"/>
    <n v="0.67692307692307696"/>
    <n v="0.67692307692307696"/>
    <n v="1"/>
  </r>
  <r>
    <n v="1173353482"/>
    <s v="23.089.787/0001-05"/>
    <s v="Thauana"/>
    <x v="8"/>
    <s v="Pipebot"/>
    <x v="1354"/>
    <m/>
    <m/>
    <d v="2025-07-22T20:26:15"/>
    <d v="2025-07-23T20:26:40"/>
    <n v="1.000278"/>
    <d v="2025-07-27T20:28:04"/>
    <d v="2025-10-29T19:45:25"/>
    <n v="93.970370000000003"/>
    <m/>
    <m/>
    <m/>
    <d v="2025-07-23T20:26:40"/>
    <d v="2025-07-25T20:27:07"/>
    <n v="2.0003009999999999"/>
    <d v="2025-07-25T20:27:07"/>
    <d v="2025-07-27T20:28:04"/>
    <n v="2.0006599999999999"/>
    <m/>
    <m/>
    <m/>
    <m/>
    <m/>
    <n v="233.14883668981201"/>
    <x v="0"/>
    <x v="5"/>
    <x v="0"/>
    <n v="177"/>
    <n v="130"/>
    <n v="0.7344632768361582"/>
    <n v="0.7344632768361582"/>
    <n v="1"/>
  </r>
  <r>
    <n v="1202541832"/>
    <s v="23.089.787/0001-05"/>
    <s v="Thauana"/>
    <x v="8"/>
    <s v="Pipebot"/>
    <x v="1355"/>
    <m/>
    <m/>
    <d v="2025-09-09T20:25:13"/>
    <d v="2025-09-10T20:25:51"/>
    <n v="1.00044"/>
    <d v="2025-09-14T20:26:52"/>
    <d v="2025-11-03T18:46:11"/>
    <n v="49.930081000000001"/>
    <m/>
    <m/>
    <m/>
    <d v="2025-09-10T20:25:51"/>
    <d v="2025-09-12T20:26:16"/>
    <n v="2.0002779999999998"/>
    <d v="2025-09-12T20:26:16"/>
    <d v="2025-09-14T20:26:52"/>
    <n v="2.0004050000000002"/>
    <m/>
    <m/>
    <m/>
    <m/>
    <m/>
    <n v="184.14990971064981"/>
    <x v="0"/>
    <x v="2"/>
    <x v="0"/>
    <n v="146"/>
    <n v="112"/>
    <n v="0.76712328767123283"/>
    <n v="0.76712328767123283"/>
    <n v="1"/>
  </r>
  <r>
    <n v="1179015267"/>
    <s v="44.444.952/0001-70"/>
    <s v="Thiago"/>
    <x v="0"/>
    <s v="Pipebot"/>
    <x v="1356"/>
    <m/>
    <m/>
    <d v="2025-08-01T20:25:35"/>
    <d v="2025-08-02T20:26:07"/>
    <n v="1.000359"/>
    <m/>
    <m/>
    <m/>
    <m/>
    <m/>
    <m/>
    <d v="2025-08-02T20:26:07"/>
    <d v="2025-08-04T20:26:41"/>
    <n v="2.0003820000000001"/>
    <d v="2025-08-04T20:26:41"/>
    <d v="2025-08-05T20:17:57"/>
    <n v="0.99393500000000001"/>
    <m/>
    <m/>
    <m/>
    <m/>
    <m/>
    <n v="223.14903998842783"/>
    <x v="0"/>
    <x v="5"/>
    <x v="0"/>
    <n v="177"/>
    <n v="130"/>
    <n v="0.7344632768361582"/>
    <n v="0.7344632768361582"/>
    <n v="1"/>
  </r>
  <r>
    <n v="1213466655"/>
    <s v="23.089.787/0001-05"/>
    <s v="Thiago Amaral"/>
    <x v="8"/>
    <s v="Pipebot"/>
    <x v="1357"/>
    <m/>
    <m/>
    <d v="2025-09-26T20:27:01"/>
    <d v="2025-09-27T20:27:55"/>
    <n v="1.000613"/>
    <d v="2025-10-01T20:29:05"/>
    <d v="2025-10-29T19:45:26"/>
    <n v="27.969688000000001"/>
    <m/>
    <m/>
    <m/>
    <d v="2025-09-27T20:27:55"/>
    <d v="2025-09-29T20:28:32"/>
    <n v="2.0004279999999999"/>
    <d v="2025-09-29T20:28:32"/>
    <d v="2025-10-01T20:29:05"/>
    <n v="2.0003820000000001"/>
    <m/>
    <m/>
    <m/>
    <m/>
    <m/>
    <n v="167.14820961806254"/>
    <x v="0"/>
    <x v="4"/>
    <x v="0"/>
    <n v="197"/>
    <n v="149"/>
    <n v="0.75634517766497467"/>
    <n v="0.75634517766497467"/>
    <n v="1"/>
  </r>
  <r>
    <n v="1182800127"/>
    <s v="57.033.794/0001-07"/>
    <s v="Thiago Cardoso Ferreira dos Santos "/>
    <x v="5"/>
    <s v="Pipebot"/>
    <x v="1358"/>
    <m/>
    <m/>
    <d v="2025-08-07T20:26:17"/>
    <d v="2026-02-12T12:25:33"/>
    <n v="1.645891"/>
    <d v="2025-08-12T20:28:02"/>
    <d v="2026-02-11T20:56:06"/>
    <n v="183.01947899999999"/>
    <m/>
    <m/>
    <m/>
    <d v="2025-08-08T20:26:56"/>
    <d v="2026-02-13T15:59:27"/>
    <n v="3.148819"/>
    <d v="2025-08-10T20:27:21"/>
    <d v="2025-08-12T20:28:02"/>
    <n v="15.224316999999999"/>
    <m/>
    <m/>
    <m/>
    <m/>
    <m/>
    <n v="217.14857052083244"/>
    <x v="0"/>
    <x v="5"/>
    <x v="0"/>
    <n v="177"/>
    <n v="130"/>
    <n v="0.7344632768361582"/>
    <n v="0.7344632768361582"/>
    <n v="1"/>
  </r>
  <r>
    <n v="1278798594"/>
    <s v="53.249.213/0001-18"/>
    <s v="Thiago Henrique Baptista"/>
    <x v="0"/>
    <s v="Pipebot"/>
    <x v="1359"/>
    <m/>
    <m/>
    <m/>
    <m/>
    <m/>
    <m/>
    <m/>
    <m/>
    <m/>
    <m/>
    <m/>
    <m/>
    <m/>
    <m/>
    <m/>
    <m/>
    <m/>
    <m/>
    <m/>
    <m/>
    <m/>
    <m/>
    <n v="49.371301828708965"/>
    <x v="2"/>
    <x v="3"/>
    <x v="1"/>
    <n v="223"/>
    <n v="147"/>
    <n v="0.65919282511210764"/>
    <n v="0.65919282511210764"/>
    <n v="1"/>
  </r>
  <r>
    <n v="1283849344"/>
    <s v="42.932.347/0001-12"/>
    <s v="Thiago Mendes de Araújo - maquina (acionado 09/02 gabi) - *postará amanhã"/>
    <x v="0"/>
    <s v="Pipebot"/>
    <x v="1360"/>
    <m/>
    <m/>
    <d v="2026-02-02T13:04:44"/>
    <d v="2026-02-03T13:05:49"/>
    <n v="1.0007410000000001"/>
    <d v="2026-02-07T13:07:17"/>
    <d v="2026-02-16T15:01:16"/>
    <n v="9.0791439999999994"/>
    <d v="2026-02-16T15:01:16"/>
    <d v="2026-02-16T15:01:40"/>
    <n v="2.7799999999999998E-4"/>
    <d v="2026-02-03T13:05:49"/>
    <d v="2026-02-05T13:06:47"/>
    <n v="2.0006599999999999"/>
    <d v="2026-02-05T13:06:47"/>
    <d v="2026-02-07T13:07:17"/>
    <n v="2.0003359999999999"/>
    <m/>
    <m/>
    <m/>
    <m/>
    <m/>
    <n v="38.45537407406664"/>
    <x v="2"/>
    <x v="3"/>
    <x v="1"/>
    <n v="223"/>
    <n v="147"/>
    <n v="0.65919282511210764"/>
    <n v="0.65919282511210764"/>
    <n v="1"/>
  </r>
  <r>
    <n v="1264759065"/>
    <s v="63.425.450/0001-46"/>
    <s v="Vanessa Rossi Mini Mercado Ltda - máquina não ligou (o que fazer nesses casos?)"/>
    <x v="0"/>
    <s v="Pipebot"/>
    <x v="1361"/>
    <m/>
    <m/>
    <d v="2025-12-19T19:11:45"/>
    <d v="2025-12-20T12:51:58"/>
    <n v="0.73624999999999996"/>
    <m/>
    <m/>
    <m/>
    <m/>
    <m/>
    <m/>
    <m/>
    <m/>
    <m/>
    <m/>
    <m/>
    <m/>
    <m/>
    <m/>
    <m/>
    <m/>
    <m/>
    <n v="83.200490868046472"/>
    <x v="0"/>
    <x v="7"/>
    <x v="0"/>
    <n v="207"/>
    <n v="140"/>
    <n v="0.67632850241545894"/>
    <n v="0.67632850241545894"/>
    <n v="1"/>
  </r>
  <r>
    <n v="1183373559"/>
    <s v="39.641.424/0001-70"/>
    <s v="Thiago Moura Galindo "/>
    <x v="0"/>
    <s v="Pipebot"/>
    <x v="1362"/>
    <m/>
    <m/>
    <m/>
    <m/>
    <m/>
    <m/>
    <m/>
    <m/>
    <m/>
    <m/>
    <m/>
    <m/>
    <m/>
    <m/>
    <m/>
    <m/>
    <m/>
    <m/>
    <m/>
    <m/>
    <m/>
    <m/>
    <n v="216.1882052199071"/>
    <x v="0"/>
    <x v="5"/>
    <x v="0"/>
    <n v="177"/>
    <n v="130"/>
    <n v="0.7344632768361582"/>
    <n v="0.7344632768361582"/>
    <n v="1"/>
  </r>
  <r>
    <n v="1171334774"/>
    <s v="55.625.675/0001-18"/>
    <s v="Thiago Patrick"/>
    <x v="0"/>
    <s v="Pipebot"/>
    <x v="1363"/>
    <m/>
    <m/>
    <d v="2025-07-17T20:26:12"/>
    <d v="2025-07-18T20:27:13"/>
    <n v="1.000694"/>
    <d v="2025-07-22T20:28:30"/>
    <d v="2025-08-05T18:22:27"/>
    <n v="13.912454"/>
    <d v="2025-08-05T18:22:27"/>
    <d v="2025-08-05T18:22:33"/>
    <n v="6.8999999999999997E-5"/>
    <d v="2025-07-18T20:27:13"/>
    <d v="2025-07-20T20:28:00"/>
    <n v="2.0005320000000002"/>
    <d v="2025-07-20T20:28:00"/>
    <d v="2025-07-22T20:28:30"/>
    <n v="2.0003359999999999"/>
    <m/>
    <m/>
    <m/>
    <m/>
    <m/>
    <n v="238.14873356481257"/>
    <x v="0"/>
    <x v="5"/>
    <x v="0"/>
    <n v="177"/>
    <n v="130"/>
    <n v="0.7344632768361582"/>
    <n v="0.7344632768361582"/>
    <n v="1"/>
  </r>
  <r>
    <n v="1198095075"/>
    <s v="51.877.768/0001-89"/>
    <s v="Thiago Rodrigo da Silva"/>
    <x v="0"/>
    <s v="Pipebot"/>
    <x v="1364"/>
    <m/>
    <m/>
    <d v="2025-09-02T20:26:59"/>
    <d v="2025-09-03T20:27:21"/>
    <n v="1.000243"/>
    <d v="2025-09-07T20:28:09"/>
    <d v="2025-09-09T18:58:50"/>
    <n v="1.9379630000000001"/>
    <m/>
    <m/>
    <m/>
    <d v="2025-09-03T20:27:21"/>
    <d v="2025-09-05T20:27:42"/>
    <n v="2.0002430000000002"/>
    <d v="2025-09-05T20:27:42"/>
    <d v="2025-09-07T20:28:09"/>
    <n v="2.0003009999999999"/>
    <m/>
    <m/>
    <m/>
    <m/>
    <m/>
    <n v="191.14858913195349"/>
    <x v="0"/>
    <x v="2"/>
    <x v="0"/>
    <n v="146"/>
    <n v="112"/>
    <n v="0.76712328767123283"/>
    <n v="0.76712328767123283"/>
    <n v="1"/>
  </r>
  <r>
    <n v="1243426162"/>
    <s v="51.877.768/0001-89"/>
    <s v="Thiago Rodrigo da Silva."/>
    <x v="0"/>
    <s v="Pipebot"/>
    <x v="1365"/>
    <m/>
    <m/>
    <d v="2025-11-07T19:05:47"/>
    <d v="2025-11-08T19:06:07"/>
    <n v="1.0002200000000001"/>
    <d v="2025-11-12T19:06:56"/>
    <d v="2025-12-20T11:07:19"/>
    <n v="37.666921000000002"/>
    <m/>
    <m/>
    <m/>
    <d v="2025-11-08T19:06:07"/>
    <d v="2025-11-10T19:06:27"/>
    <n v="2.0002309999999999"/>
    <d v="2025-11-10T19:06:27"/>
    <d v="2025-11-12T19:06:56"/>
    <n v="2.0003359999999999"/>
    <m/>
    <m/>
    <m/>
    <m/>
    <m/>
    <n v="125.2047590046277"/>
    <x v="0"/>
    <x v="6"/>
    <x v="0"/>
    <n v="195"/>
    <n v="132"/>
    <n v="0.67692307692307696"/>
    <n v="0.67692307692307696"/>
    <n v="1"/>
  </r>
  <r>
    <n v="1226957746"/>
    <s v="14.590.318/0001-84"/>
    <s v="Thomaz"/>
    <x v="8"/>
    <s v="Pipebot"/>
    <x v="1366"/>
    <m/>
    <m/>
    <d v="2025-10-17T19:09:35"/>
    <d v="2025-10-18T19:09:54"/>
    <n v="1.0002200000000001"/>
    <d v="2025-10-22T19:10:53"/>
    <d v="2025-10-29T19:45:34"/>
    <n v="7.0240859999999996"/>
    <m/>
    <m/>
    <m/>
    <d v="2025-10-18T19:09:54"/>
    <d v="2025-10-20T19:10:41"/>
    <n v="2.0005440000000001"/>
    <d v="2025-10-20T19:10:41"/>
    <d v="2025-10-22T19:10:53"/>
    <n v="2.000127"/>
    <m/>
    <m/>
    <m/>
    <m/>
    <m/>
    <n v="146.20196901621239"/>
    <x v="0"/>
    <x v="6"/>
    <x v="0"/>
    <n v="195"/>
    <n v="132"/>
    <n v="0.67692307692307696"/>
    <n v="0.67692307692307696"/>
    <n v="1"/>
  </r>
  <r>
    <n v="1277618678"/>
    <s v="51.035.709/0001-63"/>
    <s v="Tiago Baldassin de Souza"/>
    <x v="5"/>
    <s v="Pipebot"/>
    <x v="1367"/>
    <m/>
    <m/>
    <d v="2026-01-20T19:05:48"/>
    <d v="2026-02-19T12:35:58"/>
    <n v="1.96478"/>
    <d v="2026-01-25T19:07:34"/>
    <d v="2026-02-18T13:27:41"/>
    <n v="23.763957999999999"/>
    <m/>
    <m/>
    <m/>
    <d v="2026-01-21T19:06:49"/>
    <d v="2026-02-20T16:50:10"/>
    <n v="3.1769910000000001"/>
    <d v="2026-01-23T19:07:29"/>
    <d v="2026-01-25T19:07:34"/>
    <n v="8.1886810000000008"/>
    <m/>
    <m/>
    <m/>
    <m/>
    <m/>
    <n v="51.204652557869849"/>
    <x v="2"/>
    <x v="3"/>
    <x v="1"/>
    <n v="223"/>
    <n v="147"/>
    <n v="0.65919282511210764"/>
    <n v="0.65919282511210764"/>
    <n v="1"/>
  </r>
  <r>
    <n v="1299778644"/>
    <s v="53.602.241/0001-77"/>
    <s v="Tiago Gabriel Gurtler Pozzi "/>
    <x v="7"/>
    <s v="Pipebot"/>
    <x v="1368"/>
    <m/>
    <m/>
    <m/>
    <m/>
    <m/>
    <m/>
    <m/>
    <m/>
    <m/>
    <m/>
    <m/>
    <m/>
    <m/>
    <m/>
    <m/>
    <m/>
    <m/>
    <m/>
    <m/>
    <m/>
    <m/>
    <m/>
    <n v="7.202911782413139"/>
    <x v="4"/>
    <x v="1"/>
    <x v="1"/>
    <n v="189"/>
    <n v="33"/>
    <n v="0.17460317460317459"/>
    <n v="0.17460317460317459"/>
    <n v="1"/>
  </r>
  <r>
    <n v="1247737741"/>
    <s v="52.451.851/0001-54"/>
    <s v="Tita Comércio Varejista LTDA "/>
    <x v="8"/>
    <s v="Pipebot"/>
    <x v="1369"/>
    <m/>
    <m/>
    <m/>
    <m/>
    <m/>
    <m/>
    <m/>
    <m/>
    <m/>
    <m/>
    <m/>
    <m/>
    <m/>
    <m/>
    <m/>
    <m/>
    <m/>
    <m/>
    <m/>
    <m/>
    <m/>
    <m/>
    <n v="119.08056644676253"/>
    <x v="0"/>
    <x v="6"/>
    <x v="0"/>
    <n v="195"/>
    <n v="132"/>
    <n v="0.67692307692307696"/>
    <n v="0.67692307692307696"/>
    <n v="1"/>
  </r>
  <r>
    <n v="1288861342"/>
    <s v="62.557.322/0001-93"/>
    <s v="TITAN COMERCIO DE PRODUTOS LTDA"/>
    <x v="0"/>
    <s v="Pipebot"/>
    <x v="1370"/>
    <m/>
    <m/>
    <m/>
    <m/>
    <m/>
    <m/>
    <m/>
    <m/>
    <m/>
    <m/>
    <m/>
    <m/>
    <m/>
    <m/>
    <m/>
    <m/>
    <m/>
    <m/>
    <m/>
    <m/>
    <m/>
    <m/>
    <n v="30.259357372677187"/>
    <x v="2"/>
    <x v="3"/>
    <x v="1"/>
    <n v="223"/>
    <n v="147"/>
    <n v="0.65919282511210764"/>
    <n v="0.65919282511210764"/>
    <n v="1"/>
  </r>
  <r>
    <n v="1180442966"/>
    <s v="50.397.735/0001-79"/>
    <s v="Tony Joseph Falfali"/>
    <x v="0"/>
    <s v="Pipebot"/>
    <x v="1371"/>
    <m/>
    <m/>
    <m/>
    <m/>
    <m/>
    <m/>
    <m/>
    <m/>
    <m/>
    <m/>
    <m/>
    <m/>
    <m/>
    <m/>
    <m/>
    <m/>
    <m/>
    <m/>
    <m/>
    <m/>
    <m/>
    <m/>
    <n v="220.14836782407656"/>
    <x v="0"/>
    <x v="5"/>
    <x v="0"/>
    <n v="177"/>
    <n v="130"/>
    <n v="0.7344632768361582"/>
    <n v="0.7344632768361582"/>
    <n v="1"/>
  </r>
  <r>
    <n v="1278220887"/>
    <s v="59.500.620/0001-32"/>
    <s v="Top Smart comércio de alimentos Ltda"/>
    <x v="2"/>
    <s v="Pipebot"/>
    <x v="1372"/>
    <m/>
    <m/>
    <d v="2026-01-21T15:06:48"/>
    <d v="2026-01-22T15:07:23"/>
    <n v="1.000405"/>
    <d v="2026-01-26T15:08:34"/>
    <d v="2026-02-06T18:49:14"/>
    <n v="11.151748"/>
    <d v="2026-01-27T18:32:06"/>
    <d v="2026-01-27T18:32:10"/>
    <n v="20.105972000000001"/>
    <d v="2026-01-22T15:07:23"/>
    <d v="2026-01-24T15:07:51"/>
    <n v="2.0003129999999998"/>
    <d v="2026-01-24T15:07:51"/>
    <d v="2026-01-26T15:08:34"/>
    <n v="2.0004979999999999"/>
    <m/>
    <m/>
    <m/>
    <m/>
    <m/>
    <n v="50.371053935188684"/>
    <x v="2"/>
    <x v="3"/>
    <x v="1"/>
    <n v="223"/>
    <n v="147"/>
    <n v="0.65919282511210764"/>
    <n v="0.65919282511210764"/>
    <n v="1"/>
  </r>
  <r>
    <n v="1269754536"/>
    <s v="59.352.438/0001-81"/>
    <s v="Vanusa Arantes Vasques"/>
    <x v="0"/>
    <s v="Pipebot"/>
    <x v="1373"/>
    <m/>
    <m/>
    <d v="2025-12-31T22:07:16"/>
    <d v="2026-01-01T22:07:36"/>
    <n v="1.0002200000000001"/>
    <d v="2026-01-05T22:08:02"/>
    <d v="2026-02-16T16:48:44"/>
    <n v="41.778252000000002"/>
    <d v="2026-02-16T16:48:44"/>
    <d v="2026-02-16T16:48:51"/>
    <n v="8.1000000000000004E-5"/>
    <d v="2026-01-01T22:07:36"/>
    <d v="2026-01-03T22:07:47"/>
    <n v="2.000127"/>
    <d v="2026-01-03T22:07:47"/>
    <d v="2026-01-05T22:08:02"/>
    <n v="2.000162"/>
    <m/>
    <m/>
    <m/>
    <m/>
    <m/>
    <n v="71.078361840278376"/>
    <x v="0"/>
    <x v="7"/>
    <x v="0"/>
    <n v="207"/>
    <n v="140"/>
    <n v="0.67632850241545894"/>
    <n v="0.67632850241545894"/>
    <n v="1"/>
  </r>
  <r>
    <n v="1186386834"/>
    <s v="50.704.413/0001-25"/>
    <s v="Umberto Paschoal Júnior"/>
    <x v="0"/>
    <s v="Pipebot"/>
    <x v="1374"/>
    <m/>
    <m/>
    <m/>
    <m/>
    <m/>
    <m/>
    <m/>
    <m/>
    <m/>
    <m/>
    <m/>
    <m/>
    <m/>
    <m/>
    <m/>
    <m/>
    <m/>
    <m/>
    <m/>
    <m/>
    <m/>
    <m/>
    <n v="210.35732379629917"/>
    <x v="0"/>
    <x v="5"/>
    <x v="0"/>
    <n v="177"/>
    <n v="130"/>
    <n v="0.7344632768361582"/>
    <n v="0.7344632768361582"/>
    <n v="1"/>
  </r>
  <r>
    <n v="1265512178"/>
    <s v="59.352.438/0001-81"/>
    <s v="Vanusa Arantes vasques "/>
    <x v="0"/>
    <s v="Pipebot"/>
    <x v="1375"/>
    <m/>
    <m/>
    <d v="2025-12-22T19:06:24"/>
    <d v="2026-02-16T16:46:32"/>
    <n v="1.162431"/>
    <d v="2025-12-27T19:07:49"/>
    <d v="2026-02-16T12:53:27"/>
    <n v="50.740012"/>
    <m/>
    <m/>
    <m/>
    <d v="2025-12-23T19:07:14"/>
    <d v="2025-12-25T19:07:25"/>
    <n v="2.0001159999999998"/>
    <d v="2025-12-25T19:07:25"/>
    <d v="2025-12-27T19:07:49"/>
    <n v="2.0002779999999998"/>
    <m/>
    <m/>
    <m/>
    <m/>
    <m/>
    <n v="80.204299525459646"/>
    <x v="0"/>
    <x v="7"/>
    <x v="0"/>
    <n v="207"/>
    <n v="140"/>
    <n v="0.67632850241545894"/>
    <n v="0.67632850241545894"/>
    <n v="1"/>
  </r>
  <r>
    <n v="1206100498"/>
    <s v="60.093.558/0001-90"/>
    <s v="Valderico Cruz Teixeira"/>
    <x v="5"/>
    <s v="Pipebot"/>
    <x v="1376"/>
    <m/>
    <m/>
    <d v="2025-09-15T20:26:32"/>
    <d v="2026-02-16T12:51:06"/>
    <n v="3.8725809999999998"/>
    <d v="2025-09-20T20:27:53"/>
    <d v="2026-02-13T16:02:02"/>
    <n v="145.810405"/>
    <m/>
    <m/>
    <m/>
    <d v="2025-09-16T20:26:49"/>
    <d v="2026-02-18T13:20:47"/>
    <n v="4.0212269999999997"/>
    <d v="2025-09-18T20:27:43"/>
    <d v="2025-09-20T20:27:53"/>
    <n v="10.334132"/>
    <m/>
    <m/>
    <m/>
    <m/>
    <m/>
    <n v="178.14897596064839"/>
    <x v="0"/>
    <x v="4"/>
    <x v="0"/>
    <n v="197"/>
    <n v="149"/>
    <n v="0.75634517766497467"/>
    <n v="0.75634517766497467"/>
    <n v="1"/>
  </r>
  <r>
    <n v="1299547682"/>
    <s v="51.500.776/0001-01"/>
    <s v="Vale minimercados "/>
    <x v="5"/>
    <s v="Pipebot"/>
    <x v="1377"/>
    <m/>
    <m/>
    <d v="2026-02-19T17:59:31"/>
    <d v="2026-02-20T17:59:48"/>
    <n v="1.000197"/>
    <m/>
    <m/>
    <m/>
    <m/>
    <m/>
    <m/>
    <d v="2026-02-20T17:59:48"/>
    <d v="2026-02-22T18:00:18"/>
    <n v="2.0003359999999999"/>
    <d v="2026-02-22T18:00:18"/>
    <m/>
    <n v="4.1399189999999999"/>
    <m/>
    <m/>
    <m/>
    <m/>
    <m/>
    <n v="7.3711464004591107"/>
    <x v="4"/>
    <x v="1"/>
    <x v="1"/>
    <n v="189"/>
    <n v="33"/>
    <n v="0.17460317460317459"/>
    <n v="0.17460317460317459"/>
    <n v="1"/>
  </r>
  <r>
    <n v="1232077550"/>
    <s v="62.360.595/0001-43"/>
    <s v="Valentin Odair Scantamburlo."/>
    <x v="0"/>
    <s v="Pipebot"/>
    <x v="1378"/>
    <m/>
    <m/>
    <m/>
    <m/>
    <m/>
    <m/>
    <m/>
    <m/>
    <m/>
    <m/>
    <m/>
    <m/>
    <m/>
    <m/>
    <m/>
    <m/>
    <m/>
    <m/>
    <m/>
    <m/>
    <m/>
    <m/>
    <n v="139.35624951389036"/>
    <x v="0"/>
    <x v="6"/>
    <x v="0"/>
    <n v="195"/>
    <n v="132"/>
    <n v="0.67692307692307696"/>
    <n v="0.67692307692307696"/>
    <n v="1"/>
  </r>
  <r>
    <n v="1268739508"/>
    <s v="55.588.579/0001-47"/>
    <s v="VERÍSSIMO JOSÉ BISPO JÚNIOR"/>
    <x v="0"/>
    <s v="Pipebot"/>
    <x v="1379"/>
    <m/>
    <m/>
    <d v="2025-12-29T22:03:25"/>
    <d v="2025-12-30T22:03:58"/>
    <n v="1.0003820000000001"/>
    <d v="2026-01-03T22:04:46"/>
    <d v="2026-01-12T13:28:20"/>
    <n v="8.6413659999999997"/>
    <m/>
    <m/>
    <m/>
    <d v="2025-12-30T22:03:59"/>
    <d v="2026-01-01T22:04:37"/>
    <n v="2.0004400000000002"/>
    <d v="2026-01-01T22:04:37"/>
    <d v="2026-01-03T22:04:46"/>
    <n v="2.0000930000000001"/>
    <m/>
    <m/>
    <m/>
    <m/>
    <m/>
    <n v="73.081509270843526"/>
    <x v="0"/>
    <x v="7"/>
    <x v="0"/>
    <n v="207"/>
    <n v="140"/>
    <n v="0.67632850241545894"/>
    <n v="0.67632850241545894"/>
    <n v="1"/>
  </r>
  <r>
    <n v="1183423852"/>
    <s v="49.540.130/0001-06"/>
    <s v="Valmir da Silva Anselmo "/>
    <x v="3"/>
    <s v="Pipebot"/>
    <x v="1380"/>
    <m/>
    <m/>
    <d v="2025-08-08T20:26:58"/>
    <d v="2026-02-12T12:25:36"/>
    <n v="1.645926"/>
    <d v="2025-08-13T20:29:17"/>
    <d v="2026-02-11T20:56:08"/>
    <n v="182.01863399999999"/>
    <m/>
    <m/>
    <m/>
    <d v="2025-08-09T20:27:38"/>
    <d v="2026-02-13T15:59:30"/>
    <n v="3.1492360000000001"/>
    <d v="2025-08-11T20:28:39"/>
    <d v="2026-02-18T18:25:04"/>
    <n v="7.1015280000000001"/>
    <m/>
    <m/>
    <m/>
    <m/>
    <m/>
    <n v="216.14819065971824"/>
    <x v="0"/>
    <x v="5"/>
    <x v="0"/>
    <n v="177"/>
    <n v="130"/>
    <n v="0.7344632768361582"/>
    <n v="0.7344632768361582"/>
    <n v="1"/>
  </r>
  <r>
    <n v="1276683406"/>
    <s v="10.421.587/0001-66"/>
    <s v="Valter Balioni "/>
    <x v="0"/>
    <s v="Pipebot"/>
    <x v="1381"/>
    <m/>
    <m/>
    <m/>
    <m/>
    <m/>
    <m/>
    <m/>
    <m/>
    <m/>
    <m/>
    <m/>
    <m/>
    <m/>
    <m/>
    <m/>
    <m/>
    <m/>
    <m/>
    <m/>
    <m/>
    <m/>
    <m/>
    <n v="52.078633773162437"/>
    <x v="2"/>
    <x v="3"/>
    <x v="1"/>
    <n v="223"/>
    <n v="147"/>
    <n v="0.65919282511210764"/>
    <n v="0.65919282511210764"/>
    <n v="1"/>
  </r>
  <r>
    <n v="1199019610"/>
    <s v="47.368.293/0001-28"/>
    <s v="Valter Balioni "/>
    <x v="0"/>
    <s v="Pipebot"/>
    <x v="1382"/>
    <m/>
    <m/>
    <d v="2025-08-25T19:16:13"/>
    <d v="2025-08-25T19:16:14"/>
    <n v="0"/>
    <m/>
    <m/>
    <m/>
    <m/>
    <m/>
    <m/>
    <m/>
    <m/>
    <m/>
    <m/>
    <m/>
    <m/>
    <m/>
    <m/>
    <m/>
    <m/>
    <m/>
    <n v="189.98287482638989"/>
    <x v="0"/>
    <x v="2"/>
    <x v="0"/>
    <n v="146"/>
    <n v="112"/>
    <n v="0.76712328767123283"/>
    <n v="0.76712328767123283"/>
    <n v="1"/>
  </r>
  <r>
    <n v="1221986867"/>
    <s v="46.821.433/0001-09"/>
    <s v="Vanessa Milani Safe mart"/>
    <x v="5"/>
    <s v="Pipebot"/>
    <x v="1383"/>
    <m/>
    <m/>
    <d v="2025-10-10T15:23:40"/>
    <d v="2026-02-13T11:17:10"/>
    <n v="1.000324"/>
    <d v="2025-10-10T16:37:31"/>
    <d v="2026-02-12T12:28:25"/>
    <n v="124.82701400000001"/>
    <m/>
    <m/>
    <m/>
    <d v="2026-02-13T11:17:10"/>
    <d v="2026-02-13T15:59:58"/>
    <n v="0.196377"/>
    <d v="2026-02-13T15:59:58"/>
    <m/>
    <n v="13.223483999999999"/>
    <m/>
    <m/>
    <m/>
    <m/>
    <m/>
    <n v="153.35876903934695"/>
    <x v="0"/>
    <x v="4"/>
    <x v="0"/>
    <n v="197"/>
    <n v="149"/>
    <n v="0.75634517766497467"/>
    <n v="0.75634517766497467"/>
    <n v="1"/>
  </r>
  <r>
    <n v="1193298028"/>
    <s v="61.705.631/0001-09"/>
    <s v="Vanessa Okara Ferreira"/>
    <x v="0"/>
    <s v="Pipebot"/>
    <x v="1384"/>
    <m/>
    <m/>
    <m/>
    <m/>
    <m/>
    <m/>
    <m/>
    <m/>
    <m/>
    <m/>
    <m/>
    <m/>
    <m/>
    <m/>
    <m/>
    <m/>
    <m/>
    <m/>
    <m/>
    <m/>
    <m/>
    <m/>
    <n v="199.14864922453853"/>
    <x v="0"/>
    <x v="2"/>
    <x v="0"/>
    <n v="146"/>
    <n v="112"/>
    <n v="0.76712328767123283"/>
    <n v="0.76712328767123283"/>
    <n v="1"/>
  </r>
  <r>
    <n v="1198093994"/>
    <s v="61.705.631/0001-09"/>
    <s v="Vanessa Okara Ferreira "/>
    <x v="0"/>
    <s v="Pipebot"/>
    <x v="1385"/>
    <m/>
    <m/>
    <m/>
    <m/>
    <m/>
    <m/>
    <m/>
    <m/>
    <m/>
    <m/>
    <m/>
    <m/>
    <m/>
    <m/>
    <m/>
    <m/>
    <m/>
    <m/>
    <m/>
    <m/>
    <m/>
    <m/>
    <n v="191.149347164348"/>
    <x v="0"/>
    <x v="2"/>
    <x v="0"/>
    <n v="146"/>
    <n v="112"/>
    <n v="0.76712328767123283"/>
    <n v="0.76712328767123283"/>
    <n v="1"/>
  </r>
  <r>
    <n v="1261738042"/>
    <s v="62.466.238/0001-64"/>
    <s v="Vinicius - VSO Comercio de Alimentos"/>
    <x v="0"/>
    <s v="Pipebot"/>
    <x v="1386"/>
    <m/>
    <m/>
    <d v="2025-12-15T13:01:08"/>
    <d v="2025-12-16T13:01:54"/>
    <n v="1.000521"/>
    <d v="2025-12-20T13:03:13"/>
    <d v="2026-02-04T17:46:58"/>
    <n v="46.197049"/>
    <m/>
    <m/>
    <m/>
    <d v="2025-12-16T13:01:54"/>
    <d v="2025-12-18T13:02:51"/>
    <n v="2.000648"/>
    <d v="2025-12-18T13:02:51"/>
    <d v="2025-12-20T13:03:13"/>
    <n v="2.0002430000000002"/>
    <m/>
    <m/>
    <m/>
    <m/>
    <m/>
    <n v="87.458238402767165"/>
    <x v="0"/>
    <x v="7"/>
    <x v="0"/>
    <n v="207"/>
    <n v="140"/>
    <n v="0.67632850241545894"/>
    <n v="0.67632850241545894"/>
    <n v="1"/>
  </r>
  <r>
    <n v="1297487210"/>
    <s v="52.353.579/0001-70"/>
    <s v="Vânia Savoldi chiarion"/>
    <x v="7"/>
    <s v="Pipebot"/>
    <x v="1387"/>
    <m/>
    <m/>
    <m/>
    <m/>
    <m/>
    <m/>
    <m/>
    <m/>
    <m/>
    <m/>
    <m/>
    <m/>
    <m/>
    <m/>
    <m/>
    <m/>
    <m/>
    <m/>
    <m/>
    <m/>
    <m/>
    <m/>
    <n v="13.371079907403328"/>
    <x v="4"/>
    <x v="1"/>
    <x v="1"/>
    <n v="189"/>
    <n v="33"/>
    <n v="0.17460317460317459"/>
    <n v="0.17460317460317459"/>
    <n v="1"/>
  </r>
  <r>
    <n v="1268158280"/>
    <m/>
    <s v="Vinicius Marchi Sgarbi_x0009_"/>
    <x v="0"/>
    <s v="Pipebot"/>
    <x v="1388"/>
    <m/>
    <m/>
    <m/>
    <m/>
    <m/>
    <m/>
    <m/>
    <m/>
    <m/>
    <m/>
    <m/>
    <m/>
    <m/>
    <m/>
    <m/>
    <m/>
    <m/>
    <m/>
    <m/>
    <m/>
    <m/>
    <m/>
    <n v="74.24689069444139"/>
    <x v="0"/>
    <x v="7"/>
    <x v="0"/>
    <n v="207"/>
    <n v="140"/>
    <n v="0.67632850241545894"/>
    <n v="0.67632850241545894"/>
    <n v="1"/>
  </r>
  <r>
    <n v="1264272328"/>
    <s v="50.782.809/0001-90"/>
    <s v="Vinicius Rossi de Oliveira"/>
    <x v="0"/>
    <s v="Pipebot"/>
    <x v="1389"/>
    <m/>
    <m/>
    <d v="2025-12-18T19:08:52"/>
    <d v="2025-12-19T19:09:40"/>
    <n v="1.0005440000000001"/>
    <d v="2025-12-23T19:11:16"/>
    <d v="2026-01-12T13:56:22"/>
    <n v="19.781319"/>
    <m/>
    <m/>
    <m/>
    <d v="2025-12-19T19:09:40"/>
    <d v="2025-12-21T19:10:18"/>
    <n v="2.0004279999999999"/>
    <d v="2025-12-21T19:10:18"/>
    <d v="2025-12-23T19:11:16"/>
    <n v="2.0006710000000001"/>
    <m/>
    <m/>
    <m/>
    <m/>
    <m/>
    <n v="84.202331539352599"/>
    <x v="0"/>
    <x v="7"/>
    <x v="0"/>
    <n v="207"/>
    <n v="140"/>
    <n v="0.67632850241545894"/>
    <n v="0.67632850241545894"/>
    <n v="1"/>
  </r>
  <r>
    <n v="1281987953"/>
    <s v="59.352.438/0001-81"/>
    <s v="Vanusa Arantes Vasques (módulo) - acionado Sofia 04/02 (geramos código, vai devolver)"/>
    <x v="5"/>
    <s v="Pipebot"/>
    <x v="1390"/>
    <m/>
    <m/>
    <d v="2026-01-28T22:04:51"/>
    <d v="2026-02-20T16:51:37"/>
    <n v="2.176377"/>
    <d v="2026-02-02T22:06:42"/>
    <d v="2026-02-19T12:37:56"/>
    <n v="16.605022999999999"/>
    <m/>
    <m/>
    <m/>
    <d v="2026-01-29T22:05:10"/>
    <d v="2026-02-23T13:32:47"/>
    <n v="4.8622920000000001"/>
    <d v="2026-01-31T22:05:41"/>
    <d v="2026-02-02T22:06:42"/>
    <n v="5.3263769999999999"/>
    <m/>
    <m/>
    <m/>
    <m/>
    <m/>
    <n v="43.080106412031455"/>
    <x v="2"/>
    <x v="3"/>
    <x v="1"/>
    <n v="223"/>
    <n v="147"/>
    <n v="0.65919282511210764"/>
    <n v="0.65919282511210764"/>
    <n v="1"/>
  </r>
  <r>
    <n v="1286720204"/>
    <s v="54.829.819/0001-95"/>
    <s v="Vaz Tech Comercio de Alimentos LTDA - suporte para máquina V3"/>
    <x v="0"/>
    <s v="Pipebot"/>
    <x v="1391"/>
    <m/>
    <m/>
    <d v="2026-02-06T19:05:34"/>
    <d v="2026-02-07T19:06:18"/>
    <n v="1.0004980000000001"/>
    <m/>
    <m/>
    <m/>
    <m/>
    <m/>
    <m/>
    <d v="2026-02-07T19:06:18"/>
    <d v="2026-02-09T19:07:13"/>
    <n v="2.0006249999999999"/>
    <d v="2026-02-09T19:07:13"/>
    <d v="2026-02-10T12:30:05"/>
    <n v="0.72420099999999998"/>
    <m/>
    <m/>
    <m/>
    <m/>
    <m/>
    <n v="34.204740092587599"/>
    <x v="2"/>
    <x v="3"/>
    <x v="1"/>
    <n v="223"/>
    <n v="147"/>
    <n v="0.65919282511210764"/>
    <n v="0.65919282511210764"/>
    <n v="1"/>
  </r>
  <r>
    <n v="1279455409"/>
    <s v="37.462.241/0001-62"/>
    <s v="vendinha 24h (adaptador e módulo) - acionado Sofia 06/02."/>
    <x v="5"/>
    <s v="Pipebot"/>
    <x v="1392"/>
    <m/>
    <m/>
    <d v="2026-01-23T15:09:37"/>
    <d v="2026-02-20T16:51:24"/>
    <n v="2.1762959999999998"/>
    <d v="2026-01-28T15:11:35"/>
    <d v="2026-02-19T12:37:46"/>
    <n v="21.893170999999999"/>
    <m/>
    <m/>
    <m/>
    <d v="2026-01-24T15:09:51"/>
    <d v="2026-02-23T13:32:47"/>
    <n v="4.8625809999999996"/>
    <d v="2026-01-26T15:10:36"/>
    <d v="2026-01-28T15:11:35"/>
    <n v="5.3263660000000002"/>
    <m/>
    <m/>
    <m/>
    <m/>
    <m/>
    <n v="48.368700543993327"/>
    <x v="2"/>
    <x v="3"/>
    <x v="1"/>
    <n v="223"/>
    <n v="147"/>
    <n v="0.65919282511210764"/>
    <n v="0.65919282511210764"/>
    <n v="1"/>
  </r>
  <r>
    <n v="1294485379"/>
    <s v="37.462.241/0001-62"/>
    <s v="VENDINHA24H "/>
    <x v="5"/>
    <s v="Pipebot"/>
    <x v="1393"/>
    <m/>
    <m/>
    <d v="2026-02-20T19:06:05"/>
    <d v="2026-02-21T19:06:35"/>
    <n v="1.0003359999999999"/>
    <m/>
    <m/>
    <m/>
    <m/>
    <m/>
    <m/>
    <d v="2026-02-21T19:06:35"/>
    <d v="2026-02-23T13:32:47"/>
    <n v="1.768194"/>
    <d v="2026-02-23T13:32:48"/>
    <m/>
    <n v="3.3256709999999998"/>
    <m/>
    <m/>
    <m/>
    <m/>
    <m/>
    <n v="20.204274583331426"/>
    <x v="3"/>
    <x v="1"/>
    <x v="1"/>
    <n v="189"/>
    <n v="33"/>
    <n v="0.17460317460317459"/>
    <n v="0.17460317460317459"/>
    <n v="1"/>
  </r>
  <r>
    <n v="1249753102"/>
    <s v="37.462.241/0001-62"/>
    <s v="Vendinha24h serviços e comercio de produtos alimenticios ltda"/>
    <x v="5"/>
    <s v="Pipebot"/>
    <x v="1394"/>
    <m/>
    <m/>
    <d v="2025-11-18T19:04:39"/>
    <d v="2026-02-16T12:51:23"/>
    <n v="3.8679169999999998"/>
    <d v="2025-11-23T19:06:05"/>
    <d v="2026-02-13T16:02:19"/>
    <n v="81.872383999999997"/>
    <m/>
    <m/>
    <m/>
    <d v="2025-11-19T19:05:23"/>
    <d v="2026-02-18T13:21:18"/>
    <n v="4.0211230000000002"/>
    <d v="2025-11-21T19:05:53"/>
    <d v="2025-11-23T19:06:05"/>
    <n v="10.333796"/>
    <m/>
    <m/>
    <m/>
    <m/>
    <m/>
    <n v="114.20555892361153"/>
    <x v="0"/>
    <x v="0"/>
    <x v="0"/>
    <n v="131"/>
    <n v="87"/>
    <n v="0.66412213740458015"/>
    <n v="0.66412213740458015"/>
    <n v="1"/>
  </r>
  <r>
    <n v="1299196811"/>
    <s v="37.462.241/0001-62"/>
    <s v="vendinha24h serviços e comercio de produtos alimenticios LTDA "/>
    <x v="7"/>
    <s v="Pipebot"/>
    <x v="1395"/>
    <m/>
    <m/>
    <m/>
    <m/>
    <m/>
    <m/>
    <m/>
    <m/>
    <m/>
    <m/>
    <m/>
    <m/>
    <m/>
    <m/>
    <m/>
    <m/>
    <m/>
    <m/>
    <m/>
    <m/>
    <m/>
    <m/>
    <n v="8.0792605786991771"/>
    <x v="4"/>
    <x v="1"/>
    <x v="1"/>
    <n v="189"/>
    <n v="33"/>
    <n v="0.17460317460317459"/>
    <n v="0.17460317460317459"/>
    <n v="1"/>
  </r>
  <r>
    <n v="1269142774"/>
    <s v="52.456.583/0001-63"/>
    <s v="Vitor Sanches Secundo da Silva"/>
    <x v="0"/>
    <s v="Pipebot"/>
    <x v="1396"/>
    <m/>
    <m/>
    <d v="2025-12-30T19:08:01"/>
    <d v="2025-12-31T19:08:16"/>
    <n v="1.0001739999999999"/>
    <d v="2026-01-04T19:09:00"/>
    <d v="2026-01-15T13:08:21"/>
    <n v="10.749549"/>
    <m/>
    <m/>
    <m/>
    <d v="2025-12-31T19:08:16"/>
    <d v="2026-01-02T19:08:53"/>
    <n v="2.0004170000000001"/>
    <d v="2026-01-02T19:08:53"/>
    <d v="2026-01-04T19:09:00"/>
    <n v="2.0000810000000002"/>
    <m/>
    <m/>
    <m/>
    <m/>
    <m/>
    <n v="72.203022361107287"/>
    <x v="0"/>
    <x v="7"/>
    <x v="0"/>
    <n v="207"/>
    <n v="140"/>
    <n v="0.67632850241545894"/>
    <n v="0.67632850241545894"/>
    <n v="1"/>
  </r>
  <r>
    <n v="1286721068"/>
    <s v="55.588.579/0001-47"/>
    <s v="Veríssimo José Bispo Júnior "/>
    <x v="0"/>
    <s v="Pipebot"/>
    <x v="1397"/>
    <m/>
    <m/>
    <d v="2026-02-06T19:06:28"/>
    <d v="2026-02-07T19:07:17"/>
    <n v="1.000567"/>
    <m/>
    <m/>
    <m/>
    <m/>
    <m/>
    <m/>
    <d v="2026-02-07T19:07:17"/>
    <d v="2026-02-09T19:08:15"/>
    <n v="2.0006599999999999"/>
    <d v="2026-02-09T19:08:15"/>
    <d v="2026-02-10T12:22:30"/>
    <n v="0.71821800000000002"/>
    <m/>
    <m/>
    <m/>
    <m/>
    <m/>
    <n v="34.204025543978787"/>
    <x v="2"/>
    <x v="3"/>
    <x v="1"/>
    <n v="223"/>
    <n v="147"/>
    <n v="0.65919282511210764"/>
    <n v="0.65919282511210764"/>
    <n v="1"/>
  </r>
  <r>
    <n v="1182801818"/>
    <s v="56.196.733/0001-06"/>
    <s v="Victor Maeda"/>
    <x v="0"/>
    <s v="Pipebot"/>
    <x v="1398"/>
    <m/>
    <m/>
    <d v="2025-08-07T20:28:10"/>
    <d v="2026-02-12T12:25:34"/>
    <n v="1.6467130000000001"/>
    <d v="2025-08-12T20:31:21"/>
    <d v="2026-02-19T19:01:48"/>
    <n v="183.017211"/>
    <d v="2026-02-19T19:01:07"/>
    <d v="2026-02-19T19:01:46"/>
    <n v="4.5100000000000001E-4"/>
    <d v="2025-08-08T20:29:59"/>
    <d v="2026-02-13T15:59:28"/>
    <n v="3.1487959999999999"/>
    <d v="2025-08-10T20:30:23"/>
    <d v="2026-02-19T19:01:07"/>
    <n v="8.1268170000000008"/>
    <m/>
    <m/>
    <m/>
    <m/>
    <m/>
    <n v="217.14742988427315"/>
    <x v="0"/>
    <x v="5"/>
    <x v="0"/>
    <n v="177"/>
    <n v="130"/>
    <n v="0.7344632768361582"/>
    <n v="0.7344632768361582"/>
    <n v="1"/>
  </r>
  <r>
    <n v="1297055854"/>
    <s v="12.506.617/0001-62"/>
    <s v="Vilaseca Comércio de Produtos Alimentícios "/>
    <x v="6"/>
    <s v="Pipebot"/>
    <x v="1399"/>
    <m/>
    <m/>
    <d v="2026-02-26T19:07:37"/>
    <m/>
    <n v="9.3171000000000004E-2"/>
    <m/>
    <m/>
    <m/>
    <m/>
    <m/>
    <m/>
    <m/>
    <m/>
    <m/>
    <m/>
    <m/>
    <m/>
    <m/>
    <m/>
    <m/>
    <m/>
    <m/>
    <n v="14.203496539346816"/>
    <x v="1"/>
    <x v="1"/>
    <x v="1"/>
    <n v="189"/>
    <n v="33"/>
    <n v="0.17460317460317459"/>
    <n v="0.17460317460317459"/>
    <n v="1"/>
  </r>
  <r>
    <n v="1258798097"/>
    <s v="60.907.465/0001-52"/>
    <s v="VILLAGIO MINIMARKET LTDA"/>
    <x v="0"/>
    <s v="Pipebot"/>
    <x v="1400"/>
    <m/>
    <m/>
    <m/>
    <m/>
    <m/>
    <m/>
    <m/>
    <m/>
    <m/>
    <m/>
    <m/>
    <m/>
    <m/>
    <m/>
    <m/>
    <m/>
    <m/>
    <m/>
    <m/>
    <m/>
    <m/>
    <m/>
    <n v="94.265314733798732"/>
    <x v="0"/>
    <x v="0"/>
    <x v="0"/>
    <n v="131"/>
    <n v="87"/>
    <n v="0.66412213740458015"/>
    <n v="0.66412213740458015"/>
    <n v="1"/>
  </r>
  <r>
    <n v="1286847312"/>
    <s v="58.861.013/0001-35"/>
    <s v="Ville Prime Comércios e Serviços LTDA "/>
    <x v="5"/>
    <s v="Pipebot"/>
    <x v="1401"/>
    <m/>
    <m/>
    <d v="2026-02-06T22:05:17"/>
    <d v="2026-02-20T16:52:37"/>
    <n v="2.1742819999999998"/>
    <d v="2026-02-10T13:05:52"/>
    <d v="2026-02-19T12:42:19"/>
    <n v="8.9836460000000002"/>
    <m/>
    <m/>
    <m/>
    <d v="2026-02-07T22:05:58"/>
    <d v="2026-02-23T13:32:47"/>
    <n v="4.8613540000000004"/>
    <d v="2026-02-09T22:06:09"/>
    <d v="2026-02-10T13:05:52"/>
    <n v="3.950475"/>
    <m/>
    <m/>
    <m/>
    <m/>
    <m/>
    <n v="34.080218194452755"/>
    <x v="2"/>
    <x v="3"/>
    <x v="1"/>
    <n v="223"/>
    <n v="147"/>
    <n v="0.65919282511210764"/>
    <n v="0.65919282511210764"/>
    <n v="1"/>
  </r>
  <r>
    <n v="1213464959"/>
    <s v="58.861.013/0001-35"/>
    <s v="Ville Prime Comércios e Serviços LTDA "/>
    <x v="0"/>
    <s v="Pipebot"/>
    <x v="1402"/>
    <m/>
    <m/>
    <d v="2025-09-26T20:25:06"/>
    <d v="2025-09-27T20:25:49"/>
    <n v="1.000486"/>
    <d v="2025-10-01T20:26:53"/>
    <d v="2025-10-02T17:23:55"/>
    <n v="0.87294000000000005"/>
    <d v="2025-10-02T17:23:55"/>
    <d v="2025-10-03T19:37:48"/>
    <n v="1.0929629999999999"/>
    <d v="2025-09-27T20:25:49"/>
    <d v="2025-09-29T20:26:37"/>
    <n v="2.000556"/>
    <d v="2025-09-29T20:26:37"/>
    <d v="2025-10-01T20:26:53"/>
    <n v="2.0001850000000001"/>
    <m/>
    <m/>
    <m/>
    <m/>
    <m/>
    <n v="167.14980452546297"/>
    <x v="0"/>
    <x v="4"/>
    <x v="0"/>
    <n v="197"/>
    <n v="149"/>
    <n v="0.75634517766497467"/>
    <n v="0.75634517766497467"/>
    <n v="1"/>
  </r>
  <r>
    <n v="1193959535"/>
    <s v="52.765.822/0002-48"/>
    <s v="Vinício Souza Garrido"/>
    <x v="0"/>
    <s v="Pipebot"/>
    <x v="1403"/>
    <m/>
    <m/>
    <m/>
    <m/>
    <m/>
    <d v="2025-08-20T18:29:18"/>
    <d v="2025-09-11T20:04:38"/>
    <n v="22.066203999999999"/>
    <d v="2025-09-11T20:04:38"/>
    <d v="2025-09-11T20:04:46"/>
    <n v="8.1000000000000004E-5"/>
    <m/>
    <m/>
    <m/>
    <m/>
    <m/>
    <m/>
    <m/>
    <m/>
    <m/>
    <m/>
    <m/>
    <n v="198.14967812500254"/>
    <x v="0"/>
    <x v="2"/>
    <x v="0"/>
    <n v="146"/>
    <n v="112"/>
    <n v="0.76712328767123283"/>
    <n v="0.76712328767123283"/>
    <n v="1"/>
  </r>
  <r>
    <n v="1226266140"/>
    <s v="52.765.822/0001-67"/>
    <s v="Vinício Souza garrido "/>
    <x v="0"/>
    <s v="Pipebot"/>
    <x v="1404"/>
    <m/>
    <m/>
    <d v="2025-10-16T20:26:55"/>
    <d v="2025-10-17T20:27:14"/>
    <n v="1.000208"/>
    <m/>
    <m/>
    <m/>
    <d v="2025-10-20T20:11:46"/>
    <d v="2025-10-20T20:11:53"/>
    <n v="6.8999999999999997E-5"/>
    <d v="2025-10-17T20:27:14"/>
    <d v="2025-10-19T20:27:35"/>
    <n v="2.0002430000000002"/>
    <d v="2025-10-19T20:27:35"/>
    <d v="2025-10-20T20:10:58"/>
    <n v="0.98844900000000002"/>
    <m/>
    <m/>
    <m/>
    <m/>
    <m/>
    <n v="147.14851856481255"/>
    <x v="0"/>
    <x v="6"/>
    <x v="0"/>
    <n v="195"/>
    <n v="132"/>
    <n v="0.67692307692307696"/>
    <n v="0.67692307692307696"/>
    <n v="1"/>
  </r>
  <r>
    <n v="1265386892"/>
    <s v="23.089.787/0001-05"/>
    <s v="Vitória Vargas"/>
    <x v="5"/>
    <s v="Pipebot"/>
    <x v="1405"/>
    <m/>
    <m/>
    <d v="2025-12-22T15:11:13"/>
    <d v="2026-02-18T13:25:09"/>
    <n v="3.0227200000000001"/>
    <d v="2025-12-27T15:12:49"/>
    <d v="2026-02-16T12:53:26"/>
    <n v="50.903193999999999"/>
    <m/>
    <m/>
    <m/>
    <d v="2025-12-23T15:12:14"/>
    <d v="2026-02-19T12:27:58"/>
    <n v="2.9606599999999998"/>
    <d v="2025-12-25T15:12:47"/>
    <d v="2025-12-27T15:12:49"/>
    <n v="9.3707410000000007"/>
    <m/>
    <m/>
    <m/>
    <m/>
    <m/>
    <n v="80.367762893518375"/>
    <x v="0"/>
    <x v="7"/>
    <x v="0"/>
    <n v="207"/>
    <n v="140"/>
    <n v="0.67632850241545894"/>
    <n v="0.67632850241545894"/>
    <n v="1"/>
  </r>
  <r>
    <n v="1266705462"/>
    <s v="50.618.409/0001-44"/>
    <s v="WIZMART - MG COMERCIO VAREJISTA LTDA"/>
    <x v="5"/>
    <s v="Pipebot"/>
    <x v="1406"/>
    <m/>
    <m/>
    <d v="2025-12-24T19:08:55"/>
    <d v="2026-02-18T13:25:20"/>
    <n v="3.022465"/>
    <d v="2025-12-29T19:10:21"/>
    <d v="2026-02-16T12:53:29"/>
    <n v="48.738287"/>
    <m/>
    <m/>
    <m/>
    <d v="2025-12-25T19:09:26"/>
    <d v="2026-02-19T12:28:01"/>
    <n v="2.9604629999999998"/>
    <d v="2025-12-27T19:09:50"/>
    <d v="2025-12-29T19:10:21"/>
    <n v="9.3710299999999993"/>
    <m/>
    <m/>
    <m/>
    <m/>
    <m/>
    <n v="78.202451319448301"/>
    <x v="0"/>
    <x v="7"/>
    <x v="0"/>
    <n v="207"/>
    <n v="140"/>
    <n v="0.67632850241545894"/>
    <n v="0.67632850241545894"/>
    <n v="1"/>
  </r>
  <r>
    <n v="1220172572"/>
    <s v="62.392.130/0001-74"/>
    <s v="Vinicius Massimo Silva Rodrigues"/>
    <x v="0"/>
    <s v="Pipebot"/>
    <x v="1407"/>
    <m/>
    <m/>
    <m/>
    <m/>
    <m/>
    <d v="2025-09-23T20:29:01"/>
    <d v="2025-09-24T20:31:51"/>
    <n v="1.001968"/>
    <m/>
    <m/>
    <m/>
    <m/>
    <m/>
    <m/>
    <m/>
    <m/>
    <m/>
    <m/>
    <m/>
    <m/>
    <m/>
    <m/>
    <n v="156.1780166435201"/>
    <x v="0"/>
    <x v="4"/>
    <x v="0"/>
    <n v="197"/>
    <n v="149"/>
    <n v="0.75634517766497467"/>
    <n v="0.75634517766497467"/>
    <n v="1"/>
  </r>
  <r>
    <n v="1171784272"/>
    <s v="39.753.351/0001-09"/>
    <s v="Vinícius Rosa de Melo"/>
    <x v="0"/>
    <s v="Pipebot"/>
    <x v="1408"/>
    <m/>
    <m/>
    <m/>
    <m/>
    <m/>
    <m/>
    <m/>
    <m/>
    <m/>
    <m/>
    <m/>
    <m/>
    <m/>
    <m/>
    <m/>
    <m/>
    <m/>
    <m/>
    <m/>
    <m/>
    <m/>
    <m/>
    <n v="237.35664233795978"/>
    <x v="0"/>
    <x v="5"/>
    <x v="0"/>
    <n v="177"/>
    <n v="130"/>
    <n v="0.7344632768361582"/>
    <n v="0.7344632768361582"/>
    <n v="1"/>
  </r>
  <r>
    <n v="1270228037"/>
    <s v="44.444.952/0001-70"/>
    <s v="WIZMART-BSB COMERCIO VAREJISTA LTDA"/>
    <x v="5"/>
    <s v="Pipebot"/>
    <x v="1409"/>
    <m/>
    <m/>
    <d v="2026-01-01T20:15:38"/>
    <d v="2026-02-19T12:35:11"/>
    <n v="1.964734"/>
    <d v="2026-01-06T20:17:01"/>
    <d v="2026-02-18T13:26:15"/>
    <n v="42.714745000000001"/>
    <m/>
    <m/>
    <m/>
    <d v="2026-01-02T20:15:55"/>
    <d v="2026-02-20T12:58:54"/>
    <n v="3.0165280000000001"/>
    <d v="2026-01-04T20:16:00"/>
    <d v="2026-01-06T20:17:01"/>
    <n v="8.3499189999999999"/>
    <m/>
    <m/>
    <m/>
    <m/>
    <m/>
    <n v="70.156029606492666"/>
    <x v="0"/>
    <x v="7"/>
    <x v="0"/>
    <n v="207"/>
    <n v="140"/>
    <n v="0.67632850241545894"/>
    <n v="0.67632850241545894"/>
    <n v="1"/>
  </r>
  <r>
    <n v="1278697858"/>
    <s v="50.782.809/0001-90"/>
    <s v="Vinicius Rossi de Oliveira"/>
    <x v="0"/>
    <s v="Pipebot"/>
    <x v="1410"/>
    <m/>
    <m/>
    <d v="2026-01-22T13:18:47"/>
    <d v="2026-01-22T19:07:28"/>
    <n v="0.24213000000000001"/>
    <m/>
    <m/>
    <m/>
    <m/>
    <m/>
    <m/>
    <m/>
    <m/>
    <m/>
    <m/>
    <m/>
    <m/>
    <m/>
    <m/>
    <m/>
    <m/>
    <m/>
    <n v="49.445614872689475"/>
    <x v="2"/>
    <x v="3"/>
    <x v="1"/>
    <n v="223"/>
    <n v="147"/>
    <n v="0.65919282511210764"/>
    <n v="0.65919282511210764"/>
    <n v="1"/>
  </r>
  <r>
    <n v="1198885916"/>
    <s v="55.527.928/0001-10"/>
    <s v="Vinicius sarmento"/>
    <x v="0"/>
    <s v="Pipebot"/>
    <x v="1411"/>
    <m/>
    <m/>
    <m/>
    <m/>
    <m/>
    <m/>
    <m/>
    <m/>
    <m/>
    <m/>
    <m/>
    <m/>
    <m/>
    <m/>
    <m/>
    <m/>
    <m/>
    <m/>
    <m/>
    <m/>
    <m/>
    <m/>
    <n v="190.1493847106467"/>
    <x v="0"/>
    <x v="2"/>
    <x v="0"/>
    <n v="146"/>
    <n v="112"/>
    <n v="0.76712328767123283"/>
    <n v="0.76712328767123283"/>
    <n v="1"/>
  </r>
  <r>
    <n v="1284450173"/>
    <s v="27.082.443/0001-25"/>
    <s v="Vinicius Vioto Prado"/>
    <x v="0"/>
    <s v="Pipebot"/>
    <x v="1412"/>
    <m/>
    <m/>
    <m/>
    <m/>
    <m/>
    <m/>
    <m/>
    <m/>
    <m/>
    <m/>
    <m/>
    <m/>
    <m/>
    <m/>
    <m/>
    <m/>
    <m/>
    <m/>
    <m/>
    <m/>
    <m/>
    <m/>
    <n v="37.370721053237503"/>
    <x v="2"/>
    <x v="3"/>
    <x v="1"/>
    <n v="223"/>
    <n v="147"/>
    <n v="0.65919282511210764"/>
    <n v="0.65919282511210764"/>
    <n v="1"/>
  </r>
  <r>
    <n v="1281729174"/>
    <s v="27.082.443/0001-25"/>
    <s v="Vinicius Vioto Prado"/>
    <x v="0"/>
    <s v="Pipebot"/>
    <x v="1413"/>
    <m/>
    <m/>
    <m/>
    <m/>
    <m/>
    <m/>
    <m/>
    <m/>
    <m/>
    <m/>
    <m/>
    <m/>
    <m/>
    <m/>
    <m/>
    <m/>
    <m/>
    <m/>
    <m/>
    <m/>
    <m/>
    <m/>
    <n v="43.372616874999949"/>
    <x v="2"/>
    <x v="3"/>
    <x v="1"/>
    <n v="223"/>
    <n v="147"/>
    <n v="0.65919282511210764"/>
    <n v="0.65919282511210764"/>
    <n v="1"/>
  </r>
  <r>
    <n v="1294033226"/>
    <s v="64.151.097/0001-16"/>
    <s v="Vinycius Araujo"/>
    <x v="5"/>
    <s v="Pipebot"/>
    <x v="1414"/>
    <m/>
    <m/>
    <d v="2026-02-19T22:06:05"/>
    <d v="2026-02-20T16:52:44"/>
    <n v="0.78239599999999998"/>
    <m/>
    <m/>
    <m/>
    <m/>
    <m/>
    <m/>
    <d v="2026-02-20T16:52:45"/>
    <d v="2026-02-22T16:53:16"/>
    <n v="2.000359"/>
    <d v="2026-02-22T16:53:16"/>
    <m/>
    <n v="4.186458"/>
    <m/>
    <m/>
    <m/>
    <m/>
    <m/>
    <n v="21.079585335646698"/>
    <x v="3"/>
    <x v="1"/>
    <x v="1"/>
    <n v="189"/>
    <n v="33"/>
    <n v="0.17460317460317459"/>
    <n v="0.17460317460317459"/>
    <n v="1"/>
  </r>
  <r>
    <n v="1215275456"/>
    <s v="27.106.805/0001-70"/>
    <s v="Vitor Luiz de amelo"/>
    <x v="0"/>
    <s v="Pipebot"/>
    <x v="1415"/>
    <m/>
    <m/>
    <m/>
    <m/>
    <m/>
    <m/>
    <m/>
    <m/>
    <m/>
    <m/>
    <m/>
    <m/>
    <m/>
    <m/>
    <m/>
    <m/>
    <m/>
    <m/>
    <m/>
    <m/>
    <m/>
    <m/>
    <n v="163.35819194444048"/>
    <x v="0"/>
    <x v="4"/>
    <x v="0"/>
    <n v="197"/>
    <n v="149"/>
    <n v="0.75634517766497467"/>
    <n v="0.75634517766497467"/>
    <n v="1"/>
  </r>
  <r>
    <n v="1219993713"/>
    <s v="27.106.805/0001-70"/>
    <s v="Vitor Luiz de Melo"/>
    <x v="0"/>
    <s v="Pipebot"/>
    <x v="1416"/>
    <m/>
    <m/>
    <m/>
    <m/>
    <m/>
    <m/>
    <m/>
    <m/>
    <m/>
    <m/>
    <m/>
    <m/>
    <m/>
    <m/>
    <m/>
    <m/>
    <m/>
    <m/>
    <m/>
    <m/>
    <m/>
    <m/>
    <n v="156.35752550925827"/>
    <x v="0"/>
    <x v="4"/>
    <x v="0"/>
    <n v="197"/>
    <n v="149"/>
    <n v="0.75634517766497467"/>
    <n v="0.75634517766497467"/>
    <n v="1"/>
  </r>
  <r>
    <n v="1270478146"/>
    <s v="49.722.962/0001-43"/>
    <s v="YASMIN RUBIA DE SOUZA MARTINS"/>
    <x v="0"/>
    <s v="Pipebot"/>
    <x v="1417"/>
    <m/>
    <m/>
    <m/>
    <m/>
    <m/>
    <m/>
    <m/>
    <m/>
    <m/>
    <m/>
    <m/>
    <m/>
    <m/>
    <m/>
    <m/>
    <m/>
    <m/>
    <m/>
    <m/>
    <m/>
    <m/>
    <m/>
    <n v="69.446142175933346"/>
    <x v="0"/>
    <x v="7"/>
    <x v="0"/>
    <n v="207"/>
    <n v="140"/>
    <n v="0.67632850241545894"/>
    <n v="0.67632850241545894"/>
    <n v="1"/>
  </r>
  <r>
    <n v="1288419788"/>
    <s v="52.456.583/0001-63"/>
    <s v="Vitor Sanches Secundo da Silva"/>
    <x v="0"/>
    <s v="Pipebot"/>
    <x v="1418"/>
    <m/>
    <m/>
    <m/>
    <m/>
    <m/>
    <m/>
    <m/>
    <m/>
    <m/>
    <m/>
    <m/>
    <m/>
    <m/>
    <m/>
    <m/>
    <m/>
    <m/>
    <m/>
    <m/>
    <m/>
    <m/>
    <m/>
    <n v="31.079572743052267"/>
    <x v="2"/>
    <x v="3"/>
    <x v="1"/>
    <n v="223"/>
    <n v="147"/>
    <n v="0.65919282511210764"/>
    <n v="0.65919282511210764"/>
    <n v="1"/>
  </r>
  <r>
    <n v="1296887499"/>
    <s v="55.549.974/0001-10"/>
    <s v="VITORIA DE SIMONE DE OLIVEIRA ME"/>
    <x v="6"/>
    <s v="Pipebot"/>
    <x v="1419"/>
    <m/>
    <m/>
    <d v="2026-02-26T15:04:14"/>
    <m/>
    <n v="0.26217600000000002"/>
    <m/>
    <m/>
    <m/>
    <m/>
    <m/>
    <m/>
    <m/>
    <m/>
    <m/>
    <m/>
    <m/>
    <m/>
    <m/>
    <m/>
    <m/>
    <m/>
    <m/>
    <n v="14.372216342599131"/>
    <x v="1"/>
    <x v="1"/>
    <x v="1"/>
    <n v="189"/>
    <n v="33"/>
    <n v="0.17460317460317459"/>
    <n v="0.17460317460317459"/>
    <n v="1"/>
  </r>
  <r>
    <n v="1270581034"/>
    <s v="49.722.962/0001-43"/>
    <s v="YASMIN RUBIA DE SOUZA MARTINS"/>
    <x v="0"/>
    <s v="Pipebot"/>
    <x v="1420"/>
    <m/>
    <m/>
    <d v="2026-01-02T15:10:07"/>
    <d v="2026-01-03T15:10:12"/>
    <n v="1.000046"/>
    <d v="2026-01-07T15:11:55"/>
    <d v="2026-01-15T16:55:40"/>
    <n v="8.0720369999999999"/>
    <m/>
    <m/>
    <m/>
    <d v="2026-01-03T15:10:12"/>
    <d v="2026-01-05T15:11:13"/>
    <n v="2.0007060000000001"/>
    <d v="2026-01-05T15:11:13"/>
    <d v="2026-01-07T15:11:55"/>
    <n v="2.0004749999999998"/>
    <m/>
    <m/>
    <m/>
    <m/>
    <m/>
    <n v="69.36858035880141"/>
    <x v="0"/>
    <x v="7"/>
    <x v="0"/>
    <n v="207"/>
    <n v="140"/>
    <n v="0.67632850241545894"/>
    <n v="0.67632850241545894"/>
    <n v="1"/>
  </r>
  <r>
    <n v="1245434998"/>
    <s v="23.149.645/0001-96"/>
    <s v="Vívian Carvalho de Souza Almeida"/>
    <x v="0"/>
    <s v="Pipebot"/>
    <x v="1421"/>
    <m/>
    <m/>
    <d v="2025-11-10T16:58:00"/>
    <d v="2025-11-11T16:58:57"/>
    <n v="1.000648"/>
    <d v="2025-11-15T16:59:59"/>
    <d v="2025-11-17T19:49:45"/>
    <n v="2.1178819999999998"/>
    <m/>
    <m/>
    <m/>
    <d v="2025-11-11T16:58:57"/>
    <d v="2025-11-13T16:59:09"/>
    <n v="2.0001389999999999"/>
    <d v="2025-11-13T16:59:09"/>
    <d v="2025-11-15T16:59:59"/>
    <n v="2.0005790000000001"/>
    <m/>
    <m/>
    <m/>
    <m/>
    <m/>
    <n v="122.29342028935207"/>
    <x v="0"/>
    <x v="6"/>
    <x v="0"/>
    <n v="195"/>
    <n v="132"/>
    <n v="0.67692307692307696"/>
    <n v="0.67692307692307696"/>
    <n v="1"/>
  </r>
  <r>
    <n v="1298247914"/>
    <m/>
    <s v="Viviane Maria Soares Oliveira de Paula"/>
    <x v="0"/>
    <s v="Pipebot"/>
    <x v="1422"/>
    <m/>
    <m/>
    <m/>
    <m/>
    <m/>
    <m/>
    <m/>
    <m/>
    <m/>
    <m/>
    <m/>
    <m/>
    <m/>
    <m/>
    <m/>
    <m/>
    <m/>
    <m/>
    <m/>
    <m/>
    <m/>
    <m/>
    <n v="10.459378310188185"/>
    <x v="4"/>
    <x v="1"/>
    <x v="1"/>
    <n v="189"/>
    <n v="33"/>
    <n v="0.17460317460317459"/>
    <n v="0.17460317460317459"/>
    <n v="1"/>
  </r>
  <r>
    <n v="1217221672"/>
    <s v="37.714.871/0001-87"/>
    <s v="Vizinho Market Ltda"/>
    <x v="0"/>
    <s v="Pipebot"/>
    <x v="1423"/>
    <m/>
    <m/>
    <m/>
    <m/>
    <m/>
    <d v="2025-09-24T20:40:09"/>
    <d v="2025-09-25T19:42:11"/>
    <n v="0.95974499999999996"/>
    <m/>
    <m/>
    <m/>
    <m/>
    <m/>
    <m/>
    <m/>
    <m/>
    <m/>
    <m/>
    <m/>
    <m/>
    <m/>
    <m/>
    <n v="160.35711783565057"/>
    <x v="0"/>
    <x v="4"/>
    <x v="0"/>
    <n v="197"/>
    <n v="149"/>
    <n v="0.75634517766497467"/>
    <n v="0.75634517766497467"/>
    <n v="1"/>
  </r>
  <r>
    <n v="1234463637"/>
    <s v="47.948.792/0001-94"/>
    <s v="VR FRANCHISING (ler comentário)"/>
    <x v="0"/>
    <s v="Pipebot"/>
    <x v="1424"/>
    <m/>
    <m/>
    <d v="2025-10-27T19:29:27"/>
    <d v="2026-02-13T16:01:04"/>
    <n v="2.1469680000000002"/>
    <d v="2025-11-01T19:30:58"/>
    <d v="2026-02-12T12:29:56"/>
    <n v="102.707616"/>
    <d v="2026-02-20T19:23:48"/>
    <d v="2026-02-20T19:27:14"/>
    <n v="2.3839999999999998E-3"/>
    <d v="2025-10-28T19:29:58"/>
    <d v="2026-02-16T12:50:14"/>
    <n v="4.8679629999999996"/>
    <d v="2025-10-30T19:30:40"/>
    <d v="2026-02-20T19:23:48"/>
    <n v="6.2734949999999996"/>
    <m/>
    <m/>
    <m/>
    <m/>
    <m/>
    <n v="136.18844856481883"/>
    <x v="0"/>
    <x v="6"/>
    <x v="0"/>
    <n v="195"/>
    <n v="132"/>
    <n v="0.67692307692307696"/>
    <n v="0.67692307692307696"/>
    <n v="1"/>
  </r>
  <r>
    <n v="1232373501"/>
    <s v="45.609.614/0001-03"/>
    <s v="Wagner dos Santos Sousa"/>
    <x v="0"/>
    <s v="Pipebot"/>
    <x v="1425"/>
    <m/>
    <m/>
    <d v="2025-10-24T19:36:11"/>
    <d v="2025-10-25T19:36:49"/>
    <n v="1.0004280000000001"/>
    <d v="2025-10-29T19:37:56"/>
    <d v="2025-10-30T12:09:54"/>
    <n v="0.68886599999999998"/>
    <m/>
    <m/>
    <m/>
    <d v="2025-10-25T19:36:49"/>
    <d v="2025-10-27T19:37:26"/>
    <n v="2.0004279999999999"/>
    <d v="2025-10-27T19:37:27"/>
    <d v="2025-10-29T19:37:56"/>
    <n v="2.0003359999999999"/>
    <m/>
    <m/>
    <m/>
    <m/>
    <m/>
    <n v="139.18392018518352"/>
    <x v="0"/>
    <x v="6"/>
    <x v="0"/>
    <n v="195"/>
    <n v="132"/>
    <n v="0.67692307692307696"/>
    <n v="0.67692307692307696"/>
    <n v="1"/>
  </r>
  <r>
    <n v="1290428221"/>
    <s v="31.462.233/0001-30"/>
    <s v="Welson Leite"/>
    <x v="0"/>
    <s v="Pipebot"/>
    <x v="1426"/>
    <m/>
    <m/>
    <d v="2026-02-12T16:31:56"/>
    <d v="2026-02-13T16:01:14"/>
    <n v="0.97866900000000001"/>
    <m/>
    <m/>
    <m/>
    <d v="2026-02-16T13:07:59"/>
    <d v="2026-02-16T13:08:06"/>
    <n v="6.8999999999999997E-5"/>
    <d v="2026-02-13T16:01:14"/>
    <d v="2026-02-15T16:01:53"/>
    <n v="2.0004400000000002"/>
    <d v="2026-02-15T16:01:53"/>
    <d v="2026-02-16T13:07:55"/>
    <n v="0.87917800000000002"/>
    <m/>
    <m/>
    <m/>
    <m/>
    <m/>
    <n v="28.311623206012882"/>
    <x v="5"/>
    <x v="3"/>
    <x v="1"/>
    <n v="223"/>
    <n v="147"/>
    <n v="0.65919282511210764"/>
    <n v="0.65919282511210764"/>
    <n v="1"/>
  </r>
  <r>
    <n v="1279608226"/>
    <s v="31.462.233/0001-30"/>
    <s v="Welson Leite (adaptador e módulo) - acionado sofia em 03/02"/>
    <x v="5"/>
    <s v="Pipebot"/>
    <x v="1427"/>
    <m/>
    <m/>
    <d v="2026-01-23T19:04:29"/>
    <d v="2026-02-20T16:51:25"/>
    <n v="2.1763659999999998"/>
    <d v="2026-01-28T19:05:37"/>
    <d v="2026-02-19T12:37:47"/>
    <n v="21.730671000000001"/>
    <m/>
    <m/>
    <m/>
    <d v="2026-01-24T19:04:50"/>
    <d v="2026-02-23T13:32:47"/>
    <n v="4.862419"/>
    <d v="2026-01-26T19:05:22"/>
    <d v="2026-01-28T19:05:37"/>
    <n v="5.3258450000000002"/>
    <m/>
    <m/>
    <m/>
    <m/>
    <m/>
    <n v="48.205817523150472"/>
    <x v="2"/>
    <x v="3"/>
    <x v="1"/>
    <n v="223"/>
    <n v="147"/>
    <n v="0.65919282511210764"/>
    <n v="0.65919282511210764"/>
    <n v="1"/>
  </r>
  <r>
    <n v="1296050134"/>
    <s v="31.462.233/0001-30"/>
    <s v="Welson Leite - analisar o caso pois o pedido era cancelado"/>
    <x v="5"/>
    <s v="Pipebot"/>
    <x v="1428"/>
    <m/>
    <m/>
    <d v="2026-02-20T16:58:31"/>
    <d v="2026-02-21T16:58:37"/>
    <n v="1.0000579999999999"/>
    <d v="2026-02-10T20:32:44"/>
    <d v="2026-02-20T16:58:31"/>
    <n v="9.8489240000000002"/>
    <m/>
    <m/>
    <m/>
    <d v="2026-02-21T16:58:37"/>
    <d v="2026-02-23T13:32:47"/>
    <n v="1.8570599999999999"/>
    <d v="2026-02-23T13:32:48"/>
    <m/>
    <n v="3.3256709999999998"/>
    <m/>
    <m/>
    <m/>
    <m/>
    <m/>
    <n v="16.146513738429348"/>
    <x v="1"/>
    <x v="1"/>
    <x v="1"/>
    <n v="189"/>
    <n v="33"/>
    <n v="0.17460317460317459"/>
    <n v="0.17460317460317459"/>
    <n v="1"/>
  </r>
  <r>
    <n v="1195218370"/>
    <s v="54.048.255/0001-53"/>
    <s v="Wendel Resende Maciel"/>
    <x v="0"/>
    <s v="Pipebot"/>
    <x v="1429"/>
    <m/>
    <m/>
    <d v="2025-08-28T15:25:53"/>
    <d v="2025-08-29T15:26:24"/>
    <n v="1.000359"/>
    <d v="2025-09-02T15:28:29"/>
    <d v="2025-12-23T19:13:32"/>
    <n v="112.156285"/>
    <m/>
    <m/>
    <m/>
    <d v="2025-08-29T15:26:24"/>
    <d v="2025-08-31T15:27:16"/>
    <n v="2.0005899999999999"/>
    <d v="2025-08-31T15:27:16"/>
    <d v="2025-09-02T15:28:29"/>
    <n v="2.0008330000000001"/>
    <m/>
    <m/>
    <m/>
    <m/>
    <m/>
    <n v="196.35758421295759"/>
    <x v="0"/>
    <x v="2"/>
    <x v="0"/>
    <n v="146"/>
    <n v="112"/>
    <n v="0.76712328767123283"/>
    <n v="0.76712328767123283"/>
    <n v="1"/>
  </r>
  <r>
    <n v="1297056500"/>
    <s v="54.048.255/0001-53"/>
    <s v="Wendel Resende Maciel "/>
    <x v="6"/>
    <s v="Pipebot"/>
    <x v="1430"/>
    <m/>
    <m/>
    <d v="2026-02-26T19:08:37"/>
    <m/>
    <n v="9.2465000000000006E-2"/>
    <m/>
    <m/>
    <m/>
    <m/>
    <m/>
    <m/>
    <m/>
    <m/>
    <m/>
    <m/>
    <m/>
    <m/>
    <m/>
    <m/>
    <m/>
    <m/>
    <m/>
    <n v="14.202902581018861"/>
    <x v="1"/>
    <x v="1"/>
    <x v="1"/>
    <n v="189"/>
    <n v="33"/>
    <n v="0.17460317460317459"/>
    <n v="0.17460317460317459"/>
    <n v="1"/>
  </r>
  <r>
    <n v="1300236330"/>
    <s v="12.362.569/0001-86"/>
    <s v="Weriton Griti Souza"/>
    <x v="7"/>
    <s v="Pipebot"/>
    <x v="1431"/>
    <m/>
    <m/>
    <m/>
    <m/>
    <m/>
    <m/>
    <m/>
    <m/>
    <m/>
    <m/>
    <m/>
    <m/>
    <m/>
    <m/>
    <m/>
    <m/>
    <m/>
    <m/>
    <m/>
    <m/>
    <m/>
    <m/>
    <n v="6.3719432407378918"/>
    <x v="4"/>
    <x v="1"/>
    <x v="1"/>
    <n v="189"/>
    <n v="33"/>
    <n v="0.17460317460317459"/>
    <n v="0.17460317460317459"/>
    <n v="1"/>
  </r>
  <r>
    <n v="1282439420"/>
    <s v="59.864.724/0001-26"/>
    <s v="WERYC ANDRE LUIS DE CARVALHO E LIMA"/>
    <x v="0"/>
    <s v="Pipebot"/>
    <x v="1432"/>
    <m/>
    <m/>
    <d v="2026-01-29T19:05:54"/>
    <d v="2026-01-30T19:06:17"/>
    <n v="1.0002660000000001"/>
    <m/>
    <m/>
    <m/>
    <m/>
    <m/>
    <m/>
    <d v="2026-01-30T19:06:17"/>
    <d v="2026-02-01T19:07:02"/>
    <n v="2.0005090000000001"/>
    <d v="2026-02-01T19:07:02"/>
    <d v="2026-02-03T18:37:19"/>
    <n v="1.979363"/>
    <m/>
    <m/>
    <m/>
    <m/>
    <m/>
    <n v="42.20441106481303"/>
    <x v="2"/>
    <x v="3"/>
    <x v="1"/>
    <n v="223"/>
    <n v="147"/>
    <n v="0.65919282511210764"/>
    <n v="0.65919282511210764"/>
    <n v="1"/>
  </r>
  <r>
    <n v="1299039490"/>
    <s v="57.095.585/0001-98"/>
    <s v="William Gutemberg silva dos Santos "/>
    <x v="7"/>
    <s v="Pipebot"/>
    <x v="1433"/>
    <m/>
    <m/>
    <m/>
    <m/>
    <m/>
    <m/>
    <m/>
    <m/>
    <m/>
    <m/>
    <m/>
    <m/>
    <m/>
    <m/>
    <m/>
    <m/>
    <m/>
    <m/>
    <m/>
    <m/>
    <m/>
    <m/>
    <n v="8.204630960652139"/>
    <x v="4"/>
    <x v="1"/>
    <x v="1"/>
    <n v="189"/>
    <n v="33"/>
    <n v="0.17460317460317459"/>
    <n v="0.17460317460317459"/>
    <n v="1"/>
  </r>
  <r>
    <n v="1237690866"/>
    <s v="44.980.028/0001-08"/>
    <s v="WILLIAN BOVI"/>
    <x v="0"/>
    <s v="Pipebot"/>
    <x v="1434"/>
    <m/>
    <m/>
    <m/>
    <m/>
    <m/>
    <m/>
    <m/>
    <m/>
    <m/>
    <m/>
    <m/>
    <m/>
    <m/>
    <m/>
    <m/>
    <m/>
    <m/>
    <m/>
    <m/>
    <m/>
    <m/>
    <m/>
    <n v="133.20412037037022"/>
    <x v="0"/>
    <x v="6"/>
    <x v="0"/>
    <n v="195"/>
    <n v="132"/>
    <n v="0.67692307692307696"/>
    <n v="0.67692307692307696"/>
    <n v="1"/>
  </r>
  <r>
    <n v="1250548100"/>
    <s v="41.697.567/0001-46"/>
    <s v="Willian Lovato - TOTEM COM ABA"/>
    <x v="0"/>
    <s v="Pipebot"/>
    <x v="1435"/>
    <m/>
    <m/>
    <d v="2025-11-19T22:03:21"/>
    <d v="2025-11-20T22:03:27"/>
    <n v="1.0000690000000001"/>
    <d v="2025-11-24T22:04:29"/>
    <d v="2025-11-25T13:35:16"/>
    <n v="0.64637699999999998"/>
    <d v="2025-11-25T13:35:16"/>
    <d v="2025-11-25T13:35:26"/>
    <n v="1.16E-4"/>
    <d v="2025-11-20T22:03:27"/>
    <d v="2025-11-22T22:04:04"/>
    <n v="2.0004170000000001"/>
    <d v="2025-11-22T22:04:04"/>
    <d v="2025-11-24T22:04:29"/>
    <n v="2.0002779999999998"/>
    <m/>
    <m/>
    <m/>
    <m/>
    <m/>
    <n v="113.08144115741015"/>
    <x v="0"/>
    <x v="0"/>
    <x v="0"/>
    <n v="131"/>
    <n v="87"/>
    <n v="0.66412213740458015"/>
    <n v="0.66412213740458015"/>
    <n v="1"/>
  </r>
  <r>
    <n v="1180381558"/>
    <s v="58.277.264/0001-77"/>
    <s v="Windson Nogueira da Silva"/>
    <x v="0"/>
    <s v="Vinícius Melesque dos Santos"/>
    <x v="1436"/>
    <m/>
    <m/>
    <m/>
    <m/>
    <m/>
    <m/>
    <m/>
    <m/>
    <m/>
    <m/>
    <m/>
    <m/>
    <m/>
    <m/>
    <m/>
    <m/>
    <m/>
    <m/>
    <m/>
    <m/>
    <m/>
    <m/>
    <n v="220.18713914351974"/>
    <x v="0"/>
    <x v="5"/>
    <x v="0"/>
    <n v="177"/>
    <n v="130"/>
    <n v="0.7344632768361582"/>
    <n v="0.7344632768361582"/>
    <n v="1"/>
  </r>
  <r>
    <n v="1297690950"/>
    <s v="50.618.409/0001-44"/>
    <s v="Wizmart"/>
    <x v="7"/>
    <s v="Pipebot"/>
    <x v="1437"/>
    <m/>
    <m/>
    <m/>
    <m/>
    <m/>
    <m/>
    <m/>
    <m/>
    <m/>
    <m/>
    <m/>
    <m/>
    <m/>
    <m/>
    <m/>
    <m/>
    <m/>
    <m/>
    <m/>
    <m/>
    <m/>
    <m/>
    <n v="13.203586875002657"/>
    <x v="4"/>
    <x v="1"/>
    <x v="1"/>
    <n v="189"/>
    <n v="33"/>
    <n v="0.17460317460317459"/>
    <n v="0.17460317460317459"/>
    <n v="1"/>
  </r>
  <r>
    <n v="1186005383"/>
    <s v="44.444.952/0001-70"/>
    <s v="Wizmart "/>
    <x v="8"/>
    <s v="Pipebot"/>
    <x v="1438"/>
    <m/>
    <m/>
    <d v="2025-08-13T20:27:09"/>
    <d v="2025-08-14T20:27:50"/>
    <n v="1.000475"/>
    <d v="2025-08-18T20:29:07"/>
    <d v="2025-10-29T19:39:28"/>
    <n v="71.965520999999995"/>
    <m/>
    <m/>
    <m/>
    <d v="2025-08-14T20:27:50"/>
    <d v="2025-08-16T20:28:07"/>
    <n v="2.0001850000000001"/>
    <d v="2025-08-16T20:28:07"/>
    <d v="2025-08-18T20:29:06"/>
    <n v="2.000683"/>
    <m/>
    <m/>
    <m/>
    <m/>
    <m/>
    <n v="211.14823364584299"/>
    <x v="0"/>
    <x v="5"/>
    <x v="0"/>
    <n v="177"/>
    <n v="130"/>
    <n v="0.7344632768361582"/>
    <n v="0.7344632768361582"/>
    <n v="1"/>
  </r>
  <r>
    <n v="1282984108"/>
    <s v="44.444.952/0001-70"/>
    <s v="WIZMART - DF COMERCIO VAREJISTA LTDA"/>
    <x v="0"/>
    <s v="Pipebot"/>
    <x v="1439"/>
    <m/>
    <m/>
    <m/>
    <m/>
    <m/>
    <m/>
    <m/>
    <m/>
    <m/>
    <m/>
    <m/>
    <m/>
    <m/>
    <m/>
    <m/>
    <m/>
    <m/>
    <m/>
    <m/>
    <m/>
    <m/>
    <m/>
    <n v="41.202901226846734"/>
    <x v="2"/>
    <x v="3"/>
    <x v="1"/>
    <n v="223"/>
    <n v="147"/>
    <n v="0.65919282511210764"/>
    <n v="0.65919282511210764"/>
    <n v="1"/>
  </r>
  <r>
    <n v="1284077963"/>
    <s v="44.444.952/0001-70"/>
    <s v="Wizmart - maquina (acionado 09/02 gabi)"/>
    <x v="0"/>
    <s v="Pipebot"/>
    <x v="1440"/>
    <m/>
    <m/>
    <d v="2026-02-02T19:04:41"/>
    <d v="2026-02-03T19:04:49"/>
    <n v="1.000081"/>
    <d v="2026-02-07T19:05:17"/>
    <d v="2026-02-09T20:15:26"/>
    <n v="2.0487039999999999"/>
    <m/>
    <m/>
    <m/>
    <d v="2026-02-03T19:04:49"/>
    <d v="2026-02-05T19:05:15"/>
    <n v="2.000289"/>
    <d v="2026-02-05T19:05:15"/>
    <d v="2026-02-07T19:05:17"/>
    <n v="2.0000230000000001"/>
    <m/>
    <m/>
    <m/>
    <m/>
    <m/>
    <n v="38.205334745369328"/>
    <x v="2"/>
    <x v="3"/>
    <x v="1"/>
    <n v="223"/>
    <n v="147"/>
    <n v="0.65919282511210764"/>
    <n v="0.65919282511210764"/>
    <n v="1"/>
  </r>
  <r>
    <n v="1292065047"/>
    <s v="50.417.028/0001-05"/>
    <s v="WIZMART - MG COMERCIO VAREJISTA LTDA"/>
    <x v="5"/>
    <s v="Pipebot"/>
    <x v="1441"/>
    <m/>
    <m/>
    <d v="2026-02-16T19:06:55"/>
    <d v="2026-02-17T19:07:37"/>
    <n v="1.000475"/>
    <m/>
    <m/>
    <m/>
    <m/>
    <m/>
    <m/>
    <d v="2026-02-17T19:07:37"/>
    <d v="2026-02-18T13:22:40"/>
    <n v="0.76045099999999999"/>
    <d v="2026-02-18T13:22:40"/>
    <m/>
    <n v="8.3327080000000002"/>
    <m/>
    <m/>
    <m/>
    <m/>
    <m/>
    <n v="24.203918946761405"/>
    <x v="5"/>
    <x v="1"/>
    <x v="1"/>
    <n v="189"/>
    <n v="33"/>
    <n v="0.17460317460317459"/>
    <n v="0.17460317460317459"/>
    <n v="1"/>
  </r>
  <r>
    <n v="1270411875"/>
    <s v="57.465.459/0002-69"/>
    <s v="Yslaine Oliveira"/>
    <x v="5"/>
    <s v="Pipebot"/>
    <x v="1442"/>
    <m/>
    <m/>
    <d v="2026-01-02T12:21:39"/>
    <d v="2026-02-19T12:35:20"/>
    <n v="1.964942"/>
    <d v="2026-01-07T12:22:43"/>
    <d v="2026-02-18T13:26:22"/>
    <n v="42.04419"/>
    <m/>
    <m/>
    <m/>
    <d v="2026-01-03T12:22:13"/>
    <d v="2026-02-20T13:02:53"/>
    <n v="3.019282"/>
    <d v="2026-01-05T12:22:27"/>
    <d v="2026-01-07T12:22:43"/>
    <n v="8.3466439999999995"/>
    <m/>
    <m/>
    <m/>
    <m/>
    <m/>
    <n v="69.485355405093287"/>
    <x v="0"/>
    <x v="7"/>
    <x v="0"/>
    <n v="207"/>
    <n v="140"/>
    <n v="0.67632850241545894"/>
    <n v="0.67632850241545894"/>
    <n v="1"/>
  </r>
  <r>
    <n v="1216184440"/>
    <s v="44.444.952/0001-70"/>
    <s v="wizmart bsb"/>
    <x v="8"/>
    <s v="Pipebot"/>
    <x v="1443"/>
    <m/>
    <m/>
    <d v="2025-10-01T20:23:54"/>
    <d v="2025-10-02T20:24:42"/>
    <n v="1.0005440000000001"/>
    <d v="2025-10-06T20:25:40"/>
    <d v="2025-10-29T19:39:38"/>
    <n v="22.968032000000001"/>
    <m/>
    <m/>
    <m/>
    <d v="2025-10-02T20:24:42"/>
    <d v="2025-10-04T20:25:30"/>
    <n v="2.0005440000000001"/>
    <d v="2025-10-04T20:25:30"/>
    <d v="2025-10-06T20:25:40"/>
    <n v="2.0001159999999998"/>
    <m/>
    <m/>
    <m/>
    <m/>
    <m/>
    <n v="162.15015013887751"/>
    <x v="0"/>
    <x v="4"/>
    <x v="0"/>
    <n v="197"/>
    <n v="149"/>
    <n v="0.75634517766497467"/>
    <n v="0.75634517766497467"/>
    <n v="1"/>
  </r>
  <r>
    <n v="1248339350"/>
    <s v="44.444.952/0001-70"/>
    <s v="wizmart bsb"/>
    <x v="0"/>
    <s v="Pipebot"/>
    <x v="1444"/>
    <m/>
    <m/>
    <d v="2025-11-14T22:05:52"/>
    <d v="2025-11-15T22:06:38"/>
    <n v="1.000521"/>
    <m/>
    <m/>
    <m/>
    <m/>
    <m/>
    <m/>
    <d v="2025-11-15T22:06:38"/>
    <d v="2025-11-17T17:43:24"/>
    <n v="1.817188"/>
    <m/>
    <m/>
    <m/>
    <m/>
    <m/>
    <m/>
    <m/>
    <m/>
    <n v="118.07963285879669"/>
    <x v="0"/>
    <x v="6"/>
    <x v="0"/>
    <n v="195"/>
    <n v="132"/>
    <n v="0.67692307692307696"/>
    <n v="0.67692307692307696"/>
    <n v="1"/>
  </r>
  <r>
    <n v="1282980957"/>
    <s v="44.444.952/0001-70"/>
    <s v="wizmart bsb (adaptador) - acionado sofia 05/02."/>
    <x v="5"/>
    <s v="Pipebot"/>
    <x v="1445"/>
    <m/>
    <m/>
    <d v="2026-01-30T19:03:44"/>
    <d v="2026-02-20T16:51:39"/>
    <n v="2.176285"/>
    <d v="2026-02-04T19:05:35"/>
    <d v="2026-02-19T12:37:58"/>
    <n v="14.73081"/>
    <m/>
    <m/>
    <m/>
    <d v="2026-01-31T19:03:54"/>
    <d v="2026-02-23T13:32:47"/>
    <n v="4.8624419999999997"/>
    <d v="2026-02-02T19:04:41"/>
    <d v="2026-02-04T19:05:35"/>
    <n v="5.3262960000000001"/>
    <m/>
    <m/>
    <m/>
    <m/>
    <m/>
    <n v="41.206344710648409"/>
    <x v="2"/>
    <x v="3"/>
    <x v="1"/>
    <n v="223"/>
    <n v="147"/>
    <n v="0.65919282511210764"/>
    <n v="0.65919282511210764"/>
    <n v="1"/>
  </r>
  <r>
    <n v="1223940543"/>
    <s v="56.073.650/0001-11"/>
    <s v="WizMart ES Comércio Varejista LTDA"/>
    <x v="8"/>
    <s v="Pipebot"/>
    <x v="1446"/>
    <m/>
    <m/>
    <d v="2025-10-13T20:25:24"/>
    <d v="2025-10-14T20:26:19"/>
    <n v="1.000637"/>
    <d v="2025-10-18T20:27:53"/>
    <d v="2025-10-29T19:40:23"/>
    <n v="10.967002000000001"/>
    <m/>
    <m/>
    <m/>
    <d v="2025-10-14T20:26:19"/>
    <d v="2025-10-16T20:26:55"/>
    <n v="2.0004050000000002"/>
    <d v="2025-10-16T20:26:55"/>
    <d v="2025-10-18T20:27:53"/>
    <n v="2.0006710000000001"/>
    <m/>
    <m/>
    <m/>
    <m/>
    <m/>
    <n v="150.14929310185107"/>
    <x v="0"/>
    <x v="4"/>
    <x v="0"/>
    <n v="197"/>
    <n v="149"/>
    <n v="0.75634517766497467"/>
    <n v="0.75634517766497467"/>
    <n v="1"/>
  </r>
  <r>
    <n v="1267659059"/>
    <s v="63.285.866/0001-06"/>
    <s v="Michele Cristina Benetti de Falco"/>
    <x v="5"/>
    <s v="Henrique Weber Soeiro "/>
    <x v="1447"/>
    <m/>
    <m/>
    <d v="2025-12-26T17:27:05"/>
    <d v="2026-02-18T13:25:30"/>
    <n v="3.0226739999999999"/>
    <d v="2025-12-31T17:28:17"/>
    <d v="2026-02-16T12:53:35"/>
    <n v="46.809235999999999"/>
    <m/>
    <m/>
    <m/>
    <d v="2025-12-27T17:27:49"/>
    <d v="2026-02-19T12:28:10"/>
    <n v="2.9602780000000002"/>
    <d v="2025-12-29T17:27:58"/>
    <d v="2025-12-31T17:28:17"/>
    <n v="9.3707750000000001"/>
    <m/>
    <m/>
    <m/>
    <m/>
    <m/>
    <n v="76.273126990738092"/>
    <x v="0"/>
    <x v="7"/>
    <x v="0"/>
    <n v="207"/>
    <n v="140"/>
    <n v="0.67632850241545894"/>
    <n v="0.67632850241545894"/>
    <n v="1"/>
  </r>
  <r>
    <n v="1288419382"/>
    <s v="02.935.993/0001-19"/>
    <s v="Yang H. C. Okubo"/>
    <x v="5"/>
    <s v="Pipebot"/>
    <x v="1448"/>
    <m/>
    <m/>
    <d v="2026-02-09T22:05:16"/>
    <d v="2026-02-23T13:37:13"/>
    <n v="3.8609260000000001"/>
    <d v="2026-02-11T20:50:13"/>
    <d v="2026-02-20T16:58:20"/>
    <n v="8.8389699999999998"/>
    <m/>
    <m/>
    <m/>
    <d v="2026-02-10T22:06:09"/>
    <d v="2026-02-24T14:54:03"/>
    <n v="2.0006249999999999"/>
    <d v="2026-02-24T14:54:03"/>
    <m/>
    <n v="2.2692480000000002"/>
    <m/>
    <m/>
    <m/>
    <m/>
    <m/>
    <n v="31.080220636576996"/>
    <x v="2"/>
    <x v="3"/>
    <x v="1"/>
    <n v="223"/>
    <n v="147"/>
    <n v="0.65919282511210764"/>
    <n v="0.65919282511210764"/>
    <n v="1"/>
  </r>
  <r>
    <n v="1217095115"/>
    <s v="02.935.993/0001-19"/>
    <s v="Yang Henrique Calanca Okubo - 10 máquinas e 4 totens a mais"/>
    <x v="0"/>
    <s v="Vinícius Melesque dos Santos"/>
    <x v="1449"/>
    <m/>
    <m/>
    <m/>
    <m/>
    <m/>
    <m/>
    <m/>
    <m/>
    <m/>
    <m/>
    <m/>
    <m/>
    <m/>
    <m/>
    <m/>
    <m/>
    <m/>
    <m/>
    <m/>
    <m/>
    <m/>
    <m/>
    <n v="160.48289738425956"/>
    <x v="0"/>
    <x v="4"/>
    <x v="0"/>
    <n v="197"/>
    <n v="149"/>
    <n v="0.75634517766497467"/>
    <n v="0.75634517766497467"/>
    <n v="1"/>
  </r>
  <r>
    <n v="1176109136"/>
    <s v="02.935.993/0001-19"/>
    <s v="Yang Henrique Calanca Okubo - 10 totens"/>
    <x v="0"/>
    <s v="Pipebot"/>
    <x v="1450"/>
    <m/>
    <m/>
    <d v="2025-07-28T17:59:12"/>
    <d v="2025-07-29T17:59:58"/>
    <n v="1.000532"/>
    <d v="2025-08-02T18:01:10"/>
    <d v="2025-09-10T13:09:44"/>
    <n v="38.797615999999998"/>
    <m/>
    <m/>
    <m/>
    <d v="2025-07-29T17:59:58"/>
    <d v="2025-07-31T18:00:17"/>
    <n v="2.0002200000000001"/>
    <d v="2025-07-31T18:00:17"/>
    <d v="2025-08-02T18:01:10"/>
    <n v="2.0006020000000002"/>
    <m/>
    <m/>
    <m/>
    <m/>
    <m/>
    <n v="227.25091665510263"/>
    <x v="0"/>
    <x v="5"/>
    <x v="0"/>
    <n v="177"/>
    <n v="130"/>
    <n v="0.7344632768361582"/>
    <n v="0.7344632768361582"/>
    <n v="1"/>
  </r>
  <r>
    <n v="1211721756"/>
    <s v="02.935.993/0001-19"/>
    <s v="Yang Henrique Calanca Okubo - 20 máquinas a mais"/>
    <x v="0"/>
    <s v="Vinícius Melesque dos Santos"/>
    <x v="1451"/>
    <m/>
    <m/>
    <m/>
    <m/>
    <m/>
    <m/>
    <m/>
    <m/>
    <m/>
    <m/>
    <m/>
    <m/>
    <m/>
    <m/>
    <m/>
    <m/>
    <m/>
    <m/>
    <m/>
    <m/>
    <m/>
    <m/>
    <n v="169.42764546297258"/>
    <x v="0"/>
    <x v="4"/>
    <x v="0"/>
    <n v="197"/>
    <n v="149"/>
    <n v="0.75634517766497467"/>
    <n v="0.75634517766497467"/>
    <n v="1"/>
  </r>
  <r>
    <n v="1274393020"/>
    <s v="**Não é um card de troca**, cliente solicitou o cancelamento do pedido após já ter recebido a trava._x000a_está devolvendo através do código de rastreio AN421354438BR"/>
    <s v="Familia Honesta  Be Honest Franquia NL (ler comentário)"/>
    <x v="5"/>
    <s v="Carolina Venâncio"/>
    <x v="1452"/>
    <m/>
    <m/>
    <d v="2026-01-12T17:14:52"/>
    <d v="2026-02-19T12:35:55"/>
    <n v="1.9641200000000001"/>
    <d v="2026-01-17T17:16:08"/>
    <d v="2026-02-18T13:27:38"/>
    <n v="31.841308000000001"/>
    <m/>
    <m/>
    <m/>
    <d v="2026-01-13T17:14:55"/>
    <d v="2026-02-20T13:03:03"/>
    <n v="3.01912"/>
    <d v="2026-01-15T17:15:19"/>
    <d v="2026-01-17T17:16:08"/>
    <n v="8.3468870000000006"/>
    <m/>
    <m/>
    <m/>
    <m/>
    <m/>
    <n v="59.282020717597334"/>
    <x v="2"/>
    <x v="7"/>
    <x v="0"/>
    <n v="207"/>
    <n v="140"/>
    <n v="0.67632850241545894"/>
    <n v="0.67632850241545894"/>
    <n v="1"/>
  </r>
  <r>
    <n v="1270942239"/>
    <s v="55.864.754/0001-81"/>
    <s v="devolucao_producao"/>
    <x v="0"/>
    <s v="Ademir da Silva Vitor Junior"/>
    <x v="1453"/>
    <m/>
    <m/>
    <m/>
    <m/>
    <m/>
    <m/>
    <m/>
    <m/>
    <m/>
    <m/>
    <m/>
    <m/>
    <m/>
    <m/>
    <m/>
    <m/>
    <m/>
    <m/>
    <m/>
    <m/>
    <m/>
    <m/>
    <n v="68.450190081020992"/>
    <x v="0"/>
    <x v="7"/>
    <x v="0"/>
    <n v="207"/>
    <n v="140"/>
    <n v="0.67632850241545894"/>
    <n v="0.67632850241545894"/>
    <n v="1"/>
  </r>
  <r>
    <n v="1172781947"/>
    <s v="48.358.843/0001-90"/>
    <s v="Yates comércio de produtos "/>
    <x v="0"/>
    <s v="Pipebot"/>
    <x v="1454"/>
    <m/>
    <m/>
    <m/>
    <m/>
    <m/>
    <m/>
    <m/>
    <m/>
    <m/>
    <m/>
    <m/>
    <m/>
    <m/>
    <m/>
    <m/>
    <m/>
    <m/>
    <m/>
    <m/>
    <m/>
    <m/>
    <m/>
    <n v="234.14786557870684"/>
    <x v="0"/>
    <x v="5"/>
    <x v="0"/>
    <n v="177"/>
    <n v="130"/>
    <n v="0.7344632768361582"/>
    <n v="0.7344632768361582"/>
    <n v="1"/>
  </r>
  <r>
    <n v="1248230209"/>
    <s v="48.358.843/0001-90"/>
    <s v="Yates comércio de produtos "/>
    <x v="0"/>
    <s v="Pipebot"/>
    <x v="1455"/>
    <m/>
    <m/>
    <m/>
    <m/>
    <m/>
    <m/>
    <m/>
    <m/>
    <m/>
    <m/>
    <m/>
    <m/>
    <m/>
    <m/>
    <m/>
    <m/>
    <m/>
    <m/>
    <m/>
    <m/>
    <m/>
    <m/>
    <n v="118.20460137730697"/>
    <x v="0"/>
    <x v="6"/>
    <x v="0"/>
    <n v="195"/>
    <n v="132"/>
    <n v="0.67692307692307696"/>
    <n v="0.67692307692307696"/>
    <n v="1"/>
  </r>
  <r>
    <n v="1182151713"/>
    <s v="44.928.688/0001-40"/>
    <s v="Yotsuo Shigeno - analisar ticket"/>
    <x v="0"/>
    <s v="Pipebot"/>
    <x v="1456"/>
    <m/>
    <m/>
    <m/>
    <m/>
    <m/>
    <m/>
    <m/>
    <m/>
    <m/>
    <m/>
    <m/>
    <m/>
    <m/>
    <m/>
    <m/>
    <m/>
    <m/>
    <m/>
    <m/>
    <m/>
    <m/>
    <m/>
    <n v="218.14777412037074"/>
    <x v="0"/>
    <x v="5"/>
    <x v="0"/>
    <n v="177"/>
    <n v="130"/>
    <n v="0.7344632768361582"/>
    <n v="0.7344632768361582"/>
    <n v="1"/>
  </r>
  <r>
    <n v="1270940648"/>
    <s v="63.288.953/0001-17"/>
    <s v="devolucao_producao"/>
    <x v="0"/>
    <s v="Ademir da Silva Vitor Junior"/>
    <x v="1457"/>
    <m/>
    <m/>
    <m/>
    <m/>
    <m/>
    <m/>
    <m/>
    <m/>
    <m/>
    <m/>
    <m/>
    <m/>
    <m/>
    <m/>
    <m/>
    <m/>
    <m/>
    <m/>
    <m/>
    <m/>
    <m/>
    <m/>
    <n v="68.457860937502119"/>
    <x v="0"/>
    <x v="7"/>
    <x v="0"/>
    <n v="207"/>
    <n v="140"/>
    <n v="0.67632850241545894"/>
    <n v="0.67632850241545894"/>
    <n v="1"/>
  </r>
  <r>
    <n v="1198094651"/>
    <s v="46.809.041/0001-24"/>
    <s v="Yuri - 1 adap já devolvido"/>
    <x v="8"/>
    <s v="Pipebot"/>
    <x v="1458"/>
    <m/>
    <m/>
    <d v="2025-09-02T20:26:01"/>
    <d v="2025-09-03T20:26:22"/>
    <n v="1.000243"/>
    <d v="2025-09-07T20:27:09"/>
    <d v="2025-10-29T19:40:53"/>
    <n v="51.967095"/>
    <m/>
    <m/>
    <m/>
    <d v="2025-09-03T20:26:22"/>
    <d v="2025-09-05T20:26:40"/>
    <n v="2.0002080000000002"/>
    <d v="2025-09-05T20:26:40"/>
    <d v="2025-09-07T20:27:09"/>
    <n v="2.000324"/>
    <m/>
    <m/>
    <m/>
    <m/>
    <m/>
    <n v="191.1488920949123"/>
    <x v="0"/>
    <x v="2"/>
    <x v="0"/>
    <n v="146"/>
    <n v="112"/>
    <n v="0.76712328767123283"/>
    <n v="0.76712328767123283"/>
    <n v="1"/>
  </r>
  <r>
    <n v="1185363457"/>
    <s v="43.093.498/0001-97"/>
    <s v="Yuri Frazao"/>
    <x v="0"/>
    <s v="Pipebot"/>
    <x v="1459"/>
    <m/>
    <m/>
    <m/>
    <m/>
    <m/>
    <m/>
    <m/>
    <m/>
    <m/>
    <m/>
    <m/>
    <m/>
    <m/>
    <m/>
    <m/>
    <m/>
    <m/>
    <m/>
    <m/>
    <m/>
    <m/>
    <m/>
    <n v="212.14973858796293"/>
    <x v="0"/>
    <x v="5"/>
    <x v="0"/>
    <n v="177"/>
    <n v="130"/>
    <n v="0.7344632768361582"/>
    <n v="0.7344632768361582"/>
    <n v="1"/>
  </r>
  <r>
    <n v="1240025682"/>
    <s v="43.093.498/0001-97"/>
    <s v="Yuri Frazao - 2 adaptadores"/>
    <x v="8"/>
    <s v="Pipebot"/>
    <x v="1460"/>
    <m/>
    <m/>
    <m/>
    <m/>
    <m/>
    <m/>
    <m/>
    <m/>
    <m/>
    <m/>
    <m/>
    <m/>
    <m/>
    <m/>
    <m/>
    <m/>
    <m/>
    <m/>
    <m/>
    <m/>
    <m/>
    <m/>
    <n v="129.20627388889261"/>
    <x v="0"/>
    <x v="6"/>
    <x v="0"/>
    <n v="195"/>
    <n v="132"/>
    <n v="0.67692307692307696"/>
    <n v="0.67692307692307696"/>
    <n v="1"/>
  </r>
  <r>
    <n v="1225456138"/>
    <s v="52.775.062/0001-79"/>
    <s v="Zeza Place "/>
    <x v="0"/>
    <s v="Pipebot"/>
    <x v="1461"/>
    <m/>
    <m/>
    <m/>
    <m/>
    <m/>
    <m/>
    <m/>
    <m/>
    <m/>
    <m/>
    <m/>
    <m/>
    <m/>
    <m/>
    <m/>
    <m/>
    <m/>
    <m/>
    <m/>
    <m/>
    <m/>
    <m/>
    <n v="148.14868601851776"/>
    <x v="0"/>
    <x v="6"/>
    <x v="0"/>
    <n v="195"/>
    <n v="132"/>
    <n v="0.67692307692307696"/>
    <n v="0.67692307692307696"/>
    <n v="1"/>
  </r>
  <r>
    <n v="1194838699"/>
    <s v="50.235.776/0001-69"/>
    <s v="Ziggy &amp; Zakk Conveniência "/>
    <x v="0"/>
    <s v="Pipebot"/>
    <x v="1462"/>
    <m/>
    <m/>
    <m/>
    <m/>
    <m/>
    <m/>
    <m/>
    <m/>
    <m/>
    <m/>
    <m/>
    <m/>
    <m/>
    <m/>
    <m/>
    <m/>
    <m/>
    <m/>
    <m/>
    <m/>
    <m/>
    <m/>
    <n v="196.98273670139315"/>
    <x v="0"/>
    <x v="2"/>
    <x v="0"/>
    <n v="146"/>
    <n v="112"/>
    <n v="0.76712328767123283"/>
    <n v="0.76712328767123283"/>
    <n v="1"/>
  </r>
  <r>
    <n v="1250548230"/>
    <s v="18.330.268/0001-57"/>
    <s v="Zilda de Souza Praxedes "/>
    <x v="0"/>
    <s v="Pipebot"/>
    <x v="1463"/>
    <m/>
    <m/>
    <m/>
    <m/>
    <m/>
    <m/>
    <m/>
    <m/>
    <m/>
    <m/>
    <m/>
    <m/>
    <m/>
    <m/>
    <m/>
    <m/>
    <m/>
    <m/>
    <m/>
    <m/>
    <m/>
    <m/>
    <n v="113.08128509258677"/>
    <x v="0"/>
    <x v="0"/>
    <x v="0"/>
    <n v="131"/>
    <n v="87"/>
    <n v="0.66412213740458015"/>
    <n v="0.6641221374045801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72ECB-4B12-43A7-B02A-E6BC2103CA0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1:H9" firstHeaderRow="1" firstDataRow="2" firstDataCol="1"/>
  <pivotFields count="40">
    <pivotField showAll="0"/>
    <pivotField showAll="0"/>
    <pivotField showAll="0"/>
    <pivotField axis="axisCol" multipleItemSelectionAllowed="1" showAll="0">
      <items count="13">
        <item h="1" x="3"/>
        <item x="2"/>
        <item x="7"/>
        <item x="5"/>
        <item h="1" x="0"/>
        <item x="6"/>
        <item x="1"/>
        <item x="4"/>
        <item h="1" x="8"/>
        <item h="1" x="9"/>
        <item h="1" x="10"/>
        <item h="1" x="11"/>
        <item t="default"/>
      </items>
    </pivotField>
    <pivotField showAll="0"/>
    <pivotField numFmtId="164" showAll="0">
      <items count="1465">
        <item x="65"/>
        <item x="1249"/>
        <item x="858"/>
        <item x="697"/>
        <item x="616"/>
        <item x="26"/>
        <item x="1032"/>
        <item x="747"/>
        <item x="641"/>
        <item x="643"/>
        <item x="1341"/>
        <item x="1363"/>
        <item x="1315"/>
        <item x="120"/>
        <item x="479"/>
        <item x="1408"/>
        <item x="741"/>
        <item x="885"/>
        <item x="985"/>
        <item x="857"/>
        <item x="1151"/>
        <item x="824"/>
        <item x="437"/>
        <item x="1240"/>
        <item x="852"/>
        <item x="239"/>
        <item x="246"/>
        <item x="480"/>
        <item x="102"/>
        <item x="1454"/>
        <item x="1079"/>
        <item x="331"/>
        <item x="1052"/>
        <item x="183"/>
        <item x="598"/>
        <item x="1354"/>
        <item x="1200"/>
        <item x="126"/>
        <item x="1077"/>
        <item x="1180"/>
        <item x="892"/>
        <item x="1289"/>
        <item x="78"/>
        <item x="1251"/>
        <item x="674"/>
        <item x="123"/>
        <item x="806"/>
        <item x="955"/>
        <item x="420"/>
        <item x="344"/>
        <item x="429"/>
        <item x="615"/>
        <item x="663"/>
        <item x="644"/>
        <item x="594"/>
        <item x="205"/>
        <item x="1138"/>
        <item x="1450"/>
        <item x="661"/>
        <item x="7"/>
        <item x="161"/>
        <item x="60"/>
        <item x="956"/>
        <item x="1173"/>
        <item x="599"/>
        <item x="285"/>
        <item x="38"/>
        <item x="673"/>
        <item x="1104"/>
        <item x="1074"/>
        <item x="146"/>
        <item x="700"/>
        <item x="394"/>
        <item x="828"/>
        <item x="312"/>
        <item x="53"/>
        <item x="150"/>
        <item x="1082"/>
        <item x="1349"/>
        <item x="610"/>
        <item x="760"/>
        <item x="31"/>
        <item x="1356"/>
        <item x="943"/>
        <item x="218"/>
        <item x="1168"/>
        <item x="428"/>
        <item x="642"/>
        <item x="645"/>
        <item x="827"/>
        <item x="623"/>
        <item x="1002"/>
        <item x="1436"/>
        <item x="930"/>
        <item x="71"/>
        <item x="1085"/>
        <item x="96"/>
        <item x="241"/>
        <item x="1371"/>
        <item x="1126"/>
        <item x="295"/>
        <item x="714"/>
        <item x="336"/>
        <item x="1152"/>
        <item x="497"/>
        <item x="718"/>
        <item x="1169"/>
        <item x="108"/>
        <item x="217"/>
        <item x="698"/>
        <item x="794"/>
        <item x="290"/>
        <item x="1238"/>
        <item x="798"/>
        <item x="493"/>
        <item x="799"/>
        <item x="628"/>
        <item x="912"/>
        <item x="430"/>
        <item x="401"/>
        <item x="417"/>
        <item x="487"/>
        <item x="1456"/>
        <item x="554"/>
        <item x="395"/>
        <item x="1219"/>
        <item x="519"/>
        <item x="1358"/>
        <item x="459"/>
        <item x="492"/>
        <item x="400"/>
        <item x="1398"/>
        <item x="1132"/>
        <item x="1248"/>
        <item x="1362"/>
        <item x="821"/>
        <item x="1380"/>
        <item x="115"/>
        <item x="793"/>
        <item x="202"/>
        <item x="11"/>
        <item x="1274"/>
        <item x="655"/>
        <item x="498"/>
        <item x="274"/>
        <item x="446"/>
        <item x="505"/>
        <item x="1154"/>
        <item x="10"/>
        <item x="1312"/>
        <item x="211"/>
        <item x="807"/>
        <item x="249"/>
        <item x="353"/>
        <item x="896"/>
        <item x="384"/>
        <item x="1279"/>
        <item x="234"/>
        <item x="140"/>
        <item x="1283"/>
        <item x="405"/>
        <item x="103"/>
        <item x="1459"/>
        <item x="293"/>
        <item x="39"/>
        <item x="579"/>
        <item x="699"/>
        <item x="216"/>
        <item x="320"/>
        <item x="558"/>
        <item x="1438"/>
        <item x="271"/>
        <item x="1374"/>
        <item x="671"/>
        <item x="1019"/>
        <item x="1281"/>
        <item x="93"/>
        <item x="1145"/>
        <item x="949"/>
        <item x="1010"/>
        <item x="337"/>
        <item x="250"/>
        <item x="1067"/>
        <item x="445"/>
        <item x="380"/>
        <item x="1286"/>
        <item x="130"/>
        <item x="1284"/>
        <item x="1211"/>
        <item x="243"/>
        <item x="539"/>
        <item x="617"/>
        <item x="868"/>
        <item x="685"/>
        <item x="8"/>
        <item x="284"/>
        <item x="596"/>
        <item x="352"/>
        <item x="311"/>
        <item x="1282"/>
        <item x="116"/>
        <item x="1066"/>
        <item x="773"/>
        <item x="1091"/>
        <item x="712"/>
        <item x="1090"/>
        <item x="609"/>
        <item x="467"/>
        <item x="816"/>
        <item x="899"/>
        <item x="528"/>
        <item x="820"/>
        <item x="42"/>
        <item x="711"/>
        <item x="41"/>
        <item x="991"/>
        <item x="586"/>
        <item x="772"/>
        <item x="770"/>
        <item x="77"/>
        <item x="371"/>
        <item x="1110"/>
        <item x="702"/>
        <item x="632"/>
        <item x="1384"/>
        <item x="703"/>
        <item x="535"/>
        <item x="451"/>
        <item x="1323"/>
        <item x="1403"/>
        <item x="522"/>
        <item x="970"/>
        <item x="802"/>
        <item x="882"/>
        <item x="253"/>
        <item x="622"/>
        <item x="750"/>
        <item x="106"/>
        <item x="151"/>
        <item x="1061"/>
        <item x="206"/>
        <item x="1462"/>
        <item x="1149"/>
        <item x="1429"/>
        <item x="1193"/>
        <item x="1072"/>
        <item x="516"/>
        <item x="527"/>
        <item x="826"/>
        <item x="260"/>
        <item x="242"/>
        <item x="267"/>
        <item x="119"/>
        <item x="289"/>
        <item x="556"/>
        <item x="592"/>
        <item x="634"/>
        <item x="424"/>
        <item x="998"/>
        <item x="1385"/>
        <item x="549"/>
        <item x="618"/>
        <item x="833"/>
        <item x="1458"/>
        <item x="1364"/>
        <item x="1302"/>
        <item x="273"/>
        <item x="959"/>
        <item x="1411"/>
        <item x="210"/>
        <item x="830"/>
        <item x="1382"/>
        <item x="749"/>
        <item x="1015"/>
        <item x="1225"/>
        <item x="1250"/>
        <item x="1049"/>
        <item x="550"/>
        <item x="822"/>
        <item x="823"/>
        <item x="72"/>
        <item x="176"/>
        <item x="518"/>
        <item x="517"/>
        <item x="893"/>
        <item x="452"/>
        <item x="268"/>
        <item x="1108"/>
        <item x="2"/>
        <item x="619"/>
        <item x="485"/>
        <item x="1065"/>
        <item x="530"/>
        <item x="105"/>
        <item x="817"/>
        <item x="1355"/>
        <item x="1208"/>
        <item x="1097"/>
        <item x="933"/>
        <item x="444"/>
        <item x="439"/>
        <item x="748"/>
        <item x="1303"/>
        <item x="1094"/>
        <item x="1226"/>
        <item x="660"/>
        <item x="240"/>
        <item x="635"/>
        <item x="839"/>
        <item x="732"/>
        <item x="902"/>
        <item x="648"/>
        <item x="355"/>
        <item x="334"/>
        <item x="1204"/>
        <item x="1106"/>
        <item x="135"/>
        <item x="734"/>
        <item x="581"/>
        <item x="1046"/>
        <item x="728"/>
        <item x="745"/>
        <item x="1258"/>
        <item x="612"/>
        <item x="461"/>
        <item x="629"/>
        <item x="1174"/>
        <item x="500"/>
        <item x="316"/>
        <item x="1158"/>
        <item x="1131"/>
        <item x="769"/>
        <item x="1376"/>
        <item x="43"/>
        <item x="1014"/>
        <item x="1255"/>
        <item x="733"/>
        <item x="1100"/>
        <item x="841"/>
        <item x="1231"/>
        <item x="863"/>
        <item x="261"/>
        <item x="1038"/>
        <item x="953"/>
        <item x="1220"/>
        <item x="983"/>
        <item x="471"/>
        <item x="776"/>
        <item x="1127"/>
        <item x="1124"/>
        <item x="62"/>
        <item x="670"/>
        <item x="767"/>
        <item x="1247"/>
        <item x="1045"/>
        <item x="427"/>
        <item x="723"/>
        <item x="1350"/>
        <item x="118"/>
        <item x="67"/>
        <item x="795"/>
        <item x="348"/>
        <item x="557"/>
        <item x="30"/>
        <item x="1203"/>
        <item x="37"/>
        <item x="389"/>
        <item x="294"/>
        <item x="1078"/>
        <item x="1027"/>
        <item x="903"/>
        <item x="567"/>
        <item x="89"/>
        <item x="1261"/>
        <item x="1293"/>
        <item x="114"/>
        <item x="1130"/>
        <item x="92"/>
        <item x="1309"/>
        <item x="511"/>
        <item x="992"/>
        <item x="975"/>
        <item x="269"/>
        <item x="565"/>
        <item x="188"/>
        <item x="881"/>
        <item x="984"/>
        <item x="141"/>
        <item x="777"/>
        <item x="1451"/>
        <item x="751"/>
        <item x="345"/>
        <item x="247"/>
        <item x="1229"/>
        <item x="1207"/>
        <item x="1177"/>
        <item x="1013"/>
        <item x="390"/>
        <item x="258"/>
        <item x="804"/>
        <item x="4"/>
        <item x="291"/>
        <item x="1095"/>
        <item x="90"/>
        <item x="1291"/>
        <item x="664"/>
        <item x="46"/>
        <item x="551"/>
        <item x="1402"/>
        <item x="27"/>
        <item x="1357"/>
        <item x="987"/>
        <item x="786"/>
        <item x="15"/>
        <item x="1084"/>
        <item x="1183"/>
        <item x="1326"/>
        <item x="1195"/>
        <item x="315"/>
        <item x="270"/>
        <item x="64"/>
        <item x="620"/>
        <item x="1304"/>
        <item x="356"/>
        <item x="1415"/>
        <item x="1000"/>
        <item x="805"/>
        <item x="785"/>
        <item x="1025"/>
        <item x="1310"/>
        <item x="652"/>
        <item x="215"/>
        <item x="1120"/>
        <item x="789"/>
        <item x="691"/>
        <item x="695"/>
        <item x="696"/>
        <item x="209"/>
        <item x="1443"/>
        <item x="303"/>
        <item x="552"/>
        <item x="329"/>
        <item x="58"/>
        <item x="840"/>
        <item x="484"/>
        <item x="404"/>
        <item x="846"/>
        <item x="464"/>
        <item x="111"/>
        <item x="854"/>
        <item x="1197"/>
        <item x="1201"/>
        <item x="1449"/>
        <item x="766"/>
        <item x="1423"/>
        <item x="280"/>
        <item x="1048"/>
        <item x="1288"/>
        <item x="333"/>
        <item x="229"/>
        <item x="474"/>
        <item x="1161"/>
        <item x="434"/>
        <item x="1234"/>
        <item x="1296"/>
        <item x="91"/>
        <item x="848"/>
        <item x="330"/>
        <item x="1295"/>
        <item x="583"/>
        <item x="506"/>
        <item x="1001"/>
        <item x="1416"/>
        <item x="1407"/>
        <item x="803"/>
        <item x="989"/>
        <item x="1011"/>
        <item x="1298"/>
        <item x="753"/>
        <item x="207"/>
        <item x="328"/>
        <item x="993"/>
        <item x="412"/>
        <item x="1324"/>
        <item x="1146"/>
        <item x="177"/>
        <item x="499"/>
        <item x="929"/>
        <item x="296"/>
        <item x="800"/>
        <item x="727"/>
        <item x="238"/>
        <item x="1383"/>
        <item x="391"/>
        <item x="375"/>
        <item x="656"/>
        <item x="496"/>
        <item x="922"/>
        <item x="1076"/>
        <item x="740"/>
        <item x="704"/>
        <item x="256"/>
        <item x="810"/>
        <item x="791"/>
        <item x="774"/>
        <item x="559"/>
        <item x="575"/>
        <item x="638"/>
        <item x="815"/>
        <item x="1308"/>
        <item x="1307"/>
        <item x="1136"/>
        <item x="1446"/>
        <item x="488"/>
        <item x="342"/>
        <item x="214"/>
        <item x="286"/>
        <item x="100"/>
        <item x="359"/>
        <item x="561"/>
        <item x="1278"/>
        <item x="1166"/>
        <item x="225"/>
        <item x="181"/>
        <item x="110"/>
        <item x="212"/>
        <item x="1461"/>
        <item x="1327"/>
        <item x="1069"/>
        <item x="900"/>
        <item x="677"/>
        <item x="129"/>
        <item x="1339"/>
        <item x="668"/>
        <item x="849"/>
        <item x="382"/>
        <item x="1404"/>
        <item x="1089"/>
        <item x="1119"/>
        <item x="752"/>
        <item x="376"/>
        <item x="1366"/>
        <item x="1017"/>
        <item x="1236"/>
        <item x="174"/>
        <item x="137"/>
        <item x="144"/>
        <item x="277"/>
        <item x="97"/>
        <item x="55"/>
        <item x="32"/>
        <item x="739"/>
        <item x="1175"/>
        <item x="473"/>
        <item x="168"/>
        <item x="1264"/>
        <item x="422"/>
        <item x="1070"/>
        <item x="553"/>
        <item x="999"/>
        <item x="878"/>
        <item x="95"/>
        <item x="1068"/>
        <item x="904"/>
        <item x="448"/>
        <item x="14"/>
        <item x="172"/>
        <item x="862"/>
        <item x="351"/>
        <item x="633"/>
        <item x="665"/>
        <item x="639"/>
        <item x="154"/>
        <item x="1026"/>
        <item x="381"/>
        <item x="965"/>
        <item x="1325"/>
        <item x="1237"/>
        <item x="185"/>
        <item x="1016"/>
        <item x="195"/>
        <item x="327"/>
        <item x="724"/>
        <item x="1134"/>
        <item x="819"/>
        <item x="402"/>
        <item x="544"/>
        <item x="979"/>
        <item x="1270"/>
        <item x="709"/>
        <item x="1378"/>
        <item x="1425"/>
        <item x="1117"/>
        <item x="934"/>
        <item x="788"/>
        <item x="1198"/>
        <item x="266"/>
        <item x="1023"/>
        <item x="1039"/>
        <item x="339"/>
        <item x="1034"/>
        <item x="1107"/>
        <item x="1424"/>
        <item x="667"/>
        <item x="472"/>
        <item x="693"/>
        <item x="954"/>
        <item x="1244"/>
        <item x="1215"/>
        <item x="1008"/>
        <item x="613"/>
        <item x="591"/>
        <item x="369"/>
        <item x="383"/>
        <item x="388"/>
        <item x="49"/>
        <item x="860"/>
        <item x="797"/>
        <item x="194"/>
        <item x="198"/>
        <item x="481"/>
        <item x="945"/>
        <item x="1434"/>
        <item x="257"/>
        <item x="490"/>
        <item x="986"/>
        <item x="566"/>
        <item x="162"/>
        <item x="1047"/>
        <item x="962"/>
        <item x="435"/>
        <item x="898"/>
        <item x="832"/>
        <item x="947"/>
        <item x="1199"/>
        <item x="431"/>
        <item x="911"/>
        <item x="1222"/>
        <item x="372"/>
        <item x="1186"/>
        <item x="12"/>
        <item x="1460"/>
        <item x="842"/>
        <item x="186"/>
        <item x="1040"/>
        <item x="867"/>
        <item x="871"/>
        <item x="678"/>
        <item x="651"/>
        <item x="1214"/>
        <item x="204"/>
        <item x="946"/>
        <item x="831"/>
        <item x="1246"/>
        <item x="163"/>
        <item x="166"/>
        <item x="710"/>
        <item x="125"/>
        <item x="338"/>
        <item x="155"/>
        <item x="501"/>
        <item x="578"/>
        <item x="997"/>
        <item x="1164"/>
        <item x="282"/>
        <item x="669"/>
        <item x="626"/>
        <item x="317"/>
        <item x="595"/>
        <item x="582"/>
        <item x="262"/>
        <item x="811"/>
        <item x="335"/>
        <item x="564"/>
        <item x="692"/>
        <item x="787"/>
        <item x="1365"/>
        <item x="996"/>
        <item x="1353"/>
        <item x="313"/>
        <item x="279"/>
        <item x="1313"/>
        <item x="184"/>
        <item x="631"/>
        <item x="1421"/>
        <item x="1179"/>
        <item x="227"/>
        <item x="450"/>
        <item x="136"/>
        <item x="894"/>
        <item x="1080"/>
        <item x="1213"/>
        <item x="1006"/>
        <item x="66"/>
        <item x="259"/>
        <item x="478"/>
        <item x="809"/>
        <item x="458"/>
        <item x="687"/>
        <item x="707"/>
        <item x="1042"/>
        <item x="546"/>
        <item x="1196"/>
        <item x="1121"/>
        <item x="462"/>
        <item x="1369"/>
        <item x="432"/>
        <item x="864"/>
        <item x="1455"/>
        <item x="976"/>
        <item x="1259"/>
        <item x="1147"/>
        <item x="1444"/>
        <item x="731"/>
        <item x="264"/>
        <item x="224"/>
        <item x="895"/>
        <item x="1276"/>
        <item x="1224"/>
        <item x="649"/>
        <item x="139"/>
        <item x="283"/>
        <item x="1004"/>
        <item x="915"/>
        <item x="576"/>
        <item x="1394"/>
        <item x="393"/>
        <item x="961"/>
        <item x="165"/>
        <item x="754"/>
        <item x="1114"/>
        <item x="0"/>
        <item x="1435"/>
        <item x="1463"/>
        <item x="104"/>
        <item x="40"/>
        <item x="275"/>
        <item x="189"/>
        <item x="18"/>
        <item x="520"/>
        <item x="1178"/>
        <item x="50"/>
        <item x="128"/>
        <item x="349"/>
        <item x="1035"/>
        <item x="887"/>
        <item x="966"/>
        <item x="178"/>
        <item x="370"/>
        <item x="682"/>
        <item x="1150"/>
        <item x="199"/>
        <item x="109"/>
        <item x="171"/>
        <item x="164"/>
        <item x="1338"/>
        <item x="735"/>
        <item x="675"/>
        <item x="1306"/>
        <item x="385"/>
        <item x="232"/>
        <item x="1099"/>
        <item x="1334"/>
        <item x="1160"/>
        <item x="1159"/>
        <item x="1227"/>
        <item x="1352"/>
        <item x="1266"/>
        <item x="1062"/>
        <item x="715"/>
        <item x="1275"/>
        <item x="1343"/>
        <item x="918"/>
        <item x="17"/>
        <item x="158"/>
        <item x="157"/>
        <item x="252"/>
        <item x="1263"/>
        <item x="19"/>
        <item x="847"/>
        <item x="719"/>
        <item x="690"/>
        <item x="170"/>
        <item x="47"/>
        <item x="835"/>
        <item x="360"/>
        <item x="1054"/>
        <item x="917"/>
        <item x="361"/>
        <item x="1232"/>
        <item x="366"/>
        <item x="679"/>
        <item x="808"/>
        <item x="980"/>
        <item x="276"/>
        <item x="888"/>
        <item x="251"/>
        <item x="9"/>
        <item x="967"/>
        <item x="314"/>
        <item x="419"/>
        <item x="112"/>
        <item x="532"/>
        <item x="453"/>
        <item x="1223"/>
        <item x="1128"/>
        <item x="571"/>
        <item x="1242"/>
        <item x="191"/>
        <item x="1018"/>
        <item x="927"/>
        <item x="593"/>
        <item x="921"/>
        <item x="1228"/>
        <item x="781"/>
        <item x="463"/>
        <item x="573"/>
        <item x="54"/>
        <item x="971"/>
        <item x="1400"/>
        <item x="572"/>
        <item x="726"/>
        <item x="190"/>
        <item x="637"/>
        <item x="1260"/>
        <item x="796"/>
        <item x="228"/>
        <item x="454"/>
        <item x="149"/>
        <item x="1346"/>
        <item x="755"/>
        <item x="24"/>
        <item x="653"/>
        <item x="605"/>
        <item x="1050"/>
        <item x="1241"/>
        <item x="1033"/>
        <item x="79"/>
        <item x="200"/>
        <item x="1163"/>
        <item x="460"/>
        <item x="829"/>
        <item x="588"/>
        <item x="6"/>
        <item x="16"/>
        <item x="960"/>
        <item x="856"/>
        <item x="193"/>
        <item x="1386"/>
        <item x="237"/>
        <item x="510"/>
        <item x="901"/>
        <item x="142"/>
        <item x="654"/>
        <item x="783"/>
        <item x="1115"/>
        <item x="1301"/>
        <item x="913"/>
        <item x="650"/>
        <item x="1144"/>
        <item x="853"/>
        <item x="399"/>
        <item x="213"/>
        <item x="1088"/>
        <item x="346"/>
        <item x="29"/>
        <item x="169"/>
        <item x="45"/>
        <item x="1157"/>
        <item x="438"/>
        <item x="850"/>
        <item x="1389"/>
        <item x="569"/>
        <item x="1329"/>
        <item x="1075"/>
        <item x="684"/>
        <item x="601"/>
        <item x="1235"/>
        <item x="560"/>
        <item x="1287"/>
        <item x="742"/>
        <item x="509"/>
        <item x="1361"/>
        <item x="358"/>
        <item x="63"/>
        <item x="672"/>
        <item x="897"/>
        <item x="1405"/>
        <item x="1375"/>
        <item x="995"/>
        <item x="873"/>
        <item x="758"/>
        <item x="182"/>
        <item x="310"/>
        <item x="680"/>
        <item x="813"/>
        <item x="542"/>
        <item x="302"/>
        <item x="836"/>
        <item x="148"/>
        <item x="475"/>
        <item x="387"/>
        <item x="1005"/>
        <item x="1020"/>
        <item x="604"/>
        <item x="1336"/>
        <item x="1406"/>
        <item x="377"/>
        <item x="1037"/>
        <item x="1233"/>
        <item x="1239"/>
        <item x="1221"/>
        <item x="1189"/>
        <item x="756"/>
        <item x="611"/>
        <item x="883"/>
        <item x="1176"/>
        <item x="1063"/>
        <item x="145"/>
        <item x="23"/>
        <item x="851"/>
        <item x="647"/>
        <item x="1290"/>
        <item x="736"/>
        <item x="441"/>
        <item x="627"/>
        <item x="939"/>
        <item x="33"/>
        <item x="1447"/>
        <item x="757"/>
        <item x="107"/>
        <item x="738"/>
        <item x="1125"/>
        <item x="469"/>
        <item x="132"/>
        <item x="928"/>
        <item x="440"/>
        <item x="278"/>
        <item x="877"/>
        <item x="1305"/>
        <item x="1170"/>
        <item x="526"/>
        <item x="1388"/>
        <item x="869"/>
        <item x="872"/>
        <item x="521"/>
        <item x="1335"/>
        <item x="416"/>
        <item x="1041"/>
        <item x="332"/>
        <item x="179"/>
        <item x="101"/>
        <item x="1379"/>
        <item x="1064"/>
        <item x="1297"/>
        <item x="1162"/>
        <item x="413"/>
        <item x="84"/>
        <item x="85"/>
        <item x="919"/>
        <item x="920"/>
        <item x="1396"/>
        <item x="1351"/>
        <item x="1230"/>
        <item x="688"/>
        <item x="1051"/>
        <item x="281"/>
        <item x="884"/>
        <item x="1337"/>
        <item x="423"/>
        <item x="373"/>
        <item x="1373"/>
        <item x="694"/>
        <item x="861"/>
        <item x="1118"/>
        <item x="1300"/>
        <item x="905"/>
        <item x="1328"/>
        <item x="982"/>
        <item x="1409"/>
        <item x="203"/>
        <item x="1243"/>
        <item x="44"/>
        <item x="343"/>
        <item x="421"/>
        <item x="180"/>
        <item x="910"/>
        <item x="907"/>
        <item x="1209"/>
        <item x="548"/>
        <item x="235"/>
        <item x="374"/>
        <item x="415"/>
        <item x="512"/>
        <item x="1093"/>
        <item x="386"/>
        <item x="844"/>
        <item x="843"/>
        <item x="1442"/>
        <item x="914"/>
        <item x="1165"/>
        <item x="1417"/>
        <item x="686"/>
        <item x="701"/>
        <item x="1265"/>
        <item x="859"/>
        <item x="1332"/>
        <item x="1420"/>
        <item x="1254"/>
        <item x="666"/>
        <item x="99"/>
        <item x="122"/>
        <item x="503"/>
        <item x="20"/>
        <item x="83"/>
        <item x="1457"/>
        <item x="1453"/>
        <item x="814"/>
        <item x="729"/>
        <item x="468"/>
        <item x="482"/>
        <item x="187"/>
        <item x="1122"/>
        <item x="1143"/>
        <item x="1155"/>
        <item x="152"/>
        <item x="730"/>
        <item x="236"/>
        <item x="51"/>
        <item x="906"/>
        <item x="392"/>
        <item x="515"/>
        <item x="287"/>
        <item x="545"/>
        <item x="167"/>
        <item x="1028"/>
        <item x="1135"/>
        <item x="1098"/>
        <item x="779"/>
        <item x="398"/>
        <item x="938"/>
        <item x="689"/>
        <item x="1452"/>
        <item x="555"/>
        <item x="924"/>
        <item x="713"/>
        <item x="784"/>
        <item x="1192"/>
        <item x="1111"/>
        <item x="292"/>
        <item x="603"/>
        <item x="70"/>
        <item x="138"/>
        <item x="1322"/>
        <item x="222"/>
        <item x="625"/>
        <item x="483"/>
        <item x="75"/>
        <item x="1109"/>
        <item x="113"/>
        <item x="73"/>
        <item x="562"/>
        <item x="1181"/>
        <item x="780"/>
        <item x="1381"/>
        <item x="80"/>
        <item x="708"/>
        <item x="568"/>
        <item x="759"/>
        <item x="494"/>
        <item x="1367"/>
        <item x="1073"/>
        <item x="319"/>
        <item x="1342"/>
        <item x="406"/>
        <item x="1030"/>
        <item x="720"/>
        <item x="219"/>
        <item x="1372"/>
        <item x="57"/>
        <item x="705"/>
        <item x="744"/>
        <item x="364"/>
        <item x="341"/>
        <item x="534"/>
        <item x="318"/>
        <item x="541"/>
        <item x="1031"/>
        <item x="1044"/>
        <item x="476"/>
        <item x="563"/>
        <item x="147"/>
        <item x="1410"/>
        <item x="1268"/>
        <item x="1156"/>
        <item x="1359"/>
        <item x="263"/>
        <item x="1348"/>
        <item x="1217"/>
        <item x="968"/>
        <item x="988"/>
        <item x="28"/>
        <item x="597"/>
        <item x="1319"/>
        <item x="1105"/>
        <item x="1253"/>
        <item x="683"/>
        <item x="812"/>
        <item x="411"/>
        <item x="504"/>
        <item x="969"/>
        <item x="124"/>
        <item x="531"/>
        <item x="658"/>
        <item x="160"/>
        <item x="1392"/>
        <item x="838"/>
        <item x="1427"/>
        <item x="837"/>
        <item x="722"/>
        <item x="590"/>
        <item x="1043"/>
        <item x="524"/>
        <item x="87"/>
        <item x="1331"/>
        <item x="1317"/>
        <item x="354"/>
        <item x="470"/>
        <item x="514"/>
        <item x="1182"/>
        <item x="254"/>
        <item x="88"/>
        <item x="608"/>
        <item x="426"/>
        <item x="1172"/>
        <item x="418"/>
        <item x="68"/>
        <item x="614"/>
        <item x="74"/>
        <item x="233"/>
        <item x="1191"/>
        <item x="304"/>
        <item x="1262"/>
        <item x="890"/>
        <item x="1021"/>
        <item x="1413"/>
        <item x="508"/>
        <item x="538"/>
        <item x="379"/>
        <item x="763"/>
        <item x="876"/>
        <item x="1390"/>
        <item x="1216"/>
        <item x="1432"/>
        <item x="525"/>
        <item x="1316"/>
        <item x="775"/>
        <item x="134"/>
        <item x="340"/>
        <item x="491"/>
        <item x="81"/>
        <item x="433"/>
        <item x="1445"/>
        <item x="1003"/>
        <item x="466"/>
        <item x="307"/>
        <item x="1245"/>
        <item x="248"/>
        <item x="1058"/>
        <item x="994"/>
        <item x="1439"/>
        <item x="1113"/>
        <item x="82"/>
        <item x="1360"/>
        <item x="790"/>
        <item x="587"/>
        <item x="1321"/>
        <item x="570"/>
        <item x="1440"/>
        <item x="636"/>
        <item x="196"/>
        <item x="1187"/>
        <item x="449"/>
        <item x="1071"/>
        <item x="1103"/>
        <item x="1412"/>
        <item x="1123"/>
        <item x="1269"/>
        <item x="944"/>
        <item x="255"/>
        <item x="523"/>
        <item x="1333"/>
        <item x="507"/>
        <item x="1190"/>
        <item x="1285"/>
        <item x="457"/>
        <item x="818"/>
        <item x="223"/>
        <item x="220"/>
        <item x="94"/>
        <item x="1212"/>
        <item x="143"/>
        <item x="159"/>
        <item x="1022"/>
        <item x="502"/>
        <item x="782"/>
        <item x="1153"/>
        <item x="350"/>
        <item x="86"/>
        <item x="621"/>
        <item x="362"/>
        <item x="1133"/>
        <item x="425"/>
        <item x="990"/>
        <item x="1202"/>
        <item x="681"/>
        <item x="3"/>
        <item x="34"/>
        <item x="941"/>
        <item x="908"/>
        <item x="465"/>
        <item x="1391"/>
        <item x="1397"/>
        <item x="1311"/>
        <item x="925"/>
        <item x="1277"/>
        <item x="825"/>
        <item x="197"/>
        <item x="1401"/>
        <item x="308"/>
        <item x="768"/>
        <item x="874"/>
        <item x="1029"/>
        <item x="1314"/>
        <item x="916"/>
        <item x="1448"/>
        <item x="1012"/>
        <item x="1056"/>
        <item x="1418"/>
        <item x="1101"/>
        <item x="1370"/>
        <item x="414"/>
        <item x="771"/>
        <item x="495"/>
        <item x="1330"/>
        <item x="1184"/>
        <item x="76"/>
        <item x="746"/>
        <item x="1272"/>
        <item x="368"/>
        <item x="244"/>
        <item x="403"/>
        <item x="201"/>
        <item x="1271"/>
        <item x="547"/>
        <item x="855"/>
        <item x="133"/>
        <item x="301"/>
        <item x="957"/>
        <item x="231"/>
        <item x="1426"/>
        <item x="324"/>
        <item x="935"/>
        <item x="117"/>
        <item x="1055"/>
        <item x="602"/>
        <item x="48"/>
        <item x="1256"/>
        <item x="764"/>
        <item x="630"/>
        <item x="299"/>
        <item x="1299"/>
        <item x="942"/>
        <item x="725"/>
        <item x="640"/>
        <item x="245"/>
        <item x="221"/>
        <item x="1441"/>
        <item x="624"/>
        <item x="706"/>
        <item x="743"/>
        <item x="721"/>
        <item x="761"/>
        <item x="13"/>
        <item x="1188"/>
        <item x="489"/>
        <item x="932"/>
        <item x="1083"/>
        <item x="1129"/>
        <item x="926"/>
        <item x="288"/>
        <item x="326"/>
        <item x="659"/>
        <item x="716"/>
        <item x="486"/>
        <item x="1081"/>
        <item x="1206"/>
        <item x="1007"/>
        <item x="1347"/>
        <item x="156"/>
        <item x="175"/>
        <item x="397"/>
        <item x="192"/>
        <item x="1414"/>
        <item x="981"/>
        <item x="230"/>
        <item x="886"/>
        <item x="1086"/>
        <item x="574"/>
        <item x="36"/>
        <item x="866"/>
        <item x="937"/>
        <item x="1087"/>
        <item x="1318"/>
        <item x="845"/>
        <item x="35"/>
        <item x="436"/>
        <item x="300"/>
        <item x="98"/>
        <item x="536"/>
        <item x="322"/>
        <item x="1096"/>
        <item x="1393"/>
        <item x="325"/>
        <item x="1171"/>
        <item x="298"/>
        <item x="297"/>
        <item x="662"/>
        <item x="865"/>
        <item x="1345"/>
        <item x="456"/>
        <item x="309"/>
        <item x="1205"/>
        <item x="61"/>
        <item x="1273"/>
        <item x="1252"/>
        <item x="56"/>
        <item x="585"/>
        <item x="21"/>
        <item x="1"/>
        <item x="410"/>
        <item x="1428"/>
        <item x="909"/>
        <item x="972"/>
        <item x="226"/>
        <item x="1185"/>
        <item x="69"/>
        <item x="951"/>
        <item x="778"/>
        <item x="127"/>
        <item x="357"/>
        <item x="889"/>
        <item x="1139"/>
        <item x="1419"/>
        <item x="762"/>
        <item x="923"/>
        <item x="363"/>
        <item x="589"/>
        <item x="1057"/>
        <item x="1399"/>
        <item x="59"/>
        <item x="5"/>
        <item x="22"/>
        <item x="1430"/>
        <item x="600"/>
        <item x="1142"/>
        <item x="936"/>
        <item x="1102"/>
        <item x="1387"/>
        <item x="513"/>
        <item x="1218"/>
        <item x="1194"/>
        <item x="323"/>
        <item x="443"/>
        <item x="1009"/>
        <item x="1437"/>
        <item x="305"/>
        <item x="1422"/>
        <item x="977"/>
        <item x="1141"/>
        <item x="1140"/>
        <item x="1280"/>
        <item x="1167"/>
        <item x="455"/>
        <item x="1267"/>
        <item x="1294"/>
        <item x="870"/>
        <item x="606"/>
        <item x="1210"/>
        <item x="1433"/>
        <item x="1024"/>
        <item x="879"/>
        <item x="52"/>
        <item x="1092"/>
        <item x="208"/>
        <item x="1395"/>
        <item x="153"/>
        <item x="1377"/>
        <item x="407"/>
        <item x="880"/>
        <item x="931"/>
        <item x="834"/>
        <item x="737"/>
        <item x="1368"/>
        <item x="396"/>
        <item x="891"/>
        <item x="1320"/>
        <item x="1116"/>
        <item x="580"/>
        <item x="477"/>
        <item x="1292"/>
        <item x="1431"/>
        <item x="447"/>
        <item x="378"/>
        <item x="321"/>
        <item x="408"/>
        <item x="792"/>
        <item x="952"/>
        <item x="577"/>
        <item x="948"/>
        <item x="347"/>
        <item x="272"/>
        <item x="540"/>
        <item x="801"/>
        <item x="1060"/>
        <item x="765"/>
        <item x="131"/>
        <item x="584"/>
        <item x="978"/>
        <item x="533"/>
        <item x="442"/>
        <item x="543"/>
        <item x="1344"/>
        <item x="875"/>
        <item x="963"/>
        <item x="1137"/>
        <item x="1036"/>
        <item x="950"/>
        <item x="607"/>
        <item x="1257"/>
        <item x="306"/>
        <item x="974"/>
        <item x="121"/>
        <item x="367"/>
        <item x="964"/>
        <item x="365"/>
        <item x="717"/>
        <item x="1148"/>
        <item x="676"/>
        <item x="25"/>
        <item x="173"/>
        <item x="409"/>
        <item x="1059"/>
        <item x="940"/>
        <item x="1340"/>
        <item x="265"/>
        <item x="529"/>
        <item x="1053"/>
        <item x="973"/>
        <item x="1112"/>
        <item x="958"/>
        <item x="657"/>
        <item x="537"/>
        <item x="6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axis="axisRow" showAll="0">
      <items count="7">
        <item x="4"/>
        <item x="1"/>
        <item x="3"/>
        <item x="5"/>
        <item x="2"/>
        <item x="0"/>
        <item t="default"/>
      </items>
    </pivotField>
    <pivotField showAll="0"/>
    <pivotField showAll="0"/>
    <pivotField showAll="0"/>
    <pivotField showAll="0"/>
    <pivotField numFmtId="10" showAll="0"/>
    <pivotField numFmtId="10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 v="1"/>
    </i>
    <i>
      <x v="2"/>
    </i>
    <i>
      <x v="3"/>
    </i>
    <i>
      <x v="5"/>
    </i>
    <i>
      <x v="6"/>
    </i>
    <i>
      <x v="7"/>
    </i>
    <i t="grand">
      <x/>
    </i>
  </colItems>
  <dataFields count="1">
    <dataField name="Contagem de Total de Dias" fld="28" subtotal="count" baseField="29" baseItem="0"/>
  </dataFields>
  <chartFormats count="30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9" count="1" selected="0">
            <x v="1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9" count="1" selected="0">
            <x v="1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9" count="1" selected="0">
            <x v="2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9" count="1" selected="0">
            <x v="2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9" count="1" selected="0">
            <x v="3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9" count="1" selected="0">
            <x v="4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9" count="1" selected="0">
            <x v="4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9" count="1" selected="0">
            <x v="4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9F593-F045-4BD7-B40A-A8479FF5569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12" firstHeaderRow="1" firstDataRow="1" firstDataCol="1" rowPageCount="1" colPageCount="1"/>
  <pivotFields count="40">
    <pivotField showAll="0"/>
    <pivotField showAll="0"/>
    <pivotField showAll="0"/>
    <pivotField axis="axisPage" dataField="1" showAll="0">
      <items count="13">
        <item x="3"/>
        <item x="2"/>
        <item x="7"/>
        <item x="9"/>
        <item x="10"/>
        <item x="5"/>
        <item x="11"/>
        <item x="8"/>
        <item x="0"/>
        <item x="6"/>
        <item x="1"/>
        <item x="4"/>
        <item t="default"/>
      </items>
    </pivotField>
    <pivotField showAll="0"/>
    <pivotField numFmtId="164" showAll="0">
      <items count="1465">
        <item sd="0" x="65"/>
        <item sd="0" x="1249"/>
        <item sd="0" x="858"/>
        <item sd="0" x="697"/>
        <item sd="0" x="616"/>
        <item sd="0" x="26"/>
        <item sd="0" x="1032"/>
        <item sd="0" x="747"/>
        <item sd="0" x="641"/>
        <item sd="0" x="643"/>
        <item sd="0" x="1341"/>
        <item sd="0" x="1363"/>
        <item sd="0" x="1315"/>
        <item sd="0" x="120"/>
        <item sd="0" x="479"/>
        <item sd="0" x="1408"/>
        <item sd="0" x="741"/>
        <item sd="0" x="885"/>
        <item sd="0" x="985"/>
        <item sd="0" x="857"/>
        <item sd="0" x="1151"/>
        <item sd="0" x="824"/>
        <item sd="0" x="437"/>
        <item sd="0" x="1240"/>
        <item sd="0" x="852"/>
        <item sd="0" x="239"/>
        <item sd="0" x="246"/>
        <item sd="0" x="480"/>
        <item sd="0" x="102"/>
        <item sd="0" x="1454"/>
        <item sd="0" x="1079"/>
        <item sd="0" x="331"/>
        <item sd="0" x="1052"/>
        <item sd="0" x="183"/>
        <item sd="0" x="598"/>
        <item sd="0" x="1354"/>
        <item sd="0" x="1200"/>
        <item sd="0" x="126"/>
        <item sd="0" x="1077"/>
        <item sd="0" x="1180"/>
        <item sd="0" x="892"/>
        <item sd="0" x="1289"/>
        <item sd="0" x="78"/>
        <item sd="0" x="1251"/>
        <item sd="0" x="674"/>
        <item sd="0" x="123"/>
        <item sd="0" x="806"/>
        <item sd="0" x="955"/>
        <item sd="0" x="420"/>
        <item sd="0" x="344"/>
        <item sd="0" x="429"/>
        <item sd="0" x="615"/>
        <item sd="0" x="663"/>
        <item sd="0" x="644"/>
        <item sd="0" x="594"/>
        <item sd="0" x="205"/>
        <item sd="0" x="1138"/>
        <item sd="0" x="1450"/>
        <item sd="0" x="661"/>
        <item sd="0" x="7"/>
        <item sd="0" x="161"/>
        <item sd="0" x="60"/>
        <item sd="0" x="956"/>
        <item sd="0" x="1173"/>
        <item sd="0" x="599"/>
        <item sd="0" x="285"/>
        <item sd="0" x="38"/>
        <item sd="0" x="673"/>
        <item sd="0" x="1104"/>
        <item sd="0" x="1074"/>
        <item sd="0" x="146"/>
        <item sd="0" x="700"/>
        <item sd="0" x="394"/>
        <item sd="0" x="828"/>
        <item sd="0" x="312"/>
        <item sd="0" x="53"/>
        <item sd="0" x="150"/>
        <item sd="0" x="1082"/>
        <item sd="0" x="1349"/>
        <item sd="0" x="610"/>
        <item sd="0" x="760"/>
        <item sd="0" x="31"/>
        <item sd="0" x="1356"/>
        <item sd="0" x="943"/>
        <item sd="0" x="218"/>
        <item sd="0" x="1168"/>
        <item sd="0" x="428"/>
        <item sd="0" x="642"/>
        <item sd="0" x="645"/>
        <item sd="0" x="827"/>
        <item sd="0" x="623"/>
        <item sd="0" x="1002"/>
        <item sd="0" x="1436"/>
        <item sd="0" x="930"/>
        <item sd="0" x="71"/>
        <item sd="0" x="1085"/>
        <item sd="0" x="96"/>
        <item sd="0" x="241"/>
        <item sd="0" x="1371"/>
        <item sd="0" x="1126"/>
        <item sd="0" x="295"/>
        <item sd="0" x="714"/>
        <item sd="0" x="336"/>
        <item sd="0" x="1152"/>
        <item sd="0" x="497"/>
        <item sd="0" x="718"/>
        <item sd="0" x="1169"/>
        <item sd="0" x="108"/>
        <item sd="0" x="217"/>
        <item sd="0" x="698"/>
        <item sd="0" x="794"/>
        <item sd="0" x="290"/>
        <item sd="0" x="1238"/>
        <item sd="0" x="798"/>
        <item sd="0" x="493"/>
        <item sd="0" x="799"/>
        <item sd="0" x="628"/>
        <item sd="0" x="912"/>
        <item sd="0" x="430"/>
        <item sd="0" x="401"/>
        <item sd="0" x="417"/>
        <item sd="0" x="487"/>
        <item sd="0" x="1456"/>
        <item sd="0" x="554"/>
        <item sd="0" x="395"/>
        <item sd="0" x="1219"/>
        <item sd="0" x="519"/>
        <item sd="0" x="1358"/>
        <item sd="0" x="459"/>
        <item sd="0" x="492"/>
        <item sd="0" x="400"/>
        <item sd="0" x="1398"/>
        <item sd="0" x="1132"/>
        <item sd="0" x="1248"/>
        <item sd="0" x="1362"/>
        <item sd="0" x="821"/>
        <item sd="0" x="1380"/>
        <item sd="0" x="115"/>
        <item sd="0" x="793"/>
        <item sd="0" x="202"/>
        <item sd="0" x="11"/>
        <item sd="0" x="1274"/>
        <item sd="0" x="655"/>
        <item sd="0" x="498"/>
        <item sd="0" x="274"/>
        <item sd="0" x="446"/>
        <item sd="0" x="505"/>
        <item sd="0" x="1154"/>
        <item sd="0" x="10"/>
        <item sd="0" x="1312"/>
        <item sd="0" x="211"/>
        <item sd="0" x="807"/>
        <item sd="0" x="249"/>
        <item sd="0" x="353"/>
        <item sd="0" x="896"/>
        <item sd="0" x="384"/>
        <item sd="0" x="1279"/>
        <item sd="0" x="234"/>
        <item sd="0" x="140"/>
        <item sd="0" x="1283"/>
        <item sd="0" x="405"/>
        <item sd="0" x="103"/>
        <item sd="0" x="1459"/>
        <item sd="0" x="293"/>
        <item sd="0" x="39"/>
        <item sd="0" x="579"/>
        <item sd="0" x="699"/>
        <item sd="0" x="216"/>
        <item sd="0" x="320"/>
        <item sd="0" x="558"/>
        <item sd="0" x="1438"/>
        <item sd="0" x="271"/>
        <item sd="0" x="1374"/>
        <item sd="0" x="671"/>
        <item sd="0" x="1019"/>
        <item sd="0" x="1281"/>
        <item sd="0" x="93"/>
        <item sd="0" x="1145"/>
        <item sd="0" x="949"/>
        <item sd="0" x="1010"/>
        <item sd="0" x="337"/>
        <item sd="0" x="250"/>
        <item sd="0" x="1067"/>
        <item sd="0" x="445"/>
        <item sd="0" x="380"/>
        <item sd="0" x="1286"/>
        <item sd="0" x="130"/>
        <item sd="0" x="1284"/>
        <item sd="0" x="1211"/>
        <item sd="0" x="243"/>
        <item sd="0" x="539"/>
        <item sd="0" x="617"/>
        <item sd="0" x="868"/>
        <item sd="0" x="685"/>
        <item sd="0" x="8"/>
        <item sd="0" x="284"/>
        <item sd="0" x="596"/>
        <item sd="0" x="352"/>
        <item sd="0" x="311"/>
        <item sd="0" x="1282"/>
        <item sd="0" x="116"/>
        <item sd="0" x="1066"/>
        <item sd="0" x="773"/>
        <item sd="0" x="1091"/>
        <item sd="0" x="712"/>
        <item sd="0" x="1090"/>
        <item sd="0" x="609"/>
        <item sd="0" x="467"/>
        <item sd="0" x="816"/>
        <item sd="0" x="899"/>
        <item sd="0" x="528"/>
        <item sd="0" x="820"/>
        <item sd="0" x="42"/>
        <item sd="0" x="711"/>
        <item sd="0" x="41"/>
        <item sd="0" x="991"/>
        <item sd="0" x="586"/>
        <item sd="0" x="772"/>
        <item sd="0" x="770"/>
        <item sd="0" x="77"/>
        <item sd="0" x="371"/>
        <item sd="0" x="1110"/>
        <item sd="0" x="702"/>
        <item sd="0" x="632"/>
        <item sd="0" x="1384"/>
        <item sd="0" x="703"/>
        <item sd="0" x="535"/>
        <item sd="0" x="451"/>
        <item sd="0" x="1323"/>
        <item sd="0" x="1403"/>
        <item sd="0" x="522"/>
        <item sd="0" x="970"/>
        <item sd="0" x="802"/>
        <item sd="0" x="882"/>
        <item sd="0" x="253"/>
        <item sd="0" x="622"/>
        <item sd="0" x="750"/>
        <item sd="0" x="106"/>
        <item sd="0" x="151"/>
        <item sd="0" x="1061"/>
        <item sd="0" x="206"/>
        <item sd="0" x="1462"/>
        <item sd="0" x="1149"/>
        <item sd="0" x="1429"/>
        <item sd="0" x="1193"/>
        <item sd="0" x="1072"/>
        <item sd="0" x="516"/>
        <item sd="0" x="527"/>
        <item sd="0" x="826"/>
        <item sd="0" x="260"/>
        <item sd="0" x="242"/>
        <item sd="0" x="267"/>
        <item sd="0" x="119"/>
        <item sd="0" x="289"/>
        <item sd="0" x="556"/>
        <item sd="0" x="592"/>
        <item sd="0" x="634"/>
        <item sd="0" x="424"/>
        <item sd="0" x="998"/>
        <item sd="0" x="1385"/>
        <item sd="0" x="549"/>
        <item sd="0" x="618"/>
        <item sd="0" x="833"/>
        <item sd="0" x="1458"/>
        <item sd="0" x="1364"/>
        <item sd="0" x="1302"/>
        <item sd="0" x="273"/>
        <item sd="0" x="959"/>
        <item sd="0" x="1411"/>
        <item sd="0" x="210"/>
        <item sd="0" x="830"/>
        <item sd="0" x="1382"/>
        <item sd="0" x="749"/>
        <item sd="0" x="1015"/>
        <item sd="0" x="1225"/>
        <item sd="0" x="1250"/>
        <item sd="0" x="1049"/>
        <item sd="0" x="550"/>
        <item sd="0" x="822"/>
        <item sd="0" x="823"/>
        <item sd="0" x="72"/>
        <item sd="0" x="176"/>
        <item sd="0" x="518"/>
        <item sd="0" x="517"/>
        <item sd="0" x="893"/>
        <item sd="0" x="452"/>
        <item sd="0" x="268"/>
        <item sd="0" x="1108"/>
        <item sd="0" x="2"/>
        <item sd="0" x="619"/>
        <item sd="0" x="485"/>
        <item sd="0" x="1065"/>
        <item sd="0" x="530"/>
        <item sd="0" x="105"/>
        <item sd="0" x="817"/>
        <item sd="0" x="1355"/>
        <item sd="0" x="1208"/>
        <item sd="0" x="1097"/>
        <item sd="0" x="933"/>
        <item sd="0" x="444"/>
        <item sd="0" x="439"/>
        <item sd="0" x="748"/>
        <item sd="0" x="1303"/>
        <item sd="0" x="1094"/>
        <item sd="0" x="1226"/>
        <item sd="0" x="660"/>
        <item sd="0" x="240"/>
        <item sd="0" x="635"/>
        <item sd="0" x="839"/>
        <item sd="0" x="732"/>
        <item sd="0" x="902"/>
        <item sd="0" x="648"/>
        <item sd="0" x="355"/>
        <item sd="0" x="334"/>
        <item sd="0" x="1204"/>
        <item sd="0" x="1106"/>
        <item sd="0" x="135"/>
        <item sd="0" x="734"/>
        <item sd="0" x="581"/>
        <item sd="0" x="1046"/>
        <item sd="0" x="728"/>
        <item sd="0" x="745"/>
        <item sd="0" x="1258"/>
        <item sd="0" x="612"/>
        <item sd="0" x="461"/>
        <item sd="0" x="629"/>
        <item sd="0" x="1174"/>
        <item sd="0" x="500"/>
        <item sd="0" x="316"/>
        <item sd="0" x="1158"/>
        <item sd="0" x="1131"/>
        <item sd="0" x="769"/>
        <item sd="0" x="1376"/>
        <item sd="0" x="43"/>
        <item sd="0" x="1014"/>
        <item sd="0" x="1255"/>
        <item sd="0" x="733"/>
        <item sd="0" x="1100"/>
        <item sd="0" x="841"/>
        <item sd="0" x="1231"/>
        <item sd="0" x="863"/>
        <item sd="0" x="261"/>
        <item sd="0" x="1038"/>
        <item sd="0" x="953"/>
        <item sd="0" x="1220"/>
        <item sd="0" x="983"/>
        <item sd="0" x="471"/>
        <item sd="0" x="776"/>
        <item sd="0" x="1127"/>
        <item sd="0" x="1124"/>
        <item sd="0" x="62"/>
        <item sd="0" x="670"/>
        <item sd="0" x="767"/>
        <item sd="0" x="1247"/>
        <item sd="0" x="1045"/>
        <item sd="0" x="427"/>
        <item sd="0" x="723"/>
        <item sd="0" x="1350"/>
        <item sd="0" x="118"/>
        <item sd="0" x="67"/>
        <item sd="0" x="795"/>
        <item sd="0" x="348"/>
        <item sd="0" x="557"/>
        <item sd="0" x="30"/>
        <item sd="0" x="1203"/>
        <item sd="0" x="37"/>
        <item sd="0" x="389"/>
        <item sd="0" x="294"/>
        <item sd="0" x="1078"/>
        <item sd="0" x="1027"/>
        <item sd="0" x="903"/>
        <item sd="0" x="567"/>
        <item sd="0" x="89"/>
        <item sd="0" x="1261"/>
        <item sd="0" x="1293"/>
        <item sd="0" x="114"/>
        <item sd="0" x="1130"/>
        <item sd="0" x="92"/>
        <item sd="0" x="1309"/>
        <item sd="0" x="511"/>
        <item sd="0" x="992"/>
        <item sd="0" x="975"/>
        <item sd="0" x="269"/>
        <item sd="0" x="565"/>
        <item sd="0" x="188"/>
        <item sd="0" x="881"/>
        <item sd="0" x="984"/>
        <item sd="0" x="141"/>
        <item sd="0" x="777"/>
        <item sd="0" x="1451"/>
        <item sd="0" x="751"/>
        <item sd="0" x="345"/>
        <item sd="0" x="247"/>
        <item sd="0" x="1229"/>
        <item sd="0" x="1207"/>
        <item sd="0" x="1177"/>
        <item sd="0" x="1013"/>
        <item sd="0" x="390"/>
        <item sd="0" x="258"/>
        <item sd="0" x="804"/>
        <item sd="0" x="4"/>
        <item sd="0" x="291"/>
        <item sd="0" x="1095"/>
        <item sd="0" x="90"/>
        <item sd="0" x="1291"/>
        <item sd="0" x="664"/>
        <item sd="0" x="46"/>
        <item sd="0" x="551"/>
        <item sd="0" x="1402"/>
        <item sd="0" x="27"/>
        <item sd="0" x="1357"/>
        <item sd="0" x="987"/>
        <item sd="0" x="786"/>
        <item sd="0" x="15"/>
        <item sd="0" x="1084"/>
        <item sd="0" x="1183"/>
        <item sd="0" x="1326"/>
        <item sd="0" x="1195"/>
        <item sd="0" x="315"/>
        <item sd="0" x="270"/>
        <item sd="0" x="64"/>
        <item sd="0" x="620"/>
        <item sd="0" x="1304"/>
        <item sd="0" x="356"/>
        <item sd="0" x="1415"/>
        <item sd="0" x="1000"/>
        <item sd="0" x="805"/>
        <item sd="0" x="785"/>
        <item sd="0" x="1025"/>
        <item sd="0" x="1310"/>
        <item sd="0" x="652"/>
        <item sd="0" x="215"/>
        <item sd="0" x="1120"/>
        <item sd="0" x="789"/>
        <item sd="0" x="691"/>
        <item sd="0" x="695"/>
        <item sd="0" x="696"/>
        <item sd="0" x="209"/>
        <item sd="0" x="1443"/>
        <item sd="0" x="303"/>
        <item sd="0" x="552"/>
        <item sd="0" x="329"/>
        <item sd="0" x="58"/>
        <item sd="0" x="840"/>
        <item sd="0" x="484"/>
        <item sd="0" x="404"/>
        <item sd="0" x="846"/>
        <item sd="0" x="464"/>
        <item sd="0" x="111"/>
        <item sd="0" x="854"/>
        <item sd="0" x="1197"/>
        <item sd="0" x="1201"/>
        <item sd="0" x="1449"/>
        <item sd="0" x="766"/>
        <item sd="0" x="1423"/>
        <item sd="0" x="280"/>
        <item sd="0" x="1048"/>
        <item sd="0" x="1288"/>
        <item sd="0" x="333"/>
        <item sd="0" x="229"/>
        <item sd="0" x="474"/>
        <item sd="0" x="1161"/>
        <item sd="0" x="434"/>
        <item sd="0" x="1234"/>
        <item sd="0" x="1296"/>
        <item sd="0" x="91"/>
        <item sd="0" x="848"/>
        <item sd="0" x="330"/>
        <item sd="0" x="1295"/>
        <item sd="0" x="583"/>
        <item sd="0" x="506"/>
        <item sd="0" x="1001"/>
        <item sd="0" x="1416"/>
        <item sd="0" x="1407"/>
        <item sd="0" x="803"/>
        <item sd="0" x="989"/>
        <item sd="0" x="1011"/>
        <item sd="0" x="1298"/>
        <item sd="0" x="753"/>
        <item sd="0" x="207"/>
        <item sd="0" x="328"/>
        <item sd="0" x="993"/>
        <item sd="0" x="412"/>
        <item sd="0" x="1324"/>
        <item sd="0" x="1146"/>
        <item sd="0" x="177"/>
        <item sd="0" x="499"/>
        <item sd="0" x="929"/>
        <item sd="0" x="296"/>
        <item sd="0" x="800"/>
        <item sd="0" x="727"/>
        <item sd="0" x="238"/>
        <item sd="0" x="1383"/>
        <item sd="0" x="391"/>
        <item sd="0" x="375"/>
        <item sd="0" x="656"/>
        <item sd="0" x="496"/>
        <item sd="0" x="922"/>
        <item sd="0" x="1076"/>
        <item sd="0" x="740"/>
        <item sd="0" x="704"/>
        <item sd="0" x="256"/>
        <item sd="0" x="810"/>
        <item sd="0" x="791"/>
        <item sd="0" x="774"/>
        <item sd="0" x="559"/>
        <item sd="0" x="575"/>
        <item sd="0" x="638"/>
        <item sd="0" x="815"/>
        <item sd="0" x="1308"/>
        <item sd="0" x="1307"/>
        <item sd="0" x="1136"/>
        <item sd="0" x="1446"/>
        <item sd="0" x="488"/>
        <item sd="0" x="342"/>
        <item sd="0" x="214"/>
        <item sd="0" x="286"/>
        <item sd="0" x="100"/>
        <item sd="0" x="359"/>
        <item sd="0" x="561"/>
        <item sd="0" x="1278"/>
        <item sd="0" x="1166"/>
        <item sd="0" x="225"/>
        <item sd="0" x="181"/>
        <item sd="0" x="110"/>
        <item sd="0" x="212"/>
        <item sd="0" x="1461"/>
        <item sd="0" x="1327"/>
        <item sd="0" x="1069"/>
        <item sd="0" x="900"/>
        <item sd="0" x="677"/>
        <item sd="0" x="129"/>
        <item sd="0" x="1339"/>
        <item sd="0" x="668"/>
        <item sd="0" x="849"/>
        <item sd="0" x="382"/>
        <item sd="0" x="1404"/>
        <item sd="0" x="1089"/>
        <item sd="0" x="1119"/>
        <item sd="0" x="752"/>
        <item sd="0" x="376"/>
        <item sd="0" x="1366"/>
        <item sd="0" x="1017"/>
        <item sd="0" x="1236"/>
        <item sd="0" x="174"/>
        <item sd="0" x="137"/>
        <item sd="0" x="144"/>
        <item sd="0" x="277"/>
        <item sd="0" x="97"/>
        <item sd="0" x="55"/>
        <item sd="0" x="32"/>
        <item sd="0" x="739"/>
        <item sd="0" x="1175"/>
        <item sd="0" x="473"/>
        <item sd="0" x="168"/>
        <item sd="0" x="1264"/>
        <item sd="0" x="422"/>
        <item sd="0" x="1070"/>
        <item sd="0" x="553"/>
        <item sd="0" x="999"/>
        <item sd="0" x="878"/>
        <item sd="0" x="95"/>
        <item sd="0" x="1068"/>
        <item sd="0" x="904"/>
        <item sd="0" x="448"/>
        <item sd="0" x="14"/>
        <item sd="0" x="172"/>
        <item sd="0" x="862"/>
        <item sd="0" x="351"/>
        <item sd="0" x="633"/>
        <item sd="0" x="665"/>
        <item sd="0" x="639"/>
        <item sd="0" x="154"/>
        <item sd="0" x="1026"/>
        <item sd="0" x="381"/>
        <item sd="0" x="965"/>
        <item sd="0" x="1325"/>
        <item sd="0" x="1237"/>
        <item sd="0" x="185"/>
        <item sd="0" x="1016"/>
        <item sd="0" x="195"/>
        <item sd="0" x="327"/>
        <item sd="0" x="724"/>
        <item sd="0" x="1134"/>
        <item sd="0" x="819"/>
        <item sd="0" x="402"/>
        <item sd="0" x="544"/>
        <item sd="0" x="979"/>
        <item sd="0" x="1270"/>
        <item sd="0" x="709"/>
        <item sd="0" x="1378"/>
        <item sd="0" x="1425"/>
        <item sd="0" x="1117"/>
        <item sd="0" x="934"/>
        <item sd="0" x="788"/>
        <item sd="0" x="1198"/>
        <item sd="0" x="266"/>
        <item sd="0" x="1023"/>
        <item sd="0" x="1039"/>
        <item sd="0" x="339"/>
        <item sd="0" x="1034"/>
        <item sd="0" x="1107"/>
        <item sd="0" x="1424"/>
        <item sd="0" x="667"/>
        <item sd="0" x="472"/>
        <item sd="0" x="693"/>
        <item sd="0" x="954"/>
        <item sd="0" x="1244"/>
        <item sd="0" x="1215"/>
        <item sd="0" x="1008"/>
        <item sd="0" x="613"/>
        <item sd="0" x="591"/>
        <item sd="0" x="369"/>
        <item sd="0" x="383"/>
        <item sd="0" x="388"/>
        <item sd="0" x="49"/>
        <item sd="0" x="860"/>
        <item sd="0" x="797"/>
        <item sd="0" x="194"/>
        <item sd="0" x="198"/>
        <item sd="0" x="481"/>
        <item sd="0" x="945"/>
        <item sd="0" x="1434"/>
        <item sd="0" x="257"/>
        <item sd="0" x="490"/>
        <item sd="0" x="986"/>
        <item sd="0" x="566"/>
        <item sd="0" x="162"/>
        <item sd="0" x="1047"/>
        <item sd="0" x="962"/>
        <item sd="0" x="435"/>
        <item sd="0" x="898"/>
        <item sd="0" x="832"/>
        <item sd="0" x="947"/>
        <item sd="0" x="1199"/>
        <item sd="0" x="431"/>
        <item sd="0" x="911"/>
        <item sd="0" x="1222"/>
        <item sd="0" x="372"/>
        <item sd="0" x="1186"/>
        <item sd="0" x="12"/>
        <item sd="0" x="1460"/>
        <item sd="0" x="842"/>
        <item sd="0" x="186"/>
        <item sd="0" x="1040"/>
        <item sd="0" x="867"/>
        <item sd="0" x="871"/>
        <item sd="0" x="678"/>
        <item sd="0" x="651"/>
        <item sd="0" x="1214"/>
        <item sd="0" x="204"/>
        <item sd="0" x="946"/>
        <item sd="0" x="831"/>
        <item sd="0" x="1246"/>
        <item sd="0" x="163"/>
        <item sd="0" x="166"/>
        <item sd="0" x="710"/>
        <item sd="0" x="125"/>
        <item sd="0" x="338"/>
        <item sd="0" x="155"/>
        <item sd="0" x="501"/>
        <item sd="0" x="578"/>
        <item sd="0" x="997"/>
        <item sd="0" x="1164"/>
        <item sd="0" x="282"/>
        <item sd="0" x="669"/>
        <item sd="0" x="626"/>
        <item sd="0" x="317"/>
        <item sd="0" x="595"/>
        <item sd="0" x="582"/>
        <item sd="0" x="262"/>
        <item sd="0" x="811"/>
        <item sd="0" x="335"/>
        <item sd="0" x="564"/>
        <item sd="0" x="692"/>
        <item sd="0" x="787"/>
        <item sd="0" x="1365"/>
        <item sd="0" x="996"/>
        <item sd="0" x="1353"/>
        <item sd="0" x="313"/>
        <item sd="0" x="279"/>
        <item sd="0" x="1313"/>
        <item sd="0" x="184"/>
        <item sd="0" x="631"/>
        <item sd="0" x="1421"/>
        <item sd="0" x="1179"/>
        <item sd="0" x="227"/>
        <item sd="0" x="450"/>
        <item sd="0" x="136"/>
        <item sd="0" x="894"/>
        <item sd="0" x="1080"/>
        <item sd="0" x="1213"/>
        <item sd="0" x="1006"/>
        <item sd="0" x="66"/>
        <item sd="0" x="259"/>
        <item sd="0" x="478"/>
        <item sd="0" x="809"/>
        <item sd="0" x="458"/>
        <item sd="0" x="687"/>
        <item sd="0" x="707"/>
        <item sd="0" x="1042"/>
        <item sd="0" x="546"/>
        <item sd="0" x="1196"/>
        <item sd="0" x="1121"/>
        <item sd="0" x="462"/>
        <item sd="0" x="1369"/>
        <item sd="0" x="432"/>
        <item sd="0" x="864"/>
        <item sd="0" x="1455"/>
        <item sd="0" x="976"/>
        <item sd="0" x="1259"/>
        <item sd="0" x="1147"/>
        <item sd="0" x="1444"/>
        <item sd="0" x="731"/>
        <item sd="0" x="264"/>
        <item sd="0" x="224"/>
        <item sd="0" x="895"/>
        <item sd="0" x="1276"/>
        <item sd="0" x="1224"/>
        <item sd="0" x="649"/>
        <item sd="0" x="139"/>
        <item sd="0" x="283"/>
        <item sd="0" x="1004"/>
        <item sd="0" x="915"/>
        <item sd="0" x="576"/>
        <item sd="0" x="1394"/>
        <item sd="0" x="393"/>
        <item sd="0" x="961"/>
        <item sd="0" x="165"/>
        <item sd="0" x="754"/>
        <item sd="0" x="1114"/>
        <item sd="0" x="0"/>
        <item sd="0" x="1435"/>
        <item sd="0" x="1463"/>
        <item sd="0" x="104"/>
        <item sd="0" x="40"/>
        <item sd="0" x="275"/>
        <item sd="0" x="189"/>
        <item sd="0" x="18"/>
        <item sd="0" x="520"/>
        <item sd="0" x="1178"/>
        <item sd="0" x="50"/>
        <item sd="0" x="128"/>
        <item sd="0" x="349"/>
        <item sd="0" x="1035"/>
        <item sd="0" x="887"/>
        <item sd="0" x="966"/>
        <item sd="0" x="178"/>
        <item sd="0" x="370"/>
        <item sd="0" x="682"/>
        <item sd="0" x="1150"/>
        <item sd="0" x="199"/>
        <item sd="0" x="109"/>
        <item sd="0" x="171"/>
        <item sd="0" x="164"/>
        <item sd="0" x="1338"/>
        <item sd="0" x="735"/>
        <item sd="0" x="675"/>
        <item sd="0" x="1306"/>
        <item sd="0" x="385"/>
        <item sd="0" x="232"/>
        <item sd="0" x="1099"/>
        <item sd="0" x="1334"/>
        <item sd="0" x="1160"/>
        <item sd="0" x="1159"/>
        <item sd="0" x="1227"/>
        <item sd="0" x="1352"/>
        <item sd="0" x="1266"/>
        <item sd="0" x="1062"/>
        <item sd="0" x="715"/>
        <item sd="0" x="1275"/>
        <item sd="0" x="1343"/>
        <item sd="0" x="918"/>
        <item sd="0" x="17"/>
        <item sd="0" x="158"/>
        <item sd="0" x="157"/>
        <item sd="0" x="252"/>
        <item sd="0" x="1263"/>
        <item sd="0" x="19"/>
        <item sd="0" x="847"/>
        <item sd="0" x="719"/>
        <item sd="0" x="690"/>
        <item sd="0" x="170"/>
        <item sd="0" x="47"/>
        <item sd="0" x="835"/>
        <item sd="0" x="360"/>
        <item sd="0" x="1054"/>
        <item sd="0" x="917"/>
        <item sd="0" x="361"/>
        <item sd="0" x="1232"/>
        <item sd="0" x="366"/>
        <item sd="0" x="679"/>
        <item sd="0" x="808"/>
        <item sd="0" x="980"/>
        <item sd="0" x="276"/>
        <item sd="0" x="888"/>
        <item sd="0" x="251"/>
        <item sd="0" x="9"/>
        <item sd="0" x="967"/>
        <item sd="0" x="314"/>
        <item sd="0" x="419"/>
        <item sd="0" x="112"/>
        <item sd="0" x="532"/>
        <item sd="0" x="453"/>
        <item sd="0" x="1223"/>
        <item sd="0" x="1128"/>
        <item sd="0" x="571"/>
        <item sd="0" x="1242"/>
        <item sd="0" x="191"/>
        <item sd="0" x="1018"/>
        <item sd="0" x="927"/>
        <item sd="0" x="593"/>
        <item sd="0" x="921"/>
        <item sd="0" x="1228"/>
        <item sd="0" x="781"/>
        <item sd="0" x="463"/>
        <item sd="0" x="573"/>
        <item sd="0" x="54"/>
        <item sd="0" x="971"/>
        <item sd="0" x="1400"/>
        <item sd="0" x="572"/>
        <item sd="0" x="726"/>
        <item sd="0" x="190"/>
        <item sd="0" x="637"/>
        <item sd="0" x="1260"/>
        <item sd="0" x="796"/>
        <item sd="0" x="228"/>
        <item sd="0" x="454"/>
        <item sd="0" x="149"/>
        <item sd="0" x="1346"/>
        <item sd="0" x="755"/>
        <item sd="0" x="24"/>
        <item sd="0" x="653"/>
        <item sd="0" x="605"/>
        <item sd="0" x="1050"/>
        <item sd="0" x="1241"/>
        <item sd="0" x="1033"/>
        <item sd="0" x="79"/>
        <item sd="0" x="200"/>
        <item sd="0" x="1163"/>
        <item sd="0" x="460"/>
        <item sd="0" x="829"/>
        <item sd="0" x="588"/>
        <item sd="0" x="6"/>
        <item sd="0" x="16"/>
        <item sd="0" x="960"/>
        <item sd="0" x="856"/>
        <item sd="0" x="193"/>
        <item sd="0" x="1386"/>
        <item sd="0" x="237"/>
        <item sd="0" x="510"/>
        <item sd="0" x="901"/>
        <item sd="0" x="142"/>
        <item sd="0" x="654"/>
        <item sd="0" x="783"/>
        <item sd="0" x="1115"/>
        <item sd="0" x="1301"/>
        <item sd="0" x="913"/>
        <item sd="0" x="650"/>
        <item sd="0" x="1144"/>
        <item sd="0" x="853"/>
        <item sd="0" x="399"/>
        <item sd="0" x="213"/>
        <item sd="0" x="1088"/>
        <item sd="0" x="346"/>
        <item sd="0" x="29"/>
        <item sd="0" x="169"/>
        <item sd="0" x="45"/>
        <item sd="0" x="1157"/>
        <item sd="0" x="438"/>
        <item sd="0" x="850"/>
        <item sd="0" x="1389"/>
        <item sd="0" x="569"/>
        <item sd="0" x="1329"/>
        <item sd="0" x="1075"/>
        <item sd="0" x="684"/>
        <item sd="0" x="601"/>
        <item sd="0" x="1235"/>
        <item sd="0" x="560"/>
        <item sd="0" x="1287"/>
        <item sd="0" x="742"/>
        <item sd="0" x="509"/>
        <item sd="0" x="1361"/>
        <item sd="0" x="358"/>
        <item sd="0" x="63"/>
        <item sd="0" x="672"/>
        <item sd="0" x="897"/>
        <item sd="0" x="1405"/>
        <item sd="0" x="1375"/>
        <item sd="0" x="995"/>
        <item sd="0" x="873"/>
        <item sd="0" x="758"/>
        <item sd="0" x="182"/>
        <item sd="0" x="310"/>
        <item sd="0" x="680"/>
        <item sd="0" x="813"/>
        <item sd="0" x="542"/>
        <item sd="0" x="302"/>
        <item sd="0" x="836"/>
        <item sd="0" x="148"/>
        <item sd="0" x="475"/>
        <item sd="0" x="387"/>
        <item sd="0" x="1005"/>
        <item sd="0" x="1020"/>
        <item sd="0" x="604"/>
        <item sd="0" x="1336"/>
        <item sd="0" x="1406"/>
        <item sd="0" x="377"/>
        <item sd="0" x="1037"/>
        <item sd="0" x="1233"/>
        <item sd="0" x="1239"/>
        <item sd="0" x="1221"/>
        <item sd="0" x="1189"/>
        <item sd="0" x="756"/>
        <item sd="0" x="611"/>
        <item sd="0" x="883"/>
        <item sd="0" x="1176"/>
        <item sd="0" x="1063"/>
        <item sd="0" x="145"/>
        <item sd="0" x="23"/>
        <item sd="0" x="851"/>
        <item sd="0" x="647"/>
        <item sd="0" x="1290"/>
        <item sd="0" x="736"/>
        <item sd="0" x="441"/>
        <item sd="0" x="627"/>
        <item sd="0" x="939"/>
        <item sd="0" x="33"/>
        <item sd="0" x="1447"/>
        <item sd="0" x="757"/>
        <item sd="0" x="107"/>
        <item sd="0" x="738"/>
        <item sd="0" x="1125"/>
        <item sd="0" x="469"/>
        <item sd="0" x="132"/>
        <item sd="0" x="928"/>
        <item sd="0" x="440"/>
        <item sd="0" x="278"/>
        <item sd="0" x="877"/>
        <item sd="0" x="1305"/>
        <item sd="0" x="1170"/>
        <item sd="0" x="526"/>
        <item sd="0" x="1388"/>
        <item sd="0" x="869"/>
        <item sd="0" x="872"/>
        <item sd="0" x="521"/>
        <item sd="0" x="1335"/>
        <item sd="0" x="416"/>
        <item sd="0" x="1041"/>
        <item sd="0" x="332"/>
        <item sd="0" x="179"/>
        <item sd="0" x="101"/>
        <item sd="0" x="1379"/>
        <item sd="0" x="1064"/>
        <item sd="0" x="1297"/>
        <item sd="0" x="1162"/>
        <item sd="0" x="413"/>
        <item sd="0" x="84"/>
        <item sd="0" x="85"/>
        <item sd="0" x="919"/>
        <item sd="0" x="920"/>
        <item sd="0" x="1396"/>
        <item sd="0" x="1351"/>
        <item sd="0" x="1230"/>
        <item sd="0" x="688"/>
        <item sd="0" x="1051"/>
        <item sd="0" x="281"/>
        <item sd="0" x="884"/>
        <item sd="0" x="1337"/>
        <item sd="0" x="423"/>
        <item sd="0" x="373"/>
        <item sd="0" x="1373"/>
        <item sd="0" x="694"/>
        <item sd="0" x="861"/>
        <item sd="0" x="1118"/>
        <item sd="0" x="1300"/>
        <item sd="0" x="905"/>
        <item sd="0" x="1328"/>
        <item sd="0" x="982"/>
        <item sd="0" x="1409"/>
        <item sd="0" x="203"/>
        <item sd="0" x="1243"/>
        <item sd="0" x="44"/>
        <item sd="0" x="343"/>
        <item sd="0" x="421"/>
        <item sd="0" x="180"/>
        <item sd="0" x="910"/>
        <item sd="0" x="907"/>
        <item sd="0" x="1209"/>
        <item sd="0" x="548"/>
        <item sd="0" x="235"/>
        <item sd="0" x="374"/>
        <item sd="0" x="415"/>
        <item sd="0" x="512"/>
        <item sd="0" x="1093"/>
        <item sd="0" x="386"/>
        <item sd="0" x="844"/>
        <item sd="0" x="843"/>
        <item sd="0" x="1442"/>
        <item sd="0" x="914"/>
        <item sd="0" x="1165"/>
        <item sd="0" x="1417"/>
        <item sd="0" x="686"/>
        <item sd="0" x="701"/>
        <item sd="0" x="1265"/>
        <item sd="0" x="859"/>
        <item sd="0" x="1332"/>
        <item sd="0" x="1420"/>
        <item sd="0" x="1254"/>
        <item sd="0" x="666"/>
        <item sd="0" x="99"/>
        <item sd="0" x="122"/>
        <item sd="0" x="503"/>
        <item sd="0" x="20"/>
        <item sd="0" x="83"/>
        <item sd="0" x="1457"/>
        <item sd="0" x="1453"/>
        <item sd="0" x="814"/>
        <item sd="0" x="729"/>
        <item sd="0" x="468"/>
        <item sd="0" x="482"/>
        <item sd="0" x="187"/>
        <item sd="0" x="1122"/>
        <item sd="0" x="1143"/>
        <item sd="0" x="1155"/>
        <item sd="0" x="152"/>
        <item sd="0" x="730"/>
        <item sd="0" x="236"/>
        <item sd="0" x="51"/>
        <item sd="0" x="906"/>
        <item sd="0" x="392"/>
        <item sd="0" x="515"/>
        <item sd="0" x="287"/>
        <item sd="0" x="545"/>
        <item sd="0" x="167"/>
        <item sd="0" x="1028"/>
        <item sd="0" x="1135"/>
        <item sd="0" x="1098"/>
        <item sd="0" x="779"/>
        <item sd="0" x="398"/>
        <item sd="0" x="938"/>
        <item sd="0" x="689"/>
        <item sd="0" x="1452"/>
        <item sd="0" x="555"/>
        <item sd="0" x="924"/>
        <item sd="0" x="713"/>
        <item sd="0" x="784"/>
        <item sd="0" x="1192"/>
        <item sd="0" x="1111"/>
        <item sd="0" x="292"/>
        <item sd="0" x="603"/>
        <item sd="0" x="70"/>
        <item sd="0" x="138"/>
        <item sd="0" x="1322"/>
        <item sd="0" x="222"/>
        <item sd="0" x="625"/>
        <item sd="0" x="483"/>
        <item sd="0" x="75"/>
        <item sd="0" x="1109"/>
        <item sd="0" x="113"/>
        <item sd="0" x="73"/>
        <item sd="0" x="562"/>
        <item sd="0" x="1181"/>
        <item sd="0" x="780"/>
        <item sd="0" x="1381"/>
        <item sd="0" x="80"/>
        <item sd="0" x="708"/>
        <item sd="0" x="568"/>
        <item sd="0" x="759"/>
        <item sd="0" x="494"/>
        <item sd="0" x="1367"/>
        <item sd="0" x="1073"/>
        <item sd="0" x="319"/>
        <item sd="0" x="1342"/>
        <item sd="0" x="406"/>
        <item sd="0" x="1030"/>
        <item sd="0" x="720"/>
        <item sd="0" x="219"/>
        <item sd="0" x="1372"/>
        <item sd="0" x="57"/>
        <item sd="0" x="705"/>
        <item sd="0" x="744"/>
        <item sd="0" x="364"/>
        <item sd="0" x="341"/>
        <item sd="0" x="534"/>
        <item sd="0" x="318"/>
        <item sd="0" x="541"/>
        <item sd="0" x="1031"/>
        <item sd="0" x="1044"/>
        <item sd="0" x="476"/>
        <item sd="0" x="563"/>
        <item sd="0" x="147"/>
        <item sd="0" x="1410"/>
        <item sd="0" x="1268"/>
        <item sd="0" x="1156"/>
        <item sd="0" x="1359"/>
        <item sd="0" x="263"/>
        <item sd="0" x="1348"/>
        <item sd="0" x="1217"/>
        <item sd="0" x="968"/>
        <item sd="0" x="988"/>
        <item sd="0" x="28"/>
        <item sd="0" x="597"/>
        <item sd="0" x="1319"/>
        <item sd="0" x="1105"/>
        <item sd="0" x="1253"/>
        <item sd="0" x="683"/>
        <item sd="0" x="812"/>
        <item sd="0" x="411"/>
        <item sd="0" x="504"/>
        <item sd="0" x="969"/>
        <item sd="0" x="124"/>
        <item sd="0" x="531"/>
        <item sd="0" x="658"/>
        <item sd="0" x="160"/>
        <item sd="0" x="1392"/>
        <item sd="0" x="838"/>
        <item sd="0" x="1427"/>
        <item sd="0" x="837"/>
        <item sd="0" x="722"/>
        <item sd="0" x="590"/>
        <item sd="0" x="1043"/>
        <item sd="0" x="524"/>
        <item sd="0" x="87"/>
        <item sd="0" x="1331"/>
        <item sd="0" x="1317"/>
        <item sd="0" x="354"/>
        <item sd="0" x="470"/>
        <item sd="0" x="514"/>
        <item sd="0" x="1182"/>
        <item sd="0" x="254"/>
        <item sd="0" x="88"/>
        <item sd="0" x="608"/>
        <item sd="0" x="426"/>
        <item sd="0" x="1172"/>
        <item sd="0" x="418"/>
        <item sd="0" x="68"/>
        <item sd="0" x="614"/>
        <item sd="0" x="74"/>
        <item sd="0" x="233"/>
        <item sd="0" x="1191"/>
        <item sd="0" x="304"/>
        <item sd="0" x="1262"/>
        <item sd="0" x="890"/>
        <item sd="0" x="1021"/>
        <item sd="0" x="1413"/>
        <item sd="0" x="508"/>
        <item sd="0" x="538"/>
        <item sd="0" x="379"/>
        <item sd="0" x="763"/>
        <item sd="0" x="876"/>
        <item sd="0" x="1390"/>
        <item sd="0" x="1216"/>
        <item sd="0" x="1432"/>
        <item sd="0" x="525"/>
        <item sd="0" x="1316"/>
        <item sd="0" x="775"/>
        <item sd="0" x="134"/>
        <item sd="0" x="340"/>
        <item sd="0" x="491"/>
        <item sd="0" x="81"/>
        <item sd="0" x="433"/>
        <item sd="0" x="1445"/>
        <item sd="0" x="1003"/>
        <item sd="0" x="466"/>
        <item sd="0" x="307"/>
        <item sd="0" x="1245"/>
        <item sd="0" x="248"/>
        <item sd="0" x="1058"/>
        <item sd="0" x="994"/>
        <item sd="0" x="1439"/>
        <item sd="0" x="1113"/>
        <item sd="0" x="82"/>
        <item sd="0" x="1360"/>
        <item sd="0" x="790"/>
        <item sd="0" x="587"/>
        <item sd="0" x="1321"/>
        <item sd="0" x="570"/>
        <item sd="0" x="1440"/>
        <item sd="0" x="636"/>
        <item sd="0" x="196"/>
        <item sd="0" x="1187"/>
        <item sd="0" x="449"/>
        <item sd="0" x="1071"/>
        <item sd="0" x="1103"/>
        <item sd="0" x="1412"/>
        <item sd="0" x="1123"/>
        <item sd="0" x="1269"/>
        <item sd="0" x="944"/>
        <item sd="0" x="255"/>
        <item sd="0" x="523"/>
        <item sd="0" x="1333"/>
        <item sd="0" x="507"/>
        <item sd="0" x="1190"/>
        <item sd="0" x="1285"/>
        <item sd="0" x="457"/>
        <item sd="0" x="818"/>
        <item sd="0" x="223"/>
        <item sd="0" x="220"/>
        <item sd="0" x="94"/>
        <item sd="0" x="1212"/>
        <item sd="0" x="143"/>
        <item sd="0" x="159"/>
        <item sd="0" x="1022"/>
        <item sd="0" x="502"/>
        <item sd="0" x="782"/>
        <item sd="0" x="1153"/>
        <item sd="0" x="350"/>
        <item sd="0" x="86"/>
        <item sd="0" x="621"/>
        <item sd="0" x="362"/>
        <item sd="0" x="1133"/>
        <item sd="0" x="425"/>
        <item sd="0" x="990"/>
        <item sd="0" x="1202"/>
        <item sd="0" x="681"/>
        <item sd="0" x="3"/>
        <item sd="0" x="34"/>
        <item sd="0" x="941"/>
        <item sd="0" x="908"/>
        <item sd="0" x="465"/>
        <item sd="0" x="1391"/>
        <item sd="0" x="1397"/>
        <item sd="0" x="1311"/>
        <item sd="0" x="925"/>
        <item sd="0" x="1277"/>
        <item sd="0" x="825"/>
        <item sd="0" x="197"/>
        <item sd="0" x="1401"/>
        <item sd="0" x="308"/>
        <item sd="0" x="768"/>
        <item sd="0" x="874"/>
        <item sd="0" x="1029"/>
        <item sd="0" x="1314"/>
        <item sd="0" x="916"/>
        <item sd="0" x="1448"/>
        <item sd="0" x="1012"/>
        <item sd="0" x="1056"/>
        <item sd="0" x="1418"/>
        <item sd="0" x="1101"/>
        <item sd="0" x="1370"/>
        <item sd="0" x="414"/>
        <item sd="0" x="771"/>
        <item sd="0" x="495"/>
        <item sd="0" x="1330"/>
        <item sd="0" x="1184"/>
        <item sd="0" x="76"/>
        <item sd="0" x="746"/>
        <item sd="0" x="1272"/>
        <item sd="0" x="368"/>
        <item sd="0" x="244"/>
        <item sd="0" x="403"/>
        <item sd="0" x="201"/>
        <item sd="0" x="1271"/>
        <item sd="0" x="547"/>
        <item sd="0" x="855"/>
        <item sd="0" x="133"/>
        <item sd="0" x="301"/>
        <item sd="0" x="957"/>
        <item sd="0" x="231"/>
        <item sd="0" x="1426"/>
        <item sd="0" x="324"/>
        <item sd="0" x="935"/>
        <item sd="0" x="117"/>
        <item sd="0" x="1055"/>
        <item sd="0" x="602"/>
        <item sd="0" x="48"/>
        <item sd="0" x="1256"/>
        <item sd="0" x="764"/>
        <item sd="0" x="630"/>
        <item sd="0" x="299"/>
        <item sd="0" x="1299"/>
        <item sd="0" x="942"/>
        <item sd="0" x="725"/>
        <item sd="0" x="640"/>
        <item sd="0" x="245"/>
        <item sd="0" x="221"/>
        <item sd="0" x="1441"/>
        <item sd="0" x="624"/>
        <item sd="0" x="706"/>
        <item sd="0" x="743"/>
        <item sd="0" x="721"/>
        <item sd="0" x="761"/>
        <item sd="0" x="13"/>
        <item sd="0" x="1188"/>
        <item sd="0" x="489"/>
        <item sd="0" x="932"/>
        <item sd="0" x="1083"/>
        <item sd="0" x="1129"/>
        <item sd="0" x="926"/>
        <item sd="0" x="288"/>
        <item sd="0" x="326"/>
        <item sd="0" x="659"/>
        <item sd="0" x="716"/>
        <item sd="0" x="486"/>
        <item sd="0" x="1081"/>
        <item sd="0" x="1206"/>
        <item sd="0" x="1007"/>
        <item sd="0" x="1347"/>
        <item sd="0" x="156"/>
        <item sd="0" x="175"/>
        <item sd="0" x="397"/>
        <item sd="0" x="192"/>
        <item sd="0" x="1414"/>
        <item sd="0" x="981"/>
        <item sd="0" x="230"/>
        <item sd="0" x="886"/>
        <item sd="0" x="1086"/>
        <item sd="0" x="574"/>
        <item sd="0" x="36"/>
        <item sd="0" x="866"/>
        <item sd="0" x="937"/>
        <item sd="0" x="1087"/>
        <item sd="0" x="1318"/>
        <item sd="0" x="845"/>
        <item sd="0" x="35"/>
        <item sd="0" x="436"/>
        <item sd="0" x="300"/>
        <item sd="0" x="98"/>
        <item sd="0" x="536"/>
        <item sd="0" x="322"/>
        <item sd="0" x="1096"/>
        <item sd="0" x="1393"/>
        <item sd="0" x="325"/>
        <item sd="0" x="1171"/>
        <item sd="0" x="298"/>
        <item sd="0" x="297"/>
        <item sd="0" x="662"/>
        <item sd="0" x="865"/>
        <item sd="0" x="1345"/>
        <item sd="0" x="456"/>
        <item sd="0" x="309"/>
        <item sd="0" x="1205"/>
        <item sd="0" x="61"/>
        <item sd="0" x="1273"/>
        <item sd="0" x="1252"/>
        <item sd="0" x="56"/>
        <item sd="0" x="585"/>
        <item sd="0" x="21"/>
        <item sd="0" x="1"/>
        <item sd="0" x="410"/>
        <item sd="0" x="1428"/>
        <item sd="0" x="909"/>
        <item sd="0" x="972"/>
        <item sd="0" x="226"/>
        <item sd="0" x="1185"/>
        <item sd="0" x="69"/>
        <item sd="0" x="951"/>
        <item sd="0" x="778"/>
        <item sd="0" x="127"/>
        <item sd="0" x="357"/>
        <item sd="0" x="889"/>
        <item sd="0" x="1139"/>
        <item sd="0" x="1419"/>
        <item sd="0" x="762"/>
        <item sd="0" x="923"/>
        <item sd="0" x="363"/>
        <item sd="0" x="589"/>
        <item sd="0" x="1057"/>
        <item sd="0" x="1399"/>
        <item sd="0" x="59"/>
        <item sd="0" x="5"/>
        <item sd="0" x="22"/>
        <item sd="0" x="1430"/>
        <item sd="0" x="600"/>
        <item sd="0" x="1142"/>
        <item sd="0" x="936"/>
        <item sd="0" x="1102"/>
        <item sd="0" x="1387"/>
        <item sd="0" x="513"/>
        <item sd="0" x="1218"/>
        <item sd="0" x="1194"/>
        <item sd="0" x="323"/>
        <item sd="0" x="443"/>
        <item sd="0" x="1009"/>
        <item sd="0" x="1437"/>
        <item sd="0" x="305"/>
        <item sd="0" x="1422"/>
        <item sd="0" x="977"/>
        <item sd="0" x="1141"/>
        <item sd="0" x="1140"/>
        <item sd="0" x="1280"/>
        <item sd="0" x="1167"/>
        <item sd="0" x="455"/>
        <item sd="0" x="1267"/>
        <item sd="0" x="1294"/>
        <item sd="0" x="870"/>
        <item sd="0" x="606"/>
        <item sd="0" x="1210"/>
        <item sd="0" x="1433"/>
        <item sd="0" x="1024"/>
        <item sd="0" x="879"/>
        <item sd="0" x="52"/>
        <item sd="0" x="1092"/>
        <item sd="0" x="208"/>
        <item sd="0" x="1395"/>
        <item sd="0" x="153"/>
        <item sd="0" x="1377"/>
        <item sd="0" x="407"/>
        <item sd="0" x="880"/>
        <item sd="0" x="931"/>
        <item sd="0" x="834"/>
        <item sd="0" x="737"/>
        <item sd="0" x="1368"/>
        <item sd="0" x="396"/>
        <item sd="0" x="891"/>
        <item sd="0" x="1320"/>
        <item sd="0" x="1116"/>
        <item sd="0" x="580"/>
        <item sd="0" x="477"/>
        <item sd="0" x="1292"/>
        <item sd="0" x="1431"/>
        <item sd="0" x="447"/>
        <item sd="0" x="378"/>
        <item sd="0" x="321"/>
        <item sd="0" x="408"/>
        <item sd="0" x="792"/>
        <item sd="0" x="952"/>
        <item sd="0" x="577"/>
        <item sd="0" x="948"/>
        <item sd="0" x="347"/>
        <item sd="0" x="272"/>
        <item sd="0" x="540"/>
        <item sd="0" x="801"/>
        <item sd="0" x="1060"/>
        <item sd="0" x="765"/>
        <item sd="0" x="131"/>
        <item sd="0" x="584"/>
        <item sd="0" x="978"/>
        <item sd="0" x="533"/>
        <item sd="0" x="442"/>
        <item sd="0" x="543"/>
        <item sd="0" x="1344"/>
        <item sd="0" x="875"/>
        <item sd="0" x="963"/>
        <item sd="0" x="1137"/>
        <item sd="0" x="1036"/>
        <item sd="0" x="950"/>
        <item sd="0" x="607"/>
        <item sd="0" x="1257"/>
        <item sd="0" x="306"/>
        <item sd="0" x="974"/>
        <item sd="0" x="121"/>
        <item sd="0" x="367"/>
        <item sd="0" x="964"/>
        <item sd="0" x="365"/>
        <item sd="0" x="717"/>
        <item sd="0" x="1148"/>
        <item sd="0" x="676"/>
        <item sd="0" x="25"/>
        <item sd="0" x="173"/>
        <item sd="0" x="409"/>
        <item sd="0" x="1059"/>
        <item sd="0" x="940"/>
        <item sd="0" x="1340"/>
        <item sd="0" x="265"/>
        <item sd="0" x="529"/>
        <item sd="0" x="1053"/>
        <item sd="0" x="973"/>
        <item sd="0" x="1112"/>
        <item sd="0" x="958"/>
        <item sd="0" x="657"/>
        <item sd="0" x="537"/>
        <item sd="0" x="64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9">
        <item x="7"/>
        <item x="0"/>
        <item x="6"/>
        <item x="4"/>
        <item x="2"/>
        <item x="5"/>
        <item x="1"/>
        <item x="3"/>
        <item t="default"/>
      </items>
    </pivotField>
    <pivotField showAll="0"/>
    <pivotField showAll="0"/>
    <pivotField showAll="0"/>
    <pivotField numFmtId="10" showAll="0"/>
    <pivotField numFmtId="10" showAll="0"/>
    <pivotField numFmtId="9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sd="0" x="0"/>
        <item x="1"/>
        <item x="2"/>
        <item sd="0" x="3"/>
      </items>
    </pivotField>
  </pivotFields>
  <rowFields count="1">
    <field x="3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8" hier="-1"/>
  </pageFields>
  <dataFields count="1">
    <dataField name="Contagem de Fase atual" fld="3" subtotal="count" showDataAs="percentOfTotal" baseField="30" baseItem="0" numFmtId="10"/>
  </dataFields>
  <formats count="4">
    <format dxfId="4">
      <pivotArea field="5" type="button" dataOnly="0" labelOnly="1" outline="0"/>
    </format>
    <format dxfId="3">
      <pivotArea dataOnly="0" labelOnly="1" grandRow="1" outline="0" fieldPosition="0"/>
    </format>
    <format dxfId="2">
      <pivotArea collapsedLevelsAreSubtotals="1" fieldPosition="0">
        <references count="1">
          <reference field="30" count="0"/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4A680-5F21-48FE-A2AE-710961F33B1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R1:T12" firstHeaderRow="0" firstDataRow="1" firstDataCol="1"/>
  <pivotFields count="40">
    <pivotField showAll="0"/>
    <pivotField showAll="0"/>
    <pivotField showAll="0"/>
    <pivotField showAll="0"/>
    <pivotField showAll="0"/>
    <pivotField numFmtId="14" showAll="0">
      <items count="1465">
        <item x="65"/>
        <item x="1249"/>
        <item x="858"/>
        <item x="697"/>
        <item x="616"/>
        <item x="26"/>
        <item x="1032"/>
        <item x="747"/>
        <item x="641"/>
        <item x="643"/>
        <item x="1341"/>
        <item x="1363"/>
        <item x="1315"/>
        <item x="120"/>
        <item x="479"/>
        <item x="1408"/>
        <item x="741"/>
        <item x="885"/>
        <item x="985"/>
        <item x="857"/>
        <item x="1151"/>
        <item x="824"/>
        <item x="437"/>
        <item x="1240"/>
        <item x="852"/>
        <item x="239"/>
        <item x="246"/>
        <item x="480"/>
        <item x="102"/>
        <item x="1454"/>
        <item x="1079"/>
        <item x="331"/>
        <item x="1052"/>
        <item x="183"/>
        <item x="598"/>
        <item x="1354"/>
        <item x="1200"/>
        <item x="126"/>
        <item x="1077"/>
        <item x="1180"/>
        <item x="892"/>
        <item x="1289"/>
        <item x="78"/>
        <item x="1251"/>
        <item x="674"/>
        <item x="123"/>
        <item x="806"/>
        <item x="955"/>
        <item x="420"/>
        <item x="344"/>
        <item x="429"/>
        <item x="615"/>
        <item x="663"/>
        <item x="644"/>
        <item x="594"/>
        <item x="205"/>
        <item x="1138"/>
        <item x="1450"/>
        <item x="661"/>
        <item x="7"/>
        <item x="161"/>
        <item x="60"/>
        <item x="956"/>
        <item x="1173"/>
        <item x="599"/>
        <item x="285"/>
        <item x="38"/>
        <item x="673"/>
        <item x="1104"/>
        <item x="1074"/>
        <item x="146"/>
        <item x="700"/>
        <item x="394"/>
        <item x="828"/>
        <item x="312"/>
        <item x="53"/>
        <item x="150"/>
        <item x="1082"/>
        <item x="1349"/>
        <item x="610"/>
        <item x="760"/>
        <item x="31"/>
        <item x="1356"/>
        <item x="943"/>
        <item x="218"/>
        <item x="1168"/>
        <item x="428"/>
        <item x="642"/>
        <item x="645"/>
        <item x="827"/>
        <item x="623"/>
        <item x="1002"/>
        <item x="1436"/>
        <item x="930"/>
        <item x="71"/>
        <item x="1085"/>
        <item x="96"/>
        <item x="241"/>
        <item x="1371"/>
        <item x="1126"/>
        <item x="295"/>
        <item x="714"/>
        <item x="336"/>
        <item x="1152"/>
        <item x="497"/>
        <item x="718"/>
        <item x="1169"/>
        <item x="108"/>
        <item x="217"/>
        <item x="698"/>
        <item x="794"/>
        <item x="290"/>
        <item x="1238"/>
        <item x="798"/>
        <item x="493"/>
        <item x="799"/>
        <item x="628"/>
        <item x="912"/>
        <item x="430"/>
        <item x="401"/>
        <item x="417"/>
        <item x="487"/>
        <item x="1456"/>
        <item x="554"/>
        <item x="395"/>
        <item x="1219"/>
        <item x="519"/>
        <item x="1358"/>
        <item x="459"/>
        <item x="492"/>
        <item x="400"/>
        <item x="1398"/>
        <item x="1132"/>
        <item x="1248"/>
        <item x="1362"/>
        <item x="821"/>
        <item x="1380"/>
        <item x="115"/>
        <item x="793"/>
        <item x="202"/>
        <item x="11"/>
        <item x="1274"/>
        <item x="655"/>
        <item x="498"/>
        <item x="274"/>
        <item x="446"/>
        <item x="505"/>
        <item x="1154"/>
        <item x="10"/>
        <item x="1312"/>
        <item x="211"/>
        <item x="807"/>
        <item x="249"/>
        <item x="353"/>
        <item x="896"/>
        <item x="384"/>
        <item x="1279"/>
        <item x="234"/>
        <item x="140"/>
        <item x="1283"/>
        <item x="405"/>
        <item x="103"/>
        <item x="1459"/>
        <item x="293"/>
        <item x="39"/>
        <item x="579"/>
        <item x="699"/>
        <item x="216"/>
        <item x="320"/>
        <item x="558"/>
        <item x="1438"/>
        <item x="271"/>
        <item x="1374"/>
        <item x="671"/>
        <item x="1019"/>
        <item x="1281"/>
        <item x="93"/>
        <item x="1145"/>
        <item x="949"/>
        <item x="1010"/>
        <item x="337"/>
        <item x="250"/>
        <item x="1067"/>
        <item x="445"/>
        <item x="380"/>
        <item x="1286"/>
        <item x="130"/>
        <item x="1284"/>
        <item x="1211"/>
        <item x="243"/>
        <item x="539"/>
        <item x="617"/>
        <item x="868"/>
        <item x="685"/>
        <item x="8"/>
        <item x="284"/>
        <item x="596"/>
        <item x="352"/>
        <item x="311"/>
        <item x="1282"/>
        <item x="116"/>
        <item x="1066"/>
        <item x="773"/>
        <item x="1091"/>
        <item x="712"/>
        <item x="1090"/>
        <item x="609"/>
        <item x="467"/>
        <item x="816"/>
        <item x="899"/>
        <item x="528"/>
        <item x="820"/>
        <item x="42"/>
        <item x="711"/>
        <item x="41"/>
        <item x="991"/>
        <item x="586"/>
        <item x="772"/>
        <item x="770"/>
        <item x="77"/>
        <item x="371"/>
        <item x="1110"/>
        <item x="702"/>
        <item x="632"/>
        <item x="1384"/>
        <item x="703"/>
        <item x="535"/>
        <item x="451"/>
        <item x="1323"/>
        <item x="1403"/>
        <item x="522"/>
        <item x="970"/>
        <item x="802"/>
        <item x="882"/>
        <item x="253"/>
        <item x="622"/>
        <item x="750"/>
        <item x="106"/>
        <item x="151"/>
        <item x="1061"/>
        <item x="206"/>
        <item x="1462"/>
        <item x="1149"/>
        <item x="1429"/>
        <item x="1193"/>
        <item x="1072"/>
        <item x="516"/>
        <item x="527"/>
        <item x="826"/>
        <item x="260"/>
        <item x="242"/>
        <item x="267"/>
        <item x="119"/>
        <item x="289"/>
        <item x="556"/>
        <item x="592"/>
        <item x="634"/>
        <item x="424"/>
        <item x="998"/>
        <item x="1385"/>
        <item x="549"/>
        <item x="618"/>
        <item x="833"/>
        <item x="1458"/>
        <item x="1364"/>
        <item x="1302"/>
        <item x="273"/>
        <item x="959"/>
        <item x="1411"/>
        <item x="210"/>
        <item x="830"/>
        <item x="1382"/>
        <item x="749"/>
        <item x="1015"/>
        <item x="1225"/>
        <item x="1250"/>
        <item x="1049"/>
        <item x="550"/>
        <item x="822"/>
        <item x="823"/>
        <item x="72"/>
        <item x="176"/>
        <item x="518"/>
        <item x="517"/>
        <item x="893"/>
        <item x="452"/>
        <item x="268"/>
        <item x="1108"/>
        <item x="2"/>
        <item x="619"/>
        <item x="485"/>
        <item x="1065"/>
        <item x="530"/>
        <item x="105"/>
        <item x="817"/>
        <item x="1355"/>
        <item x="1208"/>
        <item x="1097"/>
        <item x="933"/>
        <item x="444"/>
        <item x="439"/>
        <item x="748"/>
        <item x="1303"/>
        <item x="1094"/>
        <item x="1226"/>
        <item x="660"/>
        <item x="240"/>
        <item x="635"/>
        <item x="839"/>
        <item x="732"/>
        <item x="902"/>
        <item x="648"/>
        <item x="355"/>
        <item x="334"/>
        <item x="1204"/>
        <item x="1106"/>
        <item x="135"/>
        <item x="734"/>
        <item x="581"/>
        <item x="1046"/>
        <item x="728"/>
        <item x="745"/>
        <item x="1258"/>
        <item x="612"/>
        <item x="461"/>
        <item x="629"/>
        <item x="1174"/>
        <item x="500"/>
        <item x="316"/>
        <item x="1158"/>
        <item x="1131"/>
        <item x="769"/>
        <item x="1376"/>
        <item x="43"/>
        <item x="1014"/>
        <item x="1255"/>
        <item x="733"/>
        <item x="1100"/>
        <item x="841"/>
        <item x="1231"/>
        <item x="863"/>
        <item x="261"/>
        <item x="1038"/>
        <item x="953"/>
        <item x="1220"/>
        <item x="983"/>
        <item x="471"/>
        <item x="776"/>
        <item x="1127"/>
        <item x="1124"/>
        <item x="62"/>
        <item x="670"/>
        <item x="767"/>
        <item x="1247"/>
        <item x="1045"/>
        <item x="427"/>
        <item x="723"/>
        <item x="1350"/>
        <item x="118"/>
        <item x="67"/>
        <item x="795"/>
        <item x="348"/>
        <item x="557"/>
        <item x="30"/>
        <item x="1203"/>
        <item x="37"/>
        <item x="389"/>
        <item x="294"/>
        <item x="1078"/>
        <item x="1027"/>
        <item x="903"/>
        <item x="567"/>
        <item x="89"/>
        <item x="1261"/>
        <item x="1293"/>
        <item x="114"/>
        <item x="1130"/>
        <item x="92"/>
        <item x="1309"/>
        <item x="511"/>
        <item x="992"/>
        <item x="975"/>
        <item x="269"/>
        <item x="565"/>
        <item x="188"/>
        <item x="881"/>
        <item x="984"/>
        <item x="141"/>
        <item x="777"/>
        <item x="1451"/>
        <item x="751"/>
        <item x="345"/>
        <item x="247"/>
        <item x="1229"/>
        <item x="1207"/>
        <item x="1177"/>
        <item x="1013"/>
        <item x="390"/>
        <item x="258"/>
        <item x="804"/>
        <item x="4"/>
        <item x="291"/>
        <item x="1095"/>
        <item x="90"/>
        <item x="1291"/>
        <item x="664"/>
        <item x="46"/>
        <item x="551"/>
        <item x="1402"/>
        <item x="27"/>
        <item x="1357"/>
        <item x="987"/>
        <item x="786"/>
        <item x="15"/>
        <item x="1084"/>
        <item x="1183"/>
        <item x="1326"/>
        <item x="1195"/>
        <item x="315"/>
        <item x="270"/>
        <item x="64"/>
        <item x="620"/>
        <item x="1304"/>
        <item x="356"/>
        <item x="1415"/>
        <item x="1000"/>
        <item x="805"/>
        <item x="785"/>
        <item x="1025"/>
        <item x="1310"/>
        <item x="652"/>
        <item x="215"/>
        <item x="1120"/>
        <item x="789"/>
        <item x="691"/>
        <item x="695"/>
        <item x="696"/>
        <item x="209"/>
        <item x="1443"/>
        <item x="303"/>
        <item x="552"/>
        <item x="329"/>
        <item x="58"/>
        <item x="840"/>
        <item x="484"/>
        <item x="404"/>
        <item x="846"/>
        <item x="464"/>
        <item x="111"/>
        <item x="854"/>
        <item x="1197"/>
        <item x="1201"/>
        <item x="1449"/>
        <item x="766"/>
        <item x="1423"/>
        <item x="280"/>
        <item x="1048"/>
        <item x="1288"/>
        <item x="333"/>
        <item x="229"/>
        <item x="474"/>
        <item x="1161"/>
        <item x="434"/>
        <item x="1234"/>
        <item x="1296"/>
        <item x="91"/>
        <item x="848"/>
        <item x="330"/>
        <item x="1295"/>
        <item x="583"/>
        <item x="506"/>
        <item x="1001"/>
        <item x="1416"/>
        <item x="1407"/>
        <item x="803"/>
        <item x="989"/>
        <item x="1011"/>
        <item x="1298"/>
        <item x="753"/>
        <item x="207"/>
        <item x="328"/>
        <item x="993"/>
        <item x="412"/>
        <item x="1324"/>
        <item x="1146"/>
        <item x="177"/>
        <item x="499"/>
        <item x="929"/>
        <item x="296"/>
        <item x="800"/>
        <item x="727"/>
        <item x="238"/>
        <item x="1383"/>
        <item x="391"/>
        <item x="375"/>
        <item x="656"/>
        <item x="496"/>
        <item x="922"/>
        <item x="1076"/>
        <item x="740"/>
        <item x="704"/>
        <item x="256"/>
        <item x="810"/>
        <item x="791"/>
        <item x="774"/>
        <item x="559"/>
        <item x="575"/>
        <item x="638"/>
        <item x="815"/>
        <item x="1308"/>
        <item x="1307"/>
        <item x="1136"/>
        <item x="1446"/>
        <item x="488"/>
        <item x="342"/>
        <item x="214"/>
        <item x="286"/>
        <item x="100"/>
        <item x="359"/>
        <item x="561"/>
        <item x="1278"/>
        <item x="1166"/>
        <item x="225"/>
        <item x="181"/>
        <item x="110"/>
        <item x="212"/>
        <item x="1461"/>
        <item x="1327"/>
        <item x="1069"/>
        <item x="900"/>
        <item x="677"/>
        <item x="129"/>
        <item x="1339"/>
        <item x="668"/>
        <item x="849"/>
        <item x="382"/>
        <item x="1404"/>
        <item x="1089"/>
        <item x="1119"/>
        <item x="752"/>
        <item x="376"/>
        <item x="1366"/>
        <item x="1017"/>
        <item x="1236"/>
        <item x="174"/>
        <item x="137"/>
        <item x="144"/>
        <item x="277"/>
        <item x="97"/>
        <item x="55"/>
        <item x="32"/>
        <item x="739"/>
        <item x="1175"/>
        <item x="473"/>
        <item x="168"/>
        <item x="1264"/>
        <item x="422"/>
        <item x="1070"/>
        <item x="553"/>
        <item x="999"/>
        <item x="878"/>
        <item x="95"/>
        <item x="1068"/>
        <item x="904"/>
        <item x="448"/>
        <item x="14"/>
        <item x="172"/>
        <item x="862"/>
        <item x="351"/>
        <item x="633"/>
        <item x="665"/>
        <item x="639"/>
        <item x="154"/>
        <item x="1026"/>
        <item x="381"/>
        <item x="965"/>
        <item x="1325"/>
        <item x="1237"/>
        <item x="185"/>
        <item x="1016"/>
        <item x="195"/>
        <item x="327"/>
        <item x="724"/>
        <item x="1134"/>
        <item x="819"/>
        <item x="402"/>
        <item x="544"/>
        <item x="979"/>
        <item x="1270"/>
        <item x="709"/>
        <item x="1378"/>
        <item x="1425"/>
        <item x="1117"/>
        <item x="934"/>
        <item x="788"/>
        <item x="1198"/>
        <item x="266"/>
        <item x="1023"/>
        <item x="1039"/>
        <item x="339"/>
        <item x="1034"/>
        <item x="1107"/>
        <item x="1424"/>
        <item x="667"/>
        <item x="472"/>
        <item x="693"/>
        <item x="954"/>
        <item x="1244"/>
        <item x="1215"/>
        <item x="1008"/>
        <item x="613"/>
        <item x="591"/>
        <item x="369"/>
        <item x="383"/>
        <item x="388"/>
        <item x="49"/>
        <item x="860"/>
        <item x="797"/>
        <item x="194"/>
        <item x="198"/>
        <item x="481"/>
        <item x="945"/>
        <item x="1434"/>
        <item x="257"/>
        <item x="490"/>
        <item x="986"/>
        <item x="566"/>
        <item x="162"/>
        <item x="1047"/>
        <item x="962"/>
        <item x="435"/>
        <item x="898"/>
        <item x="832"/>
        <item x="947"/>
        <item x="1199"/>
        <item x="431"/>
        <item x="911"/>
        <item x="1222"/>
        <item x="372"/>
        <item x="1186"/>
        <item x="12"/>
        <item x="1460"/>
        <item x="842"/>
        <item x="186"/>
        <item x="1040"/>
        <item x="867"/>
        <item x="871"/>
        <item x="678"/>
        <item x="651"/>
        <item x="1214"/>
        <item x="204"/>
        <item x="946"/>
        <item x="831"/>
        <item x="1246"/>
        <item x="163"/>
        <item x="166"/>
        <item x="710"/>
        <item x="125"/>
        <item x="338"/>
        <item x="155"/>
        <item x="501"/>
        <item x="578"/>
        <item x="997"/>
        <item x="1164"/>
        <item x="282"/>
        <item x="669"/>
        <item x="626"/>
        <item x="317"/>
        <item x="595"/>
        <item x="582"/>
        <item x="262"/>
        <item x="811"/>
        <item x="335"/>
        <item x="564"/>
        <item x="692"/>
        <item x="787"/>
        <item x="1365"/>
        <item x="996"/>
        <item x="1353"/>
        <item x="313"/>
        <item x="279"/>
        <item x="1313"/>
        <item x="184"/>
        <item x="631"/>
        <item x="1421"/>
        <item x="1179"/>
        <item x="227"/>
        <item x="450"/>
        <item x="136"/>
        <item x="894"/>
        <item x="1080"/>
        <item x="1213"/>
        <item x="1006"/>
        <item x="66"/>
        <item x="259"/>
        <item x="478"/>
        <item x="809"/>
        <item x="458"/>
        <item x="687"/>
        <item x="707"/>
        <item x="1042"/>
        <item x="546"/>
        <item x="1196"/>
        <item x="1121"/>
        <item x="462"/>
        <item x="1369"/>
        <item x="432"/>
        <item x="864"/>
        <item x="1455"/>
        <item x="976"/>
        <item x="1259"/>
        <item x="1147"/>
        <item x="1444"/>
        <item x="731"/>
        <item x="264"/>
        <item x="224"/>
        <item x="895"/>
        <item x="1276"/>
        <item x="1224"/>
        <item x="649"/>
        <item x="139"/>
        <item x="283"/>
        <item x="1004"/>
        <item x="915"/>
        <item x="576"/>
        <item x="1394"/>
        <item x="393"/>
        <item x="961"/>
        <item x="165"/>
        <item x="754"/>
        <item x="1114"/>
        <item x="0"/>
        <item x="1435"/>
        <item x="1463"/>
        <item x="104"/>
        <item x="40"/>
        <item x="275"/>
        <item x="189"/>
        <item x="18"/>
        <item x="520"/>
        <item x="1178"/>
        <item x="50"/>
        <item x="128"/>
        <item x="349"/>
        <item x="1035"/>
        <item x="887"/>
        <item x="966"/>
        <item x="178"/>
        <item x="370"/>
        <item x="682"/>
        <item x="1150"/>
        <item x="199"/>
        <item x="109"/>
        <item x="171"/>
        <item x="164"/>
        <item x="1338"/>
        <item x="735"/>
        <item x="675"/>
        <item x="1306"/>
        <item x="385"/>
        <item x="232"/>
        <item x="1099"/>
        <item x="1334"/>
        <item x="1160"/>
        <item x="1159"/>
        <item x="1227"/>
        <item x="1352"/>
        <item x="1266"/>
        <item x="1062"/>
        <item x="715"/>
        <item x="1275"/>
        <item x="1343"/>
        <item x="918"/>
        <item x="17"/>
        <item x="158"/>
        <item x="157"/>
        <item x="252"/>
        <item x="1263"/>
        <item x="19"/>
        <item x="847"/>
        <item x="719"/>
        <item x="690"/>
        <item x="170"/>
        <item x="47"/>
        <item x="835"/>
        <item x="360"/>
        <item x="1054"/>
        <item x="917"/>
        <item x="361"/>
        <item x="1232"/>
        <item x="366"/>
        <item x="679"/>
        <item x="808"/>
        <item x="980"/>
        <item x="276"/>
        <item x="888"/>
        <item x="251"/>
        <item x="9"/>
        <item x="967"/>
        <item x="314"/>
        <item x="419"/>
        <item x="112"/>
        <item x="532"/>
        <item x="453"/>
        <item x="1223"/>
        <item x="1128"/>
        <item x="571"/>
        <item x="1242"/>
        <item x="191"/>
        <item x="1018"/>
        <item x="927"/>
        <item x="593"/>
        <item x="921"/>
        <item x="1228"/>
        <item x="781"/>
        <item x="463"/>
        <item x="573"/>
        <item x="54"/>
        <item x="971"/>
        <item x="1400"/>
        <item x="572"/>
        <item x="726"/>
        <item x="190"/>
        <item x="637"/>
        <item x="1260"/>
        <item x="796"/>
        <item x="228"/>
        <item x="454"/>
        <item x="149"/>
        <item x="1346"/>
        <item x="755"/>
        <item x="24"/>
        <item x="653"/>
        <item x="605"/>
        <item x="1050"/>
        <item x="1241"/>
        <item x="1033"/>
        <item x="79"/>
        <item x="200"/>
        <item x="1163"/>
        <item x="460"/>
        <item x="829"/>
        <item x="588"/>
        <item x="6"/>
        <item x="16"/>
        <item x="960"/>
        <item x="856"/>
        <item x="193"/>
        <item x="1386"/>
        <item x="237"/>
        <item x="510"/>
        <item x="901"/>
        <item x="142"/>
        <item x="654"/>
        <item x="783"/>
        <item x="1115"/>
        <item x="1301"/>
        <item x="913"/>
        <item x="650"/>
        <item x="1144"/>
        <item x="853"/>
        <item x="399"/>
        <item x="213"/>
        <item x="1088"/>
        <item x="346"/>
        <item x="29"/>
        <item x="169"/>
        <item x="45"/>
        <item x="1157"/>
        <item x="438"/>
        <item x="850"/>
        <item x="1389"/>
        <item x="569"/>
        <item x="1329"/>
        <item x="1075"/>
        <item x="684"/>
        <item x="601"/>
        <item x="1235"/>
        <item x="560"/>
        <item x="1287"/>
        <item x="742"/>
        <item x="509"/>
        <item x="1361"/>
        <item x="358"/>
        <item x="63"/>
        <item x="672"/>
        <item x="897"/>
        <item x="1405"/>
        <item x="1375"/>
        <item x="995"/>
        <item x="873"/>
        <item x="758"/>
        <item x="182"/>
        <item x="310"/>
        <item x="680"/>
        <item x="813"/>
        <item x="542"/>
        <item x="302"/>
        <item x="836"/>
        <item x="148"/>
        <item x="475"/>
        <item x="387"/>
        <item x="1005"/>
        <item x="1020"/>
        <item x="604"/>
        <item x="1336"/>
        <item x="1406"/>
        <item x="377"/>
        <item x="1037"/>
        <item x="1233"/>
        <item x="1239"/>
        <item x="1221"/>
        <item x="1189"/>
        <item x="756"/>
        <item x="611"/>
        <item x="883"/>
        <item x="1176"/>
        <item x="1063"/>
        <item x="145"/>
        <item x="23"/>
        <item x="851"/>
        <item x="647"/>
        <item x="1290"/>
        <item x="736"/>
        <item x="441"/>
        <item x="627"/>
        <item x="939"/>
        <item x="33"/>
        <item x="1447"/>
        <item x="757"/>
        <item x="107"/>
        <item x="738"/>
        <item x="1125"/>
        <item x="469"/>
        <item x="132"/>
        <item x="928"/>
        <item x="440"/>
        <item x="278"/>
        <item x="877"/>
        <item x="1305"/>
        <item x="1170"/>
        <item x="526"/>
        <item x="1388"/>
        <item x="869"/>
        <item x="872"/>
        <item x="521"/>
        <item x="1335"/>
        <item x="416"/>
        <item x="1041"/>
        <item x="332"/>
        <item x="179"/>
        <item x="101"/>
        <item x="1379"/>
        <item x="1064"/>
        <item x="1297"/>
        <item x="1162"/>
        <item x="413"/>
        <item x="84"/>
        <item x="85"/>
        <item x="919"/>
        <item x="920"/>
        <item x="1396"/>
        <item x="1351"/>
        <item x="1230"/>
        <item x="688"/>
        <item x="1051"/>
        <item x="281"/>
        <item x="884"/>
        <item x="1337"/>
        <item x="423"/>
        <item x="373"/>
        <item x="1373"/>
        <item x="694"/>
        <item x="861"/>
        <item x="1118"/>
        <item x="1300"/>
        <item x="905"/>
        <item x="1328"/>
        <item x="982"/>
        <item x="1409"/>
        <item x="203"/>
        <item x="1243"/>
        <item x="44"/>
        <item x="343"/>
        <item x="421"/>
        <item x="180"/>
        <item x="910"/>
        <item x="907"/>
        <item x="1209"/>
        <item x="548"/>
        <item x="235"/>
        <item x="374"/>
        <item x="415"/>
        <item x="512"/>
        <item x="1093"/>
        <item x="386"/>
        <item x="844"/>
        <item x="843"/>
        <item x="1442"/>
        <item x="914"/>
        <item x="1165"/>
        <item x="1417"/>
        <item x="686"/>
        <item x="701"/>
        <item x="1265"/>
        <item x="859"/>
        <item x="1332"/>
        <item x="1420"/>
        <item x="1254"/>
        <item x="666"/>
        <item x="99"/>
        <item x="122"/>
        <item x="503"/>
        <item x="20"/>
        <item x="83"/>
        <item x="1457"/>
        <item x="1453"/>
        <item x="814"/>
        <item x="729"/>
        <item x="468"/>
        <item x="482"/>
        <item x="187"/>
        <item x="1122"/>
        <item x="1143"/>
        <item x="1155"/>
        <item x="152"/>
        <item x="730"/>
        <item x="236"/>
        <item x="51"/>
        <item x="906"/>
        <item x="392"/>
        <item x="515"/>
        <item x="287"/>
        <item x="545"/>
        <item x="167"/>
        <item x="1028"/>
        <item x="1135"/>
        <item x="1098"/>
        <item x="779"/>
        <item x="398"/>
        <item x="938"/>
        <item x="689"/>
        <item x="1452"/>
        <item x="555"/>
        <item x="924"/>
        <item x="713"/>
        <item x="784"/>
        <item x="1192"/>
        <item x="1111"/>
        <item x="292"/>
        <item x="603"/>
        <item x="70"/>
        <item x="138"/>
        <item x="1322"/>
        <item x="222"/>
        <item x="625"/>
        <item x="483"/>
        <item x="75"/>
        <item x="1109"/>
        <item x="113"/>
        <item x="73"/>
        <item x="562"/>
        <item x="1181"/>
        <item x="780"/>
        <item x="1381"/>
        <item x="80"/>
        <item x="708"/>
        <item x="568"/>
        <item x="759"/>
        <item x="494"/>
        <item x="1367"/>
        <item x="1073"/>
        <item x="319"/>
        <item x="1342"/>
        <item x="406"/>
        <item x="1030"/>
        <item x="720"/>
        <item x="219"/>
        <item x="1372"/>
        <item x="57"/>
        <item x="705"/>
        <item x="744"/>
        <item x="364"/>
        <item x="341"/>
        <item x="534"/>
        <item x="318"/>
        <item x="541"/>
        <item x="1031"/>
        <item x="1044"/>
        <item x="476"/>
        <item x="563"/>
        <item x="147"/>
        <item x="1410"/>
        <item x="1268"/>
        <item x="1156"/>
        <item x="1359"/>
        <item x="263"/>
        <item x="1348"/>
        <item x="1217"/>
        <item x="968"/>
        <item x="988"/>
        <item x="28"/>
        <item x="597"/>
        <item x="1319"/>
        <item x="1105"/>
        <item x="1253"/>
        <item x="683"/>
        <item x="812"/>
        <item x="411"/>
        <item x="504"/>
        <item x="969"/>
        <item x="124"/>
        <item x="531"/>
        <item x="658"/>
        <item x="160"/>
        <item x="1392"/>
        <item x="838"/>
        <item x="1427"/>
        <item x="837"/>
        <item x="722"/>
        <item x="590"/>
        <item x="1043"/>
        <item x="524"/>
        <item x="87"/>
        <item x="1331"/>
        <item x="1317"/>
        <item x="354"/>
        <item x="470"/>
        <item x="514"/>
        <item x="1182"/>
        <item x="254"/>
        <item x="88"/>
        <item x="608"/>
        <item x="426"/>
        <item x="1172"/>
        <item x="418"/>
        <item x="68"/>
        <item x="614"/>
        <item x="74"/>
        <item x="233"/>
        <item x="1191"/>
        <item x="304"/>
        <item x="1262"/>
        <item x="890"/>
        <item x="1021"/>
        <item x="1413"/>
        <item x="508"/>
        <item x="538"/>
        <item x="379"/>
        <item x="763"/>
        <item x="876"/>
        <item x="1390"/>
        <item x="1216"/>
        <item x="1432"/>
        <item x="525"/>
        <item x="1316"/>
        <item x="775"/>
        <item x="134"/>
        <item x="340"/>
        <item x="491"/>
        <item x="81"/>
        <item x="433"/>
        <item x="1445"/>
        <item x="1003"/>
        <item x="466"/>
        <item x="307"/>
        <item x="1245"/>
        <item x="248"/>
        <item x="1058"/>
        <item x="994"/>
        <item x="1439"/>
        <item x="1113"/>
        <item x="82"/>
        <item x="1360"/>
        <item x="790"/>
        <item x="587"/>
        <item x="1321"/>
        <item x="570"/>
        <item x="1440"/>
        <item x="636"/>
        <item x="196"/>
        <item x="1187"/>
        <item x="449"/>
        <item x="1071"/>
        <item x="1103"/>
        <item x="1412"/>
        <item x="1123"/>
        <item x="1269"/>
        <item x="944"/>
        <item x="255"/>
        <item x="523"/>
        <item x="1333"/>
        <item x="507"/>
        <item x="1190"/>
        <item x="1285"/>
        <item x="457"/>
        <item x="818"/>
        <item x="223"/>
        <item x="220"/>
        <item x="94"/>
        <item x="1212"/>
        <item x="143"/>
        <item x="159"/>
        <item x="1022"/>
        <item x="502"/>
        <item x="782"/>
        <item x="1153"/>
        <item x="350"/>
        <item x="86"/>
        <item x="621"/>
        <item x="362"/>
        <item x="1133"/>
        <item x="425"/>
        <item x="990"/>
        <item x="1202"/>
        <item x="681"/>
        <item x="3"/>
        <item x="34"/>
        <item x="941"/>
        <item x="908"/>
        <item x="465"/>
        <item x="1391"/>
        <item x="1397"/>
        <item x="1311"/>
        <item x="925"/>
        <item x="1277"/>
        <item x="825"/>
        <item x="197"/>
        <item x="1401"/>
        <item x="308"/>
        <item x="768"/>
        <item x="874"/>
        <item x="1029"/>
        <item x="1314"/>
        <item x="916"/>
        <item x="1448"/>
        <item x="1012"/>
        <item x="1056"/>
        <item x="1418"/>
        <item x="1101"/>
        <item x="1370"/>
        <item x="414"/>
        <item x="771"/>
        <item x="495"/>
        <item x="1330"/>
        <item x="1184"/>
        <item x="76"/>
        <item x="746"/>
        <item x="1272"/>
        <item x="368"/>
        <item x="244"/>
        <item x="403"/>
        <item x="201"/>
        <item x="1271"/>
        <item x="547"/>
        <item x="855"/>
        <item x="133"/>
        <item x="301"/>
        <item x="957"/>
        <item x="231"/>
        <item x="1426"/>
        <item x="324"/>
        <item x="935"/>
        <item x="117"/>
        <item x="1055"/>
        <item x="602"/>
        <item x="48"/>
        <item x="1256"/>
        <item x="764"/>
        <item x="630"/>
        <item x="299"/>
        <item x="1299"/>
        <item x="942"/>
        <item x="725"/>
        <item x="640"/>
        <item x="245"/>
        <item x="221"/>
        <item x="1441"/>
        <item x="624"/>
        <item x="706"/>
        <item x="743"/>
        <item x="721"/>
        <item x="761"/>
        <item x="13"/>
        <item x="1188"/>
        <item x="489"/>
        <item x="932"/>
        <item x="1083"/>
        <item x="1129"/>
        <item x="926"/>
        <item x="288"/>
        <item x="326"/>
        <item x="659"/>
        <item x="716"/>
        <item x="486"/>
        <item x="1081"/>
        <item x="1206"/>
        <item x="1007"/>
        <item x="1347"/>
        <item x="156"/>
        <item x="175"/>
        <item x="397"/>
        <item x="192"/>
        <item x="1414"/>
        <item x="981"/>
        <item x="230"/>
        <item x="886"/>
        <item x="1086"/>
        <item x="574"/>
        <item x="36"/>
        <item x="866"/>
        <item x="937"/>
        <item x="1087"/>
        <item x="1318"/>
        <item x="845"/>
        <item x="35"/>
        <item x="436"/>
        <item x="300"/>
        <item x="98"/>
        <item x="536"/>
        <item x="322"/>
        <item x="1096"/>
        <item x="1393"/>
        <item x="325"/>
        <item x="1171"/>
        <item x="298"/>
        <item x="297"/>
        <item x="662"/>
        <item x="865"/>
        <item x="1345"/>
        <item x="456"/>
        <item x="309"/>
        <item x="1205"/>
        <item x="61"/>
        <item x="1273"/>
        <item x="1252"/>
        <item x="56"/>
        <item x="585"/>
        <item x="21"/>
        <item x="1"/>
        <item x="410"/>
        <item x="1428"/>
        <item x="909"/>
        <item x="972"/>
        <item x="226"/>
        <item x="1185"/>
        <item x="69"/>
        <item x="951"/>
        <item x="778"/>
        <item x="127"/>
        <item x="357"/>
        <item x="889"/>
        <item x="1139"/>
        <item x="1419"/>
        <item x="762"/>
        <item x="923"/>
        <item x="363"/>
        <item x="589"/>
        <item x="1057"/>
        <item x="1399"/>
        <item x="59"/>
        <item x="5"/>
        <item x="22"/>
        <item x="1430"/>
        <item x="600"/>
        <item x="1142"/>
        <item x="936"/>
        <item x="1102"/>
        <item x="1387"/>
        <item x="513"/>
        <item x="1218"/>
        <item x="1194"/>
        <item x="323"/>
        <item x="443"/>
        <item x="1009"/>
        <item x="1437"/>
        <item x="305"/>
        <item x="1422"/>
        <item x="977"/>
        <item x="1141"/>
        <item x="1140"/>
        <item x="1280"/>
        <item x="1167"/>
        <item x="455"/>
        <item x="1267"/>
        <item x="1294"/>
        <item x="870"/>
        <item x="606"/>
        <item x="1210"/>
        <item x="1433"/>
        <item x="1024"/>
        <item x="879"/>
        <item x="52"/>
        <item x="1092"/>
        <item x="208"/>
        <item x="1395"/>
        <item x="153"/>
        <item x="1377"/>
        <item x="407"/>
        <item x="880"/>
        <item x="931"/>
        <item x="834"/>
        <item x="737"/>
        <item x="1368"/>
        <item x="396"/>
        <item x="891"/>
        <item x="1320"/>
        <item x="1116"/>
        <item x="580"/>
        <item x="477"/>
        <item x="1292"/>
        <item x="1431"/>
        <item x="447"/>
        <item x="378"/>
        <item x="321"/>
        <item x="408"/>
        <item x="792"/>
        <item x="952"/>
        <item x="577"/>
        <item x="948"/>
        <item x="347"/>
        <item x="272"/>
        <item x="540"/>
        <item x="801"/>
        <item x="1060"/>
        <item x="765"/>
        <item x="131"/>
        <item x="584"/>
        <item x="978"/>
        <item x="533"/>
        <item x="442"/>
        <item x="543"/>
        <item x="1344"/>
        <item x="875"/>
        <item x="963"/>
        <item x="1137"/>
        <item x="1036"/>
        <item x="950"/>
        <item x="607"/>
        <item x="1257"/>
        <item x="306"/>
        <item x="974"/>
        <item x="121"/>
        <item x="367"/>
        <item x="964"/>
        <item x="365"/>
        <item x="717"/>
        <item x="1148"/>
        <item x="676"/>
        <item x="25"/>
        <item x="173"/>
        <item x="409"/>
        <item x="1059"/>
        <item x="940"/>
        <item x="1340"/>
        <item x="265"/>
        <item x="529"/>
        <item x="1053"/>
        <item x="973"/>
        <item x="1112"/>
        <item x="958"/>
        <item x="657"/>
        <item x="537"/>
        <item x="6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9">
        <item x="3"/>
        <item x="1"/>
        <item x="5"/>
        <item x="2"/>
        <item x="4"/>
        <item x="6"/>
        <item x="0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0" showAll="0"/>
    <pivotField dataField="1" numFmtId="10" showAll="0"/>
    <pivotField dataField="1" numFmtId="9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31"/>
    <field x="30"/>
  </rowFields>
  <rowItems count="11">
    <i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% Devolvida" fld="35" subtotal="average" baseField="31" baseItem="0" numFmtId="10"/>
    <dataField name="Média de Meta" fld="36" subtotal="average" baseField="30" baseItem="3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30" count="1" selected="0">
            <x v="1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12113-04F0-4607-887F-C143DFE5D1F3}" name="Tabela1" displayName="Tabela1" ref="A1:AK1535" totalsRowShown="0" headerRowDxfId="48">
  <autoFilter ref="A1:AK1535" xr:uid="{56F12113-04F0-4607-887F-C143DFE5D1F3}"/>
  <tableColumns count="37">
    <tableColumn id="1" xr3:uid="{23B517BA-93E1-4B95-9943-EF4117C4C9C0}" name="Código"/>
    <tableColumn id="2" xr3:uid="{7BC51A2A-2A84-43D9-A29D-65A0C83C5394}" name="CNPJ da Troca (C3)"/>
    <tableColumn id="3" xr3:uid="{81316D22-9034-40CE-9557-86D25060B428}" name="Título"/>
    <tableColumn id="4" xr3:uid="{3CB5740E-42EE-48F2-ADCB-5FD2492C1B49}" name="Fase atual"/>
    <tableColumn id="5" xr3:uid="{32ACA917-334C-479F-8C7D-B7B4921F3716}" name="Criador" dataDxfId="47"/>
    <tableColumn id="6" xr3:uid="{517E10E9-D07F-4F58-ACC5-BF01C5D2E9FE}" name="Criado em" dataDxfId="0" totalsRowDxfId="46"/>
    <tableColumn id="7" xr3:uid="{0FE72D92-85B0-4F73-9CF8-299D52FD15AA}" name="Primeira vez que entrou na fase 04 - Ag. Recebimento Pós-Ligação" dataDxfId="45" totalsRowDxfId="44"/>
    <tableColumn id="8" xr3:uid="{48D99A07-83DD-4FE9-AB61-07872B33EE38}" name="Última vez que saiu da fase 04 - Ag. Recebimento Pós-Ligação" dataDxfId="43" totalsRowDxfId="42"/>
    <tableColumn id="9" xr3:uid="{02BD4F33-C750-4BC1-9A66-37D2AD54BF3B}" name="Primeira vez que entrou na fase Regua de cobrança 1" dataDxfId="41" totalsRowDxfId="40"/>
    <tableColumn id="10" xr3:uid="{35242647-735F-423A-95E4-80178B7DA97E}" name="Última vez que saiu da fase Regua de cobrança 1" dataDxfId="39" totalsRowDxfId="38"/>
    <tableColumn id="11" xr3:uid="{A38FDEA0-7D25-4D4D-81D1-CCD75BB9D8AC}" name="Tempo total na fase Regua de cobrança 1 (dias)"/>
    <tableColumn id="12" xr3:uid="{CA683462-2AF6-4390-8ADE-C380A69A9556}" name="Primeira vez que entrou na fase 03 - Ligação ativa" dataDxfId="37" totalsRowDxfId="36"/>
    <tableColumn id="13" xr3:uid="{B329330D-EA10-43D0-9C26-984D368D6CC3}" name="Última vez que saiu da fase 03 - Ligação ativa" dataDxfId="35" totalsRowDxfId="34"/>
    <tableColumn id="14" xr3:uid="{5FA4FB8B-4687-4716-9AF7-F1E8636442E1}" name="Tempo total na fase 03 - Ligação ativa (dias)"/>
    <tableColumn id="15" xr3:uid="{698CA541-DD87-4CFE-AD4B-D61068F53786}" name="Primeira vez que entrou na fase Em Rota de Entrega" dataDxfId="33" totalsRowDxfId="32"/>
    <tableColumn id="16" xr3:uid="{423A5093-BEF1-48A0-BACC-B91CA39242D0}" name="Última vez que saiu da fase Em Rota de Entrega" dataDxfId="31" totalsRowDxfId="30"/>
    <tableColumn id="17" xr3:uid="{48920ACC-7A8D-4FE0-84E3-B135C01C4F8A}" name="Tempo total na fase Em Rota de Entrega (dias)"/>
    <tableColumn id="18" xr3:uid="{FE23687E-DF8E-426F-B44A-590854B318B0}" name="Primeira vez que entrou na fase Regua de Cobrança 2" dataDxfId="29" totalsRowDxfId="28"/>
    <tableColumn id="19" xr3:uid="{55C136D4-711E-446D-B6D5-0B1233ADCEBE}" name="Última vez que saiu da fase Regua de Cobrança 2" dataDxfId="27" totalsRowDxfId="26"/>
    <tableColumn id="20" xr3:uid="{19CD8B73-6C60-417E-9A0C-CAFF0DB7791F}" name="Tempo total na fase Regua de Cobrança 2 (dias)"/>
    <tableColumn id="21" xr3:uid="{F466DF67-7A1F-4FA1-8EF0-54B712984075}" name="Primeira vez que entrou na fase Notificação de bloqueio parcial" dataDxfId="25" totalsRowDxfId="24"/>
    <tableColumn id="22" xr3:uid="{D30A52B6-8905-43C8-BECD-F740B471E30C}" name="Última vez que saiu da fase Notificação de bloqueio parcial" dataDxfId="23" totalsRowDxfId="22"/>
    <tableColumn id="23" xr3:uid="{72DADF58-8BA3-44D1-8271-7762B9E9F7DA}" name="Tempo total na fase Notificação de bloqueio parcial (dias)"/>
    <tableColumn id="24" xr3:uid="{ED571F82-D190-464C-B717-1474E922E9C9}" name="Primeira vez que entrou na fase Bloqueio parcial" dataDxfId="21" totalsRowDxfId="20"/>
    <tableColumn id="25" xr3:uid="{3B5E0546-B5A5-4CD7-B202-172F469C08B6}" name="Última vez que saiu da fase Bloqueio parcial" dataDxfId="19" totalsRowDxfId="18"/>
    <tableColumn id="26" xr3:uid="{98E9DCAC-6803-4BBC-9DD5-AE9FC354547C}" name="Tempo total na fase Bloqueio parcial (dias)"/>
    <tableColumn id="27" xr3:uid="{FF902074-8DD8-407B-AE40-CC4A2A5BA509}" name="Primeira vez que entrou na fase Bloqueio total" dataDxfId="17" totalsRowDxfId="16"/>
    <tableColumn id="28" xr3:uid="{0B74C5FD-570C-4431-A2AE-5AC5FCC7C080}" name="Tempo total na fase Bloqueio total (dias)"/>
    <tableColumn id="29" xr3:uid="{9AAB4298-1832-41EF-92DD-6C2BC32B5F85}" name="Total de Dias" dataDxfId="15" totalsRowDxfId="14">
      <calculatedColumnFormula>TODAY() - F2</calculatedColumnFormula>
    </tableColumn>
    <tableColumn id="30" xr3:uid="{EF9A206E-2429-499D-99B0-4CD7B0E697CC}" name="Zona" dataDxfId="13" totalsRowDxfId="12">
      <calculatedColumnFormula>IF(AC2&lt;=14,"0-14 dias",
IF(AC2&lt;=19,"15-19 dias",
IF(AC2&lt;=24,"20-24 dias",
IF(AC2&lt;=30,"25-30 dias",
IF(AC2&lt;=60,"31-60 dias",
"&gt;60 dias")))))</calculatedColumnFormula>
    </tableColumn>
    <tableColumn id="32" xr3:uid="{17D0DA73-9556-4DC1-9B8B-4BB868B6FE07}" name="Mês" dataDxfId="11">
      <calculatedColumnFormula>MONTH(Tabela1[[#This Row],[Criado em]])</calculatedColumnFormula>
    </tableColumn>
    <tableColumn id="33" xr3:uid="{BBA2362D-26A2-4B5D-A5D3-3724013F2340}" name="Ano" dataDxfId="10">
      <calculatedColumnFormula>YEAR(Tabela1[[#This Row],[Criado em]])</calculatedColumnFormula>
    </tableColumn>
    <tableColumn id="37" xr3:uid="{F320C1BA-21C6-405F-AB06-9EDD0845930D}" name="Total_Mes" dataDxfId="9">
      <calculatedColumnFormula>COUNTIFS(Tabela1[Mês],Tabela1[[#This Row],[Mês]])</calculatedColumnFormula>
    </tableColumn>
    <tableColumn id="38" xr3:uid="{C4527D4F-4FD6-4F7F-8469-653D51EB6C2A}" name="Recebido_ Mes" dataDxfId="8">
      <calculatedColumnFormula>COUNTIFS(Tabela1[Mês],Tabela1[[#This Row],[Mês]],Tabela1[Fase atual],"Recebido")</calculatedColumnFormula>
    </tableColumn>
    <tableColumn id="39" xr3:uid="{1E3D4340-5834-4409-AA6F-E9524036F4E6}" name="Coluna1" dataDxfId="7">
      <calculatedColumnFormula>Tabela1[[#This Row],[Recebido_ Mes]]/Tabela1[[#This Row],[Total_Mes]]</calculatedColumnFormula>
    </tableColumn>
    <tableColumn id="34" xr3:uid="{A4823A8C-E52B-4418-B681-E64819236FAA}" name="% Devolvida" dataDxfId="6" dataCellStyle="Porcentagem">
      <calculatedColumnFormula>COUNTIFS(Tabela1[Fase atual],"Recebido",Tabela1[Mês],Tabela1[[#This Row],[Mês]],Tabela1[Ano],Tabela1[[#This Row],[Ano]])/COUNTIF(Tabela1[Mês],Tabela1[[#This Row],[Mês]])</calculatedColumnFormula>
    </tableColumn>
    <tableColumn id="35" xr3:uid="{A645E069-B248-40F7-8401-487C24347075}" name="Meta" dataDxfId="5" dataCellStyle="Porcentagem">
      <calculatedColumnFormula>100%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35"/>
  <sheetViews>
    <sheetView tabSelected="1" zoomScale="85" zoomScaleNormal="85" workbookViewId="0">
      <selection activeCell="A2" sqref="A2:F1535"/>
    </sheetView>
  </sheetViews>
  <sheetFormatPr defaultRowHeight="18" customHeight="1" x14ac:dyDescent="0.25"/>
  <cols>
    <col min="1" max="1" width="13.69921875" customWidth="1"/>
    <col min="2" max="2" width="31.69921875" customWidth="1"/>
    <col min="3" max="3" width="13.69921875" customWidth="1"/>
    <col min="4" max="4" width="19.69921875" customWidth="1"/>
    <col min="5" max="5" width="15.19921875" customWidth="1"/>
    <col min="6" max="6" width="20.69921875" style="2" customWidth="1"/>
    <col min="7" max="7" width="61.3984375" style="2" hidden="1" customWidth="1"/>
    <col min="8" max="8" width="57.19921875" style="2" hidden="1" customWidth="1"/>
    <col min="9" max="9" width="50" style="2" hidden="1" customWidth="1"/>
    <col min="10" max="10" width="45.8984375" style="2" hidden="1" customWidth="1"/>
    <col min="11" max="11" width="73.69921875" hidden="1" customWidth="1"/>
    <col min="12" max="12" width="46.59765625" style="2" hidden="1" customWidth="1"/>
    <col min="13" max="13" width="42.5" style="2" hidden="1" customWidth="1"/>
    <col min="14" max="14" width="72.19921875" hidden="1" customWidth="1"/>
    <col min="15" max="15" width="49" style="2" hidden="1" customWidth="1"/>
    <col min="16" max="16" width="44.8984375" style="2" hidden="1" customWidth="1"/>
    <col min="17" max="17" width="72.19921875" hidden="1" customWidth="1"/>
    <col min="18" max="18" width="50.3984375" style="2" hidden="1" customWidth="1"/>
    <col min="19" max="19" width="46.19921875" style="2" hidden="1" customWidth="1"/>
    <col min="20" max="20" width="73.69921875" hidden="1" customWidth="1"/>
    <col min="21" max="21" width="58.59765625" style="2" hidden="1" customWidth="1"/>
    <col min="22" max="22" width="54.5" style="2" hidden="1" customWidth="1"/>
    <col min="23" max="23" width="91.69921875" hidden="1" customWidth="1"/>
    <col min="24" max="24" width="45.69921875" style="2" hidden="1" customWidth="1"/>
    <col min="25" max="25" width="41.59765625" style="2" hidden="1" customWidth="1"/>
    <col min="26" max="26" width="69.19921875" hidden="1" customWidth="1"/>
    <col min="27" max="27" width="43.69921875" style="2" hidden="1" customWidth="1"/>
    <col min="28" max="28" width="66.19921875" hidden="1" customWidth="1"/>
    <col min="29" max="29" width="17.8984375" bestFit="1" customWidth="1"/>
    <col min="30" max="30" width="16.19921875" style="8" customWidth="1"/>
    <col min="31" max="32" width="18.3984375" style="8" customWidth="1"/>
    <col min="33" max="33" width="13.3984375" bestFit="1" customWidth="1"/>
    <col min="34" max="34" width="22" bestFit="1" customWidth="1"/>
    <col min="35" max="35" width="14.69921875" style="10" customWidth="1"/>
    <col min="36" max="36" width="24.19921875" customWidth="1"/>
  </cols>
  <sheetData>
    <row r="1" spans="1:37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669</v>
      </c>
      <c r="AD1" s="3" t="s">
        <v>670</v>
      </c>
      <c r="AE1" s="3" t="s">
        <v>2172</v>
      </c>
      <c r="AF1" s="3" t="s">
        <v>2173</v>
      </c>
      <c r="AG1" s="3" t="s">
        <v>2170</v>
      </c>
      <c r="AH1" s="3" t="s">
        <v>2171</v>
      </c>
      <c r="AI1" s="9" t="s">
        <v>2169</v>
      </c>
      <c r="AJ1" s="3" t="s">
        <v>2174</v>
      </c>
      <c r="AK1" s="3" t="s">
        <v>2176</v>
      </c>
    </row>
    <row r="2" spans="1:37" ht="18" customHeight="1" x14ac:dyDescent="0.25">
      <c r="A2">
        <v>1250547908</v>
      </c>
      <c r="B2" t="s">
        <v>701</v>
      </c>
      <c r="C2" t="s">
        <v>702</v>
      </c>
      <c r="D2" t="s">
        <v>37</v>
      </c>
      <c r="E2" t="s">
        <v>31</v>
      </c>
      <c r="F2" s="2">
        <v>45966.9183619213</v>
      </c>
      <c r="I2" s="2">
        <v>45980.918992430546</v>
      </c>
      <c r="J2" s="2">
        <v>45981.919075034733</v>
      </c>
      <c r="K2">
        <v>1.000081</v>
      </c>
      <c r="L2" s="2">
        <v>45985.919773726862</v>
      </c>
      <c r="M2" s="2">
        <v>46002.683341331023</v>
      </c>
      <c r="N2">
        <v>16.763565</v>
      </c>
      <c r="R2" s="2">
        <v>45981.919075231483</v>
      </c>
      <c r="S2" s="2">
        <v>45983.919488761567</v>
      </c>
      <c r="T2">
        <v>2.0004050000000002</v>
      </c>
      <c r="U2" s="2">
        <v>45983.919489004627</v>
      </c>
      <c r="V2" s="2">
        <v>45985.91977247686</v>
      </c>
      <c r="W2">
        <v>2.0002779999999998</v>
      </c>
      <c r="AC2" s="21">
        <f ca="1">TODAY() - F2</f>
        <v>167.08163807870005</v>
      </c>
      <c r="AD2" s="22" t="str">
        <f t="shared" ref="AD2" ca="1" si="0">IF(AC2&lt;=14,"0-14 dias",
IF(AC2&lt;=19,"15-19 dias",
IF(AC2&lt;=24,"20-24 dias",
IF(AC2&lt;=30,"25-30 dias",
IF(AC2&lt;=60,"31-60 dias",
"&gt;60 dias")))))</f>
        <v>&gt;60 dias</v>
      </c>
      <c r="AE2" s="22">
        <f>MONTH(Tabela1[[#This Row],[Criado em]])</f>
        <v>11</v>
      </c>
      <c r="AF2" s="22">
        <f>YEAR(Tabela1[[#This Row],[Criado em]])</f>
        <v>2025</v>
      </c>
      <c r="AG2" s="22">
        <f>COUNTIFS(Tabela1[Mês],Tabela1[[#This Row],[Mês]])</f>
        <v>130</v>
      </c>
      <c r="AH2" s="22">
        <f>COUNTIFS(Tabela1[Mês],Tabela1[[#This Row],[Mês]],Tabela1[Fase atual],"Recebido")</f>
        <v>100</v>
      </c>
      <c r="AI2" s="23">
        <f>Tabela1[[#This Row],[Recebido_ Mes]]/Tabela1[[#This Row],[Total_Mes]]</f>
        <v>0.76923076923076927</v>
      </c>
      <c r="AJ2" s="19">
        <f>COUNTIFS(Tabela1[Fase atual],"Recebido",Tabela1[Mês],Tabela1[[#This Row],[Mês]],Tabela1[Ano],Tabela1[[#This Row],[Ano]])/COUNTIF(Tabela1[Mês],Tabela1[[#This Row],[Mês]])</f>
        <v>0.76923076923076927</v>
      </c>
      <c r="AK2" s="20">
        <f>100%</f>
        <v>1</v>
      </c>
    </row>
    <row r="3" spans="1:37" ht="18" customHeight="1" x14ac:dyDescent="0.25">
      <c r="A3">
        <v>1295984942</v>
      </c>
      <c r="B3" t="s">
        <v>28</v>
      </c>
      <c r="C3" t="s">
        <v>29</v>
      </c>
      <c r="D3" t="s">
        <v>37</v>
      </c>
      <c r="E3" t="s">
        <v>31</v>
      </c>
      <c r="F3" s="2">
        <v>46063.796532800923</v>
      </c>
      <c r="AC3" s="24">
        <f t="shared" ref="AC3:AC66" ca="1" si="1">TODAY() - F3</f>
        <v>70.20346719907684</v>
      </c>
      <c r="AD3" s="25" t="str">
        <f t="shared" ref="AD3:AD66" ca="1" si="2">IF(AC3&lt;=14,"0-14 dias",
IF(AC3&lt;=19,"15-19 dias",
IF(AC3&lt;=24,"20-24 dias",
IF(AC3&lt;=30,"25-30 dias",
IF(AC3&lt;=60,"31-60 dias",
"&gt;60 dias")))))</f>
        <v>&gt;60 dias</v>
      </c>
      <c r="AE3" s="25">
        <f>MONTH(Tabela1[[#This Row],[Criado em]])</f>
        <v>2</v>
      </c>
      <c r="AF3" s="25">
        <f>YEAR(Tabela1[[#This Row],[Criado em]])</f>
        <v>2026</v>
      </c>
      <c r="AG3" s="25">
        <f>COUNTIFS(Tabela1[Mês],Tabela1[[#This Row],[Mês]])</f>
        <v>197</v>
      </c>
      <c r="AH3" s="25">
        <f>COUNTIFS(Tabela1[Mês],Tabela1[[#This Row],[Mês]],Tabela1[Fase atual],"Recebido")</f>
        <v>124</v>
      </c>
      <c r="AI3" s="26">
        <f>Tabela1[[#This Row],[Recebido_ Mes]]/Tabela1[[#This Row],[Total_Mes]]</f>
        <v>0.62944162436548223</v>
      </c>
      <c r="AJ3" s="19">
        <f>COUNTIFS(Tabela1[Fase atual],"Recebido",Tabela1[Mês],Tabela1[[#This Row],[Mês]],Tabela1[Ano],Tabela1[[#This Row],[Ano]])/COUNTIF(Tabela1[Mês],Tabela1[[#This Row],[Mês]])</f>
        <v>0.62944162436548223</v>
      </c>
      <c r="AK3" s="20">
        <f>100%</f>
        <v>1</v>
      </c>
    </row>
    <row r="4" spans="1:37" ht="18" customHeight="1" x14ac:dyDescent="0.25">
      <c r="A4">
        <v>1201528006</v>
      </c>
      <c r="B4" t="s">
        <v>703</v>
      </c>
      <c r="C4" t="s">
        <v>704</v>
      </c>
      <c r="D4" t="s">
        <v>37</v>
      </c>
      <c r="E4" t="s">
        <v>31</v>
      </c>
      <c r="F4" s="2">
        <v>45894.642977673611</v>
      </c>
      <c r="AC4" s="24">
        <f t="shared" ca="1" si="1"/>
        <v>239.35702232638869</v>
      </c>
      <c r="AD4" s="25" t="str">
        <f t="shared" ca="1" si="2"/>
        <v>&gt;60 dias</v>
      </c>
      <c r="AE4" s="25">
        <f>MONTH(Tabela1[[#This Row],[Criado em]])</f>
        <v>8</v>
      </c>
      <c r="AF4" s="25">
        <f>YEAR(Tabela1[[#This Row],[Criado em]])</f>
        <v>2025</v>
      </c>
      <c r="AG4" s="25">
        <f>COUNTIFS(Tabela1[Mês],Tabela1[[#This Row],[Mês]])</f>
        <v>146</v>
      </c>
      <c r="AH4" s="25">
        <f>COUNTIFS(Tabela1[Mês],Tabela1[[#This Row],[Mês]],Tabela1[Fase atual],"Recebido")</f>
        <v>115</v>
      </c>
      <c r="AI4" s="26">
        <f>Tabela1[[#This Row],[Recebido_ Mes]]/Tabela1[[#This Row],[Total_Mes]]</f>
        <v>0.78767123287671237</v>
      </c>
      <c r="AJ4" s="19">
        <f>COUNTIFS(Tabela1[Fase atual],"Recebido",Tabela1[Mês],Tabela1[[#This Row],[Mês]],Tabela1[Ano],Tabela1[[#This Row],[Ano]])/COUNTIF(Tabela1[Mês],Tabela1[[#This Row],[Mês]])</f>
        <v>0.78767123287671237</v>
      </c>
      <c r="AK4" s="20">
        <f>100%</f>
        <v>1</v>
      </c>
    </row>
    <row r="5" spans="1:37" ht="18" customHeight="1" x14ac:dyDescent="0.25">
      <c r="A5">
        <v>1307010361</v>
      </c>
      <c r="B5" t="s">
        <v>136</v>
      </c>
      <c r="C5" t="s">
        <v>2178</v>
      </c>
      <c r="D5" t="s">
        <v>2179</v>
      </c>
      <c r="E5" t="s">
        <v>31</v>
      </c>
      <c r="F5" s="2">
        <v>46083.546084305563</v>
      </c>
      <c r="AC5" s="24">
        <f t="shared" ca="1" si="1"/>
        <v>50.453915694437455</v>
      </c>
      <c r="AD5" s="25" t="str">
        <f t="shared" ca="1" si="2"/>
        <v>31-60 dias</v>
      </c>
      <c r="AE5" s="25">
        <f>MONTH(Tabela1[[#This Row],[Criado em]])</f>
        <v>3</v>
      </c>
      <c r="AF5" s="25">
        <f>YEAR(Tabela1[[#This Row],[Criado em]])</f>
        <v>2026</v>
      </c>
      <c r="AG5" s="25">
        <f>COUNTIFS(Tabela1[Mês],Tabela1[[#This Row],[Mês]])</f>
        <v>62</v>
      </c>
      <c r="AH5" s="25">
        <f>COUNTIFS(Tabela1[Mês],Tabela1[[#This Row],[Mês]],Tabela1[Fase atual],"Recebido")</f>
        <v>13</v>
      </c>
      <c r="AI5" s="26">
        <f>Tabela1[[#This Row],[Recebido_ Mes]]/Tabela1[[#This Row],[Total_Mes]]</f>
        <v>0.20967741935483872</v>
      </c>
      <c r="AJ5" s="19">
        <f>COUNTIFS(Tabela1[Fase atual],"Recebido",Tabela1[Mês],Tabela1[[#This Row],[Mês]],Tabela1[Ano],Tabela1[[#This Row],[Ano]])/COUNTIF(Tabela1[Mês],Tabela1[[#This Row],[Mês]])</f>
        <v>0.20967741935483872</v>
      </c>
      <c r="AK5" s="20">
        <f>100%</f>
        <v>1</v>
      </c>
    </row>
    <row r="6" spans="1:37" ht="18" customHeight="1" x14ac:dyDescent="0.25">
      <c r="A6">
        <v>1286506710</v>
      </c>
      <c r="B6" t="s">
        <v>32</v>
      </c>
      <c r="C6" t="s">
        <v>33</v>
      </c>
      <c r="D6" t="s">
        <v>34</v>
      </c>
      <c r="E6" t="s">
        <v>31</v>
      </c>
      <c r="F6" s="2">
        <v>46045.627050300929</v>
      </c>
      <c r="AC6" s="24">
        <f t="shared" ca="1" si="1"/>
        <v>88.372949699070887</v>
      </c>
      <c r="AD6" s="25" t="str">
        <f t="shared" ca="1" si="2"/>
        <v>&gt;60 dias</v>
      </c>
      <c r="AE6" s="25">
        <f>MONTH(Tabela1[[#This Row],[Criado em]])</f>
        <v>1</v>
      </c>
      <c r="AF6" s="25">
        <f>YEAR(Tabela1[[#This Row],[Criado em]])</f>
        <v>2026</v>
      </c>
      <c r="AG6" s="25">
        <f>COUNTIFS(Tabela1[Mês],Tabela1[[#This Row],[Mês]])</f>
        <v>222</v>
      </c>
      <c r="AH6" s="25">
        <f>COUNTIFS(Tabela1[Mês],Tabela1[[#This Row],[Mês]],Tabela1[Fase atual],"Recebido")</f>
        <v>174</v>
      </c>
      <c r="AI6" s="26">
        <f>Tabela1[[#This Row],[Recebido_ Mes]]/Tabela1[[#This Row],[Total_Mes]]</f>
        <v>0.78378378378378377</v>
      </c>
      <c r="AJ6" s="19">
        <f>COUNTIFS(Tabela1[Fase atual],"Recebido",Tabela1[Mês],Tabela1[[#This Row],[Mês]],Tabela1[Ano],Tabela1[[#This Row],[Ano]])/COUNTIF(Tabela1[Mês],Tabela1[[#This Row],[Mês]])</f>
        <v>0.78378378378378377</v>
      </c>
      <c r="AK6" s="20">
        <f>100%</f>
        <v>1</v>
      </c>
    </row>
    <row r="7" spans="1:37" ht="18" customHeight="1" x14ac:dyDescent="0.25">
      <c r="A7">
        <v>1212890261</v>
      </c>
      <c r="B7" t="s">
        <v>705</v>
      </c>
      <c r="C7" t="s">
        <v>706</v>
      </c>
      <c r="D7" t="s">
        <v>37</v>
      </c>
      <c r="E7" t="s">
        <v>31</v>
      </c>
      <c r="F7" s="2">
        <v>45912.017055879631</v>
      </c>
      <c r="AC7" s="24">
        <f t="shared" ca="1" si="1"/>
        <v>221.98294412036921</v>
      </c>
      <c r="AD7" s="25" t="str">
        <f t="shared" ca="1" si="2"/>
        <v>&gt;60 dias</v>
      </c>
      <c r="AE7" s="25">
        <f>MONTH(Tabela1[[#This Row],[Criado em]])</f>
        <v>9</v>
      </c>
      <c r="AF7" s="25">
        <f>YEAR(Tabela1[[#This Row],[Criado em]])</f>
        <v>2025</v>
      </c>
      <c r="AG7" s="25">
        <f>COUNTIFS(Tabela1[Mês],Tabela1[[#This Row],[Mês]])</f>
        <v>197</v>
      </c>
      <c r="AH7" s="25">
        <f>COUNTIFS(Tabela1[Mês],Tabela1[[#This Row],[Mês]],Tabela1[Fase atual],"Recebido")</f>
        <v>152</v>
      </c>
      <c r="AI7" s="26">
        <f>Tabela1[[#This Row],[Recebido_ Mes]]/Tabela1[[#This Row],[Total_Mes]]</f>
        <v>0.77157360406091369</v>
      </c>
      <c r="AJ7" s="19">
        <f>COUNTIFS(Tabela1[Fase atual],"Recebido",Tabela1[Mês],Tabela1[[#This Row],[Mês]],Tabela1[Ano],Tabela1[[#This Row],[Ano]])/COUNTIF(Tabela1[Mês],Tabela1[[#This Row],[Mês]])</f>
        <v>0.77157360406091369</v>
      </c>
      <c r="AK7" s="20">
        <f>100%</f>
        <v>1</v>
      </c>
    </row>
    <row r="8" spans="1:37" ht="18" customHeight="1" x14ac:dyDescent="0.25">
      <c r="A8">
        <v>1297056165</v>
      </c>
      <c r="B8" t="s">
        <v>35</v>
      </c>
      <c r="C8" t="s">
        <v>36</v>
      </c>
      <c r="D8" t="s">
        <v>37</v>
      </c>
      <c r="E8" t="s">
        <v>31</v>
      </c>
      <c r="F8" s="2">
        <v>46065.796773043992</v>
      </c>
      <c r="AC8" s="24">
        <f t="shared" ca="1" si="1"/>
        <v>68.203226956007711</v>
      </c>
      <c r="AD8" s="25" t="str">
        <f t="shared" ca="1" si="2"/>
        <v>&gt;60 dias</v>
      </c>
      <c r="AE8" s="25">
        <f>MONTH(Tabela1[[#This Row],[Criado em]])</f>
        <v>2</v>
      </c>
      <c r="AF8" s="25">
        <f>YEAR(Tabela1[[#This Row],[Criado em]])</f>
        <v>2026</v>
      </c>
      <c r="AG8" s="25">
        <f>COUNTIFS(Tabela1[Mês],Tabela1[[#This Row],[Mês]])</f>
        <v>197</v>
      </c>
      <c r="AH8" s="25">
        <f>COUNTIFS(Tabela1[Mês],Tabela1[[#This Row],[Mês]],Tabela1[Fase atual],"Recebido")</f>
        <v>124</v>
      </c>
      <c r="AI8" s="26">
        <f>Tabela1[[#This Row],[Recebido_ Mes]]/Tabela1[[#This Row],[Total_Mes]]</f>
        <v>0.62944162436548223</v>
      </c>
      <c r="AJ8" s="19">
        <f>COUNTIFS(Tabela1[Fase atual],"Recebido",Tabela1[Mês],Tabela1[[#This Row],[Mês]],Tabela1[Ano],Tabela1[[#This Row],[Ano]])/COUNTIF(Tabela1[Mês],Tabela1[[#This Row],[Mês]])</f>
        <v>0.62944162436548223</v>
      </c>
      <c r="AK8" s="20">
        <f>100%</f>
        <v>1</v>
      </c>
    </row>
    <row r="9" spans="1:37" ht="18" customHeight="1" x14ac:dyDescent="0.25">
      <c r="A9">
        <v>1261054870</v>
      </c>
      <c r="B9" t="s">
        <v>707</v>
      </c>
      <c r="C9" t="s">
        <v>708</v>
      </c>
      <c r="D9" t="s">
        <v>37</v>
      </c>
      <c r="E9" t="s">
        <v>31</v>
      </c>
      <c r="F9" s="2">
        <v>45989.795630023153</v>
      </c>
      <c r="AC9" s="24">
        <f t="shared" ca="1" si="1"/>
        <v>144.20436997684737</v>
      </c>
      <c r="AD9" s="25" t="str">
        <f t="shared" ca="1" si="2"/>
        <v>&gt;60 dias</v>
      </c>
      <c r="AE9" s="25">
        <f>MONTH(Tabela1[[#This Row],[Criado em]])</f>
        <v>11</v>
      </c>
      <c r="AF9" s="25">
        <f>YEAR(Tabela1[[#This Row],[Criado em]])</f>
        <v>2025</v>
      </c>
      <c r="AG9" s="25">
        <f>COUNTIFS(Tabela1[Mês],Tabela1[[#This Row],[Mês]])</f>
        <v>130</v>
      </c>
      <c r="AH9" s="25">
        <f>COUNTIFS(Tabela1[Mês],Tabela1[[#This Row],[Mês]],Tabela1[Fase atual],"Recebido")</f>
        <v>100</v>
      </c>
      <c r="AI9" s="26">
        <f>Tabela1[[#This Row],[Recebido_ Mes]]/Tabela1[[#This Row],[Total_Mes]]</f>
        <v>0.76923076923076927</v>
      </c>
      <c r="AJ9" s="19">
        <f>COUNTIFS(Tabela1[Fase atual],"Recebido",Tabela1[Mês],Tabela1[[#This Row],[Mês]],Tabela1[Ano],Tabela1[[#This Row],[Ano]])/COUNTIF(Tabela1[Mês],Tabela1[[#This Row],[Mês]])</f>
        <v>0.76923076923076927</v>
      </c>
      <c r="AK9" s="20">
        <f>100%</f>
        <v>1</v>
      </c>
    </row>
    <row r="10" spans="1:37" ht="18" customHeight="1" x14ac:dyDescent="0.25">
      <c r="A10">
        <v>1176235725</v>
      </c>
      <c r="B10" t="s">
        <v>709</v>
      </c>
      <c r="C10" t="s">
        <v>710</v>
      </c>
      <c r="D10" t="s">
        <v>37</v>
      </c>
      <c r="E10" t="s">
        <v>31</v>
      </c>
      <c r="F10" s="2">
        <v>45852.850976168978</v>
      </c>
      <c r="AC10" s="24">
        <f t="shared" ca="1" si="1"/>
        <v>281.14902383102162</v>
      </c>
      <c r="AD10" s="25" t="str">
        <f t="shared" ca="1" si="2"/>
        <v>&gt;60 dias</v>
      </c>
      <c r="AE10" s="25">
        <f>MONTH(Tabela1[[#This Row],[Criado em]])</f>
        <v>7</v>
      </c>
      <c r="AF10" s="25">
        <f>YEAR(Tabela1[[#This Row],[Criado em]])</f>
        <v>2025</v>
      </c>
      <c r="AG10" s="25">
        <f>COUNTIFS(Tabela1[Mês],Tabela1[[#This Row],[Mês]])</f>
        <v>177</v>
      </c>
      <c r="AH10" s="25">
        <f>COUNTIFS(Tabela1[Mês],Tabela1[[#This Row],[Mês]],Tabela1[Fase atual],"Recebido")</f>
        <v>130</v>
      </c>
      <c r="AI10" s="26">
        <f>Tabela1[[#This Row],[Recebido_ Mes]]/Tabela1[[#This Row],[Total_Mes]]</f>
        <v>0.7344632768361582</v>
      </c>
      <c r="AJ10" s="19">
        <f>COUNTIFS(Tabela1[Fase atual],"Recebido",Tabela1[Mês],Tabela1[[#This Row],[Mês]],Tabela1[Ano],Tabela1[[#This Row],[Ano]])/COUNTIF(Tabela1[Mês],Tabela1[[#This Row],[Mês]])</f>
        <v>0.7344632768361582</v>
      </c>
      <c r="AK10" s="20">
        <f>100%</f>
        <v>1</v>
      </c>
    </row>
    <row r="11" spans="1:37" ht="18" customHeight="1" x14ac:dyDescent="0.25">
      <c r="A11">
        <v>1188380752</v>
      </c>
      <c r="B11" t="s">
        <v>711</v>
      </c>
      <c r="C11" t="s">
        <v>712</v>
      </c>
      <c r="D11" t="s">
        <v>37</v>
      </c>
      <c r="E11" t="s">
        <v>31</v>
      </c>
      <c r="F11" s="2">
        <v>45873.851389814808</v>
      </c>
      <c r="AC11" s="24">
        <f t="shared" ca="1" si="1"/>
        <v>260.1486101851915</v>
      </c>
      <c r="AD11" s="25" t="str">
        <f t="shared" ca="1" si="2"/>
        <v>&gt;60 dias</v>
      </c>
      <c r="AE11" s="25">
        <f>MONTH(Tabela1[[#This Row],[Criado em]])</f>
        <v>8</v>
      </c>
      <c r="AF11" s="25">
        <f>YEAR(Tabela1[[#This Row],[Criado em]])</f>
        <v>2025</v>
      </c>
      <c r="AG11" s="25">
        <f>COUNTIFS(Tabela1[Mês],Tabela1[[#This Row],[Mês]])</f>
        <v>146</v>
      </c>
      <c r="AH11" s="25">
        <f>COUNTIFS(Tabela1[Mês],Tabela1[[#This Row],[Mês]],Tabela1[Fase atual],"Recebido")</f>
        <v>115</v>
      </c>
      <c r="AI11" s="26">
        <f>Tabela1[[#This Row],[Recebido_ Mes]]/Tabela1[[#This Row],[Total_Mes]]</f>
        <v>0.78767123287671237</v>
      </c>
      <c r="AJ11" s="19">
        <f>COUNTIFS(Tabela1[Fase atual],"Recebido",Tabela1[Mês],Tabela1[[#This Row],[Mês]],Tabela1[Ano],Tabela1[[#This Row],[Ano]])/COUNTIF(Tabela1[Mês],Tabela1[[#This Row],[Mês]])</f>
        <v>0.78767123287671237</v>
      </c>
      <c r="AK11" s="20">
        <f>100%</f>
        <v>1</v>
      </c>
    </row>
    <row r="12" spans="1:37" ht="18" customHeight="1" x14ac:dyDescent="0.25">
      <c r="A12">
        <v>1256272231</v>
      </c>
      <c r="B12" t="s">
        <v>713</v>
      </c>
      <c r="C12" t="s">
        <v>714</v>
      </c>
      <c r="D12" t="s">
        <v>202</v>
      </c>
      <c r="E12" t="s">
        <v>31</v>
      </c>
      <c r="F12" s="2">
        <v>45979.6287925</v>
      </c>
      <c r="AC12" s="24">
        <f t="shared" ca="1" si="1"/>
        <v>154.37120750000031</v>
      </c>
      <c r="AD12" s="25" t="str">
        <f t="shared" ca="1" si="2"/>
        <v>&gt;60 dias</v>
      </c>
      <c r="AE12" s="25">
        <f>MONTH(Tabela1[[#This Row],[Criado em]])</f>
        <v>11</v>
      </c>
      <c r="AF12" s="25">
        <f>YEAR(Tabela1[[#This Row],[Criado em]])</f>
        <v>2025</v>
      </c>
      <c r="AG12" s="25">
        <f>COUNTIFS(Tabela1[Mês],Tabela1[[#This Row],[Mês]])</f>
        <v>130</v>
      </c>
      <c r="AH12" s="25">
        <f>COUNTIFS(Tabela1[Mês],Tabela1[[#This Row],[Mês]],Tabela1[Fase atual],"Recebido")</f>
        <v>100</v>
      </c>
      <c r="AI12" s="26">
        <f>Tabela1[[#This Row],[Recebido_ Mes]]/Tabela1[[#This Row],[Total_Mes]]</f>
        <v>0.76923076923076927</v>
      </c>
      <c r="AJ12" s="19">
        <f>COUNTIFS(Tabela1[Fase atual],"Recebido",Tabela1[Mês],Tabela1[[#This Row],[Mês]],Tabela1[Ano],Tabela1[[#This Row],[Ano]])/COUNTIF(Tabela1[Mês],Tabela1[[#This Row],[Mês]])</f>
        <v>0.76923076923076927</v>
      </c>
      <c r="AK12" s="20">
        <f>100%</f>
        <v>1</v>
      </c>
    </row>
    <row r="13" spans="1:37" ht="18" customHeight="1" x14ac:dyDescent="0.25">
      <c r="A13">
        <v>1184634702</v>
      </c>
      <c r="B13" t="s">
        <v>715</v>
      </c>
      <c r="C13" t="s">
        <v>716</v>
      </c>
      <c r="D13" t="s">
        <v>37</v>
      </c>
      <c r="E13" t="s">
        <v>31</v>
      </c>
      <c r="F13" s="2">
        <v>45866.775387893518</v>
      </c>
      <c r="AC13" s="24">
        <f t="shared" ca="1" si="1"/>
        <v>267.2246121064818</v>
      </c>
      <c r="AD13" s="25" t="str">
        <f t="shared" ca="1" si="2"/>
        <v>&gt;60 dias</v>
      </c>
      <c r="AE13" s="25">
        <f>MONTH(Tabela1[[#This Row],[Criado em]])</f>
        <v>7</v>
      </c>
      <c r="AF13" s="25">
        <f>YEAR(Tabela1[[#This Row],[Criado em]])</f>
        <v>2025</v>
      </c>
      <c r="AG13" s="25">
        <f>COUNTIFS(Tabela1[Mês],Tabela1[[#This Row],[Mês]])</f>
        <v>177</v>
      </c>
      <c r="AH13" s="25">
        <f>COUNTIFS(Tabela1[Mês],Tabela1[[#This Row],[Mês]],Tabela1[Fase atual],"Recebido")</f>
        <v>130</v>
      </c>
      <c r="AI13" s="26">
        <f>Tabela1[[#This Row],[Recebido_ Mes]]/Tabela1[[#This Row],[Total_Mes]]</f>
        <v>0.7344632768361582</v>
      </c>
      <c r="AJ13" s="19">
        <f>COUNTIFS(Tabela1[Fase atual],"Recebido",Tabela1[Mês],Tabela1[[#This Row],[Mês]],Tabela1[Ano],Tabela1[[#This Row],[Ano]])/COUNTIF(Tabela1[Mês],Tabela1[[#This Row],[Mês]])</f>
        <v>0.7344632768361582</v>
      </c>
      <c r="AK13" s="20">
        <f>100%</f>
        <v>1</v>
      </c>
    </row>
    <row r="14" spans="1:37" ht="18" customHeight="1" x14ac:dyDescent="0.25">
      <c r="A14">
        <v>1307110159</v>
      </c>
      <c r="B14" t="s">
        <v>2180</v>
      </c>
      <c r="C14" t="s">
        <v>2181</v>
      </c>
      <c r="D14" t="s">
        <v>2179</v>
      </c>
      <c r="E14" t="s">
        <v>31</v>
      </c>
      <c r="F14" s="2">
        <v>46083.62782219908</v>
      </c>
      <c r="AC14" s="24">
        <f t="shared" ca="1" si="1"/>
        <v>50.372177800920326</v>
      </c>
      <c r="AD14" s="25" t="str">
        <f t="shared" ca="1" si="2"/>
        <v>31-60 dias</v>
      </c>
      <c r="AE14" s="25">
        <f>MONTH(Tabela1[[#This Row],[Criado em]])</f>
        <v>3</v>
      </c>
      <c r="AF14" s="25">
        <f>YEAR(Tabela1[[#This Row],[Criado em]])</f>
        <v>2026</v>
      </c>
      <c r="AG14" s="25">
        <f>COUNTIFS(Tabela1[Mês],Tabela1[[#This Row],[Mês]])</f>
        <v>62</v>
      </c>
      <c r="AH14" s="25">
        <f>COUNTIFS(Tabela1[Mês],Tabela1[[#This Row],[Mês]],Tabela1[Fase atual],"Recebido")</f>
        <v>13</v>
      </c>
      <c r="AI14" s="26">
        <f>Tabela1[[#This Row],[Recebido_ Mes]]/Tabela1[[#This Row],[Total_Mes]]</f>
        <v>0.20967741935483872</v>
      </c>
      <c r="AJ14" s="19">
        <f>COUNTIFS(Tabela1[Fase atual],"Recebido",Tabela1[Mês],Tabela1[[#This Row],[Mês]],Tabela1[Ano],Tabela1[[#This Row],[Ano]])/COUNTIF(Tabela1[Mês],Tabela1[[#This Row],[Mês]])</f>
        <v>0.20967741935483872</v>
      </c>
      <c r="AK14" s="20">
        <f>100%</f>
        <v>1</v>
      </c>
    </row>
    <row r="15" spans="1:37" ht="18" customHeight="1" x14ac:dyDescent="0.25">
      <c r="A15">
        <v>1183425048</v>
      </c>
      <c r="B15" t="s">
        <v>711</v>
      </c>
      <c r="C15" t="s">
        <v>717</v>
      </c>
      <c r="D15" t="s">
        <v>37</v>
      </c>
      <c r="E15" t="s">
        <v>31</v>
      </c>
      <c r="F15" s="2">
        <v>45863.852789074073</v>
      </c>
      <c r="AC15" s="24">
        <f t="shared" ca="1" si="1"/>
        <v>270.14721092592663</v>
      </c>
      <c r="AD15" s="25" t="str">
        <f t="shared" ca="1" si="2"/>
        <v>&gt;60 dias</v>
      </c>
      <c r="AE15" s="25">
        <f>MONTH(Tabela1[[#This Row],[Criado em]])</f>
        <v>7</v>
      </c>
      <c r="AF15" s="25">
        <f>YEAR(Tabela1[[#This Row],[Criado em]])</f>
        <v>2025</v>
      </c>
      <c r="AG15" s="25">
        <f>COUNTIFS(Tabela1[Mês],Tabela1[[#This Row],[Mês]])</f>
        <v>177</v>
      </c>
      <c r="AH15" s="25">
        <f>COUNTIFS(Tabela1[Mês],Tabela1[[#This Row],[Mês]],Tabela1[Fase atual],"Recebido")</f>
        <v>130</v>
      </c>
      <c r="AI15" s="26">
        <f>Tabela1[[#This Row],[Recebido_ Mes]]/Tabela1[[#This Row],[Total_Mes]]</f>
        <v>0.7344632768361582</v>
      </c>
      <c r="AJ15" s="19">
        <f>COUNTIFS(Tabela1[Fase atual],"Recebido",Tabela1[Mês],Tabela1[[#This Row],[Mês]],Tabela1[Ano],Tabela1[[#This Row],[Ano]])/COUNTIF(Tabela1[Mês],Tabela1[[#This Row],[Mês]])</f>
        <v>0.7344632768361582</v>
      </c>
      <c r="AK15" s="20">
        <f>100%</f>
        <v>1</v>
      </c>
    </row>
    <row r="16" spans="1:37" ht="18" customHeight="1" x14ac:dyDescent="0.25">
      <c r="A16">
        <v>1239781197</v>
      </c>
      <c r="B16" t="s">
        <v>718</v>
      </c>
      <c r="C16" t="s">
        <v>719</v>
      </c>
      <c r="D16" t="s">
        <v>37</v>
      </c>
      <c r="E16" t="s">
        <v>31</v>
      </c>
      <c r="F16" s="2">
        <v>45950.627274259263</v>
      </c>
      <c r="AC16" s="24">
        <f t="shared" ca="1" si="1"/>
        <v>183.37272574073722</v>
      </c>
      <c r="AD16" s="25" t="str">
        <f t="shared" ca="1" si="2"/>
        <v>&gt;60 dias</v>
      </c>
      <c r="AE16" s="25">
        <f>MONTH(Tabela1[[#This Row],[Criado em]])</f>
        <v>10</v>
      </c>
      <c r="AF16" s="25">
        <f>YEAR(Tabela1[[#This Row],[Criado em]])</f>
        <v>2025</v>
      </c>
      <c r="AG16" s="25">
        <f>COUNTIFS(Tabela1[Mês],Tabela1[[#This Row],[Mês]])</f>
        <v>196</v>
      </c>
      <c r="AH16" s="25">
        <f>COUNTIFS(Tabela1[Mês],Tabela1[[#This Row],[Mês]],Tabela1[Fase atual],"Recebido")</f>
        <v>138</v>
      </c>
      <c r="AI16" s="26">
        <f>Tabela1[[#This Row],[Recebido_ Mes]]/Tabela1[[#This Row],[Total_Mes]]</f>
        <v>0.70408163265306123</v>
      </c>
      <c r="AJ16" s="19">
        <f>COUNTIFS(Tabela1[Fase atual],"Recebido",Tabela1[Mês],Tabela1[[#This Row],[Mês]],Tabela1[Ano],Tabela1[[#This Row],[Ano]])/COUNTIF(Tabela1[Mês],Tabela1[[#This Row],[Mês]])</f>
        <v>0.70408163265306123</v>
      </c>
      <c r="AK16" s="20">
        <f>100%</f>
        <v>1</v>
      </c>
    </row>
    <row r="17" spans="1:37" ht="18" customHeight="1" x14ac:dyDescent="0.25">
      <c r="A17">
        <v>1293131874</v>
      </c>
      <c r="B17" t="s">
        <v>38</v>
      </c>
      <c r="C17" t="s">
        <v>39</v>
      </c>
      <c r="D17" t="s">
        <v>37</v>
      </c>
      <c r="E17" t="s">
        <v>31</v>
      </c>
      <c r="F17" s="2">
        <v>46057.629185729173</v>
      </c>
      <c r="AC17" s="24">
        <f t="shared" ca="1" si="1"/>
        <v>76.370814270827395</v>
      </c>
      <c r="AD17" s="25" t="str">
        <f t="shared" ca="1" si="2"/>
        <v>&gt;60 dias</v>
      </c>
      <c r="AE17" s="25">
        <f>MONTH(Tabela1[[#This Row],[Criado em]])</f>
        <v>2</v>
      </c>
      <c r="AF17" s="25">
        <f>YEAR(Tabela1[[#This Row],[Criado em]])</f>
        <v>2026</v>
      </c>
      <c r="AG17" s="25">
        <f>COUNTIFS(Tabela1[Mês],Tabela1[[#This Row],[Mês]])</f>
        <v>197</v>
      </c>
      <c r="AH17" s="25">
        <f>COUNTIFS(Tabela1[Mês],Tabela1[[#This Row],[Mês]],Tabela1[Fase atual],"Recebido")</f>
        <v>124</v>
      </c>
      <c r="AI17" s="26">
        <f>Tabela1[[#This Row],[Recebido_ Mes]]/Tabela1[[#This Row],[Total_Mes]]</f>
        <v>0.62944162436548223</v>
      </c>
      <c r="AJ17" s="19">
        <f>COUNTIFS(Tabela1[Fase atual],"Recebido",Tabela1[Mês],Tabela1[[#This Row],[Mês]],Tabela1[Ano],Tabela1[[#This Row],[Ano]])/COUNTIF(Tabela1[Mês],Tabela1[[#This Row],[Mês]])</f>
        <v>0.62944162436548223</v>
      </c>
      <c r="AK17" s="20">
        <f>100%</f>
        <v>1</v>
      </c>
    </row>
    <row r="18" spans="1:37" ht="18" customHeight="1" x14ac:dyDescent="0.25">
      <c r="A18">
        <v>1229898901</v>
      </c>
      <c r="B18" t="s">
        <v>38</v>
      </c>
      <c r="C18" t="s">
        <v>39</v>
      </c>
      <c r="D18" t="s">
        <v>37</v>
      </c>
      <c r="E18" t="s">
        <v>31</v>
      </c>
      <c r="F18" s="2">
        <v>45937.851626967589</v>
      </c>
      <c r="AC18" s="24">
        <f t="shared" ca="1" si="1"/>
        <v>196.14837303241075</v>
      </c>
      <c r="AD18" s="25" t="str">
        <f t="shared" ca="1" si="2"/>
        <v>&gt;60 dias</v>
      </c>
      <c r="AE18" s="25">
        <f>MONTH(Tabela1[[#This Row],[Criado em]])</f>
        <v>10</v>
      </c>
      <c r="AF18" s="25">
        <f>YEAR(Tabela1[[#This Row],[Criado em]])</f>
        <v>2025</v>
      </c>
      <c r="AG18" s="25">
        <f>COUNTIFS(Tabela1[Mês],Tabela1[[#This Row],[Mês]])</f>
        <v>196</v>
      </c>
      <c r="AH18" s="25">
        <f>COUNTIFS(Tabela1[Mês],Tabela1[[#This Row],[Mês]],Tabela1[Fase atual],"Recebido")</f>
        <v>138</v>
      </c>
      <c r="AI18" s="26">
        <f>Tabela1[[#This Row],[Recebido_ Mes]]/Tabela1[[#This Row],[Total_Mes]]</f>
        <v>0.70408163265306123</v>
      </c>
      <c r="AJ18" s="19">
        <f>COUNTIFS(Tabela1[Fase atual],"Recebido",Tabela1[Mês],Tabela1[[#This Row],[Mês]],Tabela1[Ano],Tabela1[[#This Row],[Ano]])/COUNTIF(Tabela1[Mês],Tabela1[[#This Row],[Mês]])</f>
        <v>0.70408163265306123</v>
      </c>
      <c r="AK18" s="20">
        <f>100%</f>
        <v>1</v>
      </c>
    </row>
    <row r="19" spans="1:37" ht="18" customHeight="1" x14ac:dyDescent="0.25">
      <c r="A19">
        <v>1213467531</v>
      </c>
      <c r="B19" t="s">
        <v>720</v>
      </c>
      <c r="C19" t="s">
        <v>721</v>
      </c>
      <c r="D19" t="s">
        <v>40</v>
      </c>
      <c r="E19" t="s">
        <v>31</v>
      </c>
      <c r="F19" s="2">
        <v>45912.852873171287</v>
      </c>
      <c r="AC19" s="24">
        <f t="shared" ca="1" si="1"/>
        <v>221.14712682871323</v>
      </c>
      <c r="AD19" s="25" t="str">
        <f t="shared" ca="1" si="2"/>
        <v>&gt;60 dias</v>
      </c>
      <c r="AE19" s="25">
        <f>MONTH(Tabela1[[#This Row],[Criado em]])</f>
        <v>9</v>
      </c>
      <c r="AF19" s="25">
        <f>YEAR(Tabela1[[#This Row],[Criado em]])</f>
        <v>2025</v>
      </c>
      <c r="AG19" s="25">
        <f>COUNTIFS(Tabela1[Mês],Tabela1[[#This Row],[Mês]])</f>
        <v>197</v>
      </c>
      <c r="AH19" s="25">
        <f>COUNTIFS(Tabela1[Mês],Tabela1[[#This Row],[Mês]],Tabela1[Fase atual],"Recebido")</f>
        <v>152</v>
      </c>
      <c r="AI19" s="26">
        <f>Tabela1[[#This Row],[Recebido_ Mes]]/Tabela1[[#This Row],[Total_Mes]]</f>
        <v>0.77157360406091369</v>
      </c>
      <c r="AJ19" s="19">
        <f>COUNTIFS(Tabela1[Fase atual],"Recebido",Tabela1[Mês],Tabela1[[#This Row],[Mês]],Tabela1[Ano],Tabela1[[#This Row],[Ano]])/COUNTIF(Tabela1[Mês],Tabela1[[#This Row],[Mês]])</f>
        <v>0.77157360406091369</v>
      </c>
      <c r="AK19" s="20">
        <f>100%</f>
        <v>1</v>
      </c>
    </row>
    <row r="20" spans="1:37" ht="18" customHeight="1" x14ac:dyDescent="0.25">
      <c r="A20">
        <v>1308193166</v>
      </c>
      <c r="B20" t="s">
        <v>793</v>
      </c>
      <c r="C20" t="s">
        <v>2182</v>
      </c>
      <c r="D20" t="s">
        <v>2179</v>
      </c>
      <c r="E20" t="s">
        <v>31</v>
      </c>
      <c r="F20" s="2">
        <v>46084.62889576389</v>
      </c>
      <c r="AC20" s="24">
        <f t="shared" ca="1" si="1"/>
        <v>49.371104236110114</v>
      </c>
      <c r="AD20" s="25" t="str">
        <f t="shared" ca="1" si="2"/>
        <v>31-60 dias</v>
      </c>
      <c r="AE20" s="25">
        <f>MONTH(Tabela1[[#This Row],[Criado em]])</f>
        <v>3</v>
      </c>
      <c r="AF20" s="25">
        <f>YEAR(Tabela1[[#This Row],[Criado em]])</f>
        <v>2026</v>
      </c>
      <c r="AG20" s="25">
        <f>COUNTIFS(Tabela1[Mês],Tabela1[[#This Row],[Mês]])</f>
        <v>62</v>
      </c>
      <c r="AH20" s="25">
        <f>COUNTIFS(Tabela1[Mês],Tabela1[[#This Row],[Mês]],Tabela1[Fase atual],"Recebido")</f>
        <v>13</v>
      </c>
      <c r="AI20" s="26">
        <f>Tabela1[[#This Row],[Recebido_ Mes]]/Tabela1[[#This Row],[Total_Mes]]</f>
        <v>0.20967741935483872</v>
      </c>
      <c r="AJ20" s="19">
        <f>COUNTIFS(Tabela1[Fase atual],"Recebido",Tabela1[Mês],Tabela1[[#This Row],[Mês]],Tabela1[Ano],Tabela1[[#This Row],[Ano]])/COUNTIF(Tabela1[Mês],Tabela1[[#This Row],[Mês]])</f>
        <v>0.20967741935483872</v>
      </c>
      <c r="AK20" s="20">
        <f>100%</f>
        <v>1</v>
      </c>
    </row>
    <row r="21" spans="1:37" ht="18" customHeight="1" x14ac:dyDescent="0.25">
      <c r="A21">
        <v>1309288965</v>
      </c>
      <c r="B21" t="s">
        <v>1543</v>
      </c>
      <c r="C21" t="s">
        <v>2183</v>
      </c>
      <c r="D21" t="s">
        <v>2179</v>
      </c>
      <c r="E21" t="s">
        <v>31</v>
      </c>
      <c r="F21" s="2">
        <v>46085.795655266207</v>
      </c>
      <c r="AC21" s="24">
        <f t="shared" ca="1" si="1"/>
        <v>48.204344733792823</v>
      </c>
      <c r="AD21" s="25" t="str">
        <f t="shared" ca="1" si="2"/>
        <v>31-60 dias</v>
      </c>
      <c r="AE21" s="25">
        <f>MONTH(Tabela1[[#This Row],[Criado em]])</f>
        <v>3</v>
      </c>
      <c r="AF21" s="25">
        <f>YEAR(Tabela1[[#This Row],[Criado em]])</f>
        <v>2026</v>
      </c>
      <c r="AG21" s="25">
        <f>COUNTIFS(Tabela1[Mês],Tabela1[[#This Row],[Mês]])</f>
        <v>62</v>
      </c>
      <c r="AH21" s="25">
        <f>COUNTIFS(Tabela1[Mês],Tabela1[[#This Row],[Mês]],Tabela1[Fase atual],"Recebido")</f>
        <v>13</v>
      </c>
      <c r="AI21" s="26">
        <f>Tabela1[[#This Row],[Recebido_ Mes]]/Tabela1[[#This Row],[Total_Mes]]</f>
        <v>0.20967741935483872</v>
      </c>
      <c r="AJ21" s="19">
        <f>COUNTIFS(Tabela1[Fase atual],"Recebido",Tabela1[Mês],Tabela1[[#This Row],[Mês]],Tabela1[Ano],Tabela1[[#This Row],[Ano]])/COUNTIF(Tabela1[Mês],Tabela1[[#This Row],[Mês]])</f>
        <v>0.20967741935483872</v>
      </c>
      <c r="AK21" s="20">
        <f>100%</f>
        <v>1</v>
      </c>
    </row>
    <row r="22" spans="1:37" ht="18" customHeight="1" x14ac:dyDescent="0.25">
      <c r="A22">
        <v>1261090983</v>
      </c>
      <c r="B22" t="s">
        <v>722</v>
      </c>
      <c r="C22" t="s">
        <v>723</v>
      </c>
      <c r="D22" t="s">
        <v>37</v>
      </c>
      <c r="E22" t="s">
        <v>31</v>
      </c>
      <c r="F22" s="2">
        <v>45989.835522928253</v>
      </c>
      <c r="AC22" s="24">
        <f t="shared" ca="1" si="1"/>
        <v>144.16447707174666</v>
      </c>
      <c r="AD22" s="25" t="str">
        <f t="shared" ca="1" si="2"/>
        <v>&gt;60 dias</v>
      </c>
      <c r="AE22" s="25">
        <f>MONTH(Tabela1[[#This Row],[Criado em]])</f>
        <v>11</v>
      </c>
      <c r="AF22" s="25">
        <f>YEAR(Tabela1[[#This Row],[Criado em]])</f>
        <v>2025</v>
      </c>
      <c r="AG22" s="25">
        <f>COUNTIFS(Tabela1[Mês],Tabela1[[#This Row],[Mês]])</f>
        <v>130</v>
      </c>
      <c r="AH22" s="25">
        <f>COUNTIFS(Tabela1[Mês],Tabela1[[#This Row],[Mês]],Tabela1[Fase atual],"Recebido")</f>
        <v>100</v>
      </c>
      <c r="AI22" s="26">
        <f>Tabela1[[#This Row],[Recebido_ Mes]]/Tabela1[[#This Row],[Total_Mes]]</f>
        <v>0.76923076923076927</v>
      </c>
      <c r="AJ22" s="19">
        <f>COUNTIFS(Tabela1[Fase atual],"Recebido",Tabela1[Mês],Tabela1[[#This Row],[Mês]],Tabela1[Ano],Tabela1[[#This Row],[Ano]])/COUNTIF(Tabela1[Mês],Tabela1[[#This Row],[Mês]])</f>
        <v>0.76923076923076927</v>
      </c>
      <c r="AK22" s="20">
        <f>100%</f>
        <v>1</v>
      </c>
    </row>
    <row r="23" spans="1:37" ht="18" customHeight="1" x14ac:dyDescent="0.25">
      <c r="A23">
        <v>1254591669</v>
      </c>
      <c r="B23" t="s">
        <v>724</v>
      </c>
      <c r="C23" t="s">
        <v>725</v>
      </c>
      <c r="D23" t="s">
        <v>40</v>
      </c>
      <c r="E23" t="s">
        <v>31</v>
      </c>
      <c r="F23" s="2">
        <v>45974.794766469902</v>
      </c>
      <c r="AC23" s="24">
        <f t="shared" ca="1" si="1"/>
        <v>159.20523353009776</v>
      </c>
      <c r="AD23" s="25" t="str">
        <f t="shared" ca="1" si="2"/>
        <v>&gt;60 dias</v>
      </c>
      <c r="AE23" s="25">
        <f>MONTH(Tabela1[[#This Row],[Criado em]])</f>
        <v>11</v>
      </c>
      <c r="AF23" s="25">
        <f>YEAR(Tabela1[[#This Row],[Criado em]])</f>
        <v>2025</v>
      </c>
      <c r="AG23" s="25">
        <f>COUNTIFS(Tabela1[Mês],Tabela1[[#This Row],[Mês]])</f>
        <v>130</v>
      </c>
      <c r="AH23" s="25">
        <f>COUNTIFS(Tabela1[Mês],Tabela1[[#This Row],[Mês]],Tabela1[Fase atual],"Recebido")</f>
        <v>100</v>
      </c>
      <c r="AI23" s="26">
        <f>Tabela1[[#This Row],[Recebido_ Mes]]/Tabela1[[#This Row],[Total_Mes]]</f>
        <v>0.76923076923076927</v>
      </c>
      <c r="AJ23" s="19">
        <f>COUNTIFS(Tabela1[Fase atual],"Recebido",Tabela1[Mês],Tabela1[[#This Row],[Mês]],Tabela1[Ano],Tabela1[[#This Row],[Ano]])/COUNTIF(Tabela1[Mês],Tabela1[[#This Row],[Mês]])</f>
        <v>0.76923076923076927</v>
      </c>
      <c r="AK23" s="20">
        <f>100%</f>
        <v>1</v>
      </c>
    </row>
    <row r="24" spans="1:37" ht="18" customHeight="1" x14ac:dyDescent="0.25">
      <c r="A24">
        <v>1251209264</v>
      </c>
      <c r="B24" t="s">
        <v>724</v>
      </c>
      <c r="C24" t="s">
        <v>725</v>
      </c>
      <c r="D24" t="s">
        <v>37</v>
      </c>
      <c r="E24" t="s">
        <v>31</v>
      </c>
      <c r="F24" s="2">
        <v>45967.794610486111</v>
      </c>
      <c r="AC24" s="24">
        <f t="shared" ca="1" si="1"/>
        <v>166.2053895138888</v>
      </c>
      <c r="AD24" s="25" t="str">
        <f t="shared" ca="1" si="2"/>
        <v>&gt;60 dias</v>
      </c>
      <c r="AE24" s="25">
        <f>MONTH(Tabela1[[#This Row],[Criado em]])</f>
        <v>11</v>
      </c>
      <c r="AF24" s="25">
        <f>YEAR(Tabela1[[#This Row],[Criado em]])</f>
        <v>2025</v>
      </c>
      <c r="AG24" s="25">
        <f>COUNTIFS(Tabela1[Mês],Tabela1[[#This Row],[Mês]])</f>
        <v>130</v>
      </c>
      <c r="AH24" s="25">
        <f>COUNTIFS(Tabela1[Mês],Tabela1[[#This Row],[Mês]],Tabela1[Fase atual],"Recebido")</f>
        <v>100</v>
      </c>
      <c r="AI24" s="26">
        <f>Tabela1[[#This Row],[Recebido_ Mes]]/Tabela1[[#This Row],[Total_Mes]]</f>
        <v>0.76923076923076927</v>
      </c>
      <c r="AJ24" s="19">
        <f>COUNTIFS(Tabela1[Fase atual],"Recebido",Tabela1[Mês],Tabela1[[#This Row],[Mês]],Tabela1[Ano],Tabela1[[#This Row],[Ano]])/COUNTIF(Tabela1[Mês],Tabela1[[#This Row],[Mês]])</f>
        <v>0.76923076923076927</v>
      </c>
      <c r="AK24" s="20">
        <f>100%</f>
        <v>1</v>
      </c>
    </row>
    <row r="25" spans="1:37" ht="18" customHeight="1" x14ac:dyDescent="0.25">
      <c r="A25">
        <v>1254840527</v>
      </c>
      <c r="B25" t="s">
        <v>726</v>
      </c>
      <c r="C25" t="s">
        <v>727</v>
      </c>
      <c r="D25" t="s">
        <v>40</v>
      </c>
      <c r="E25" t="s">
        <v>31</v>
      </c>
      <c r="F25" s="2">
        <v>45975.532786539348</v>
      </c>
      <c r="AC25" s="24">
        <f t="shared" ca="1" si="1"/>
        <v>158.46721346065169</v>
      </c>
      <c r="AD25" s="25" t="str">
        <f t="shared" ca="1" si="2"/>
        <v>&gt;60 dias</v>
      </c>
      <c r="AE25" s="25">
        <f>MONTH(Tabela1[[#This Row],[Criado em]])</f>
        <v>11</v>
      </c>
      <c r="AF25" s="25">
        <f>YEAR(Tabela1[[#This Row],[Criado em]])</f>
        <v>2025</v>
      </c>
      <c r="AG25" s="25">
        <f>COUNTIFS(Tabela1[Mês],Tabela1[[#This Row],[Mês]])</f>
        <v>130</v>
      </c>
      <c r="AH25" s="25">
        <f>COUNTIFS(Tabela1[Mês],Tabela1[[#This Row],[Mês]],Tabela1[Fase atual],"Recebido")</f>
        <v>100</v>
      </c>
      <c r="AI25" s="26">
        <f>Tabela1[[#This Row],[Recebido_ Mes]]/Tabela1[[#This Row],[Total_Mes]]</f>
        <v>0.76923076923076927</v>
      </c>
      <c r="AJ25" s="19">
        <f>COUNTIFS(Tabela1[Fase atual],"Recebido",Tabela1[Mês],Tabela1[[#This Row],[Mês]],Tabela1[Ano],Tabela1[[#This Row],[Ano]])/COUNTIF(Tabela1[Mês],Tabela1[[#This Row],[Mês]])</f>
        <v>0.76923076923076927</v>
      </c>
      <c r="AK25" s="20">
        <f>100%</f>
        <v>1</v>
      </c>
    </row>
    <row r="26" spans="1:37" ht="18" customHeight="1" x14ac:dyDescent="0.25">
      <c r="A26">
        <v>1267210108</v>
      </c>
      <c r="B26" t="s">
        <v>728</v>
      </c>
      <c r="C26" t="s">
        <v>729</v>
      </c>
      <c r="D26" t="s">
        <v>37</v>
      </c>
      <c r="E26" t="s">
        <v>31</v>
      </c>
      <c r="F26" s="2">
        <v>46002.797479236113</v>
      </c>
      <c r="AC26" s="24">
        <f t="shared" ca="1" si="1"/>
        <v>131.20252076388715</v>
      </c>
      <c r="AD26" s="25" t="str">
        <f t="shared" ca="1" si="2"/>
        <v>&gt;60 dias</v>
      </c>
      <c r="AE26" s="25">
        <f>MONTH(Tabela1[[#This Row],[Criado em]])</f>
        <v>12</v>
      </c>
      <c r="AF26" s="25">
        <f>YEAR(Tabela1[[#This Row],[Criado em]])</f>
        <v>2025</v>
      </c>
      <c r="AG26" s="25">
        <f>COUNTIFS(Tabela1[Mês],Tabela1[[#This Row],[Mês]])</f>
        <v>207</v>
      </c>
      <c r="AH26" s="25">
        <f>COUNTIFS(Tabela1[Mês],Tabela1[[#This Row],[Mês]],Tabela1[Fase atual],"Recebido")</f>
        <v>155</v>
      </c>
      <c r="AI26" s="26">
        <f>Tabela1[[#This Row],[Recebido_ Mes]]/Tabela1[[#This Row],[Total_Mes]]</f>
        <v>0.74879227053140096</v>
      </c>
      <c r="AJ26" s="19">
        <f>COUNTIFS(Tabela1[Fase atual],"Recebido",Tabela1[Mês],Tabela1[[#This Row],[Mês]],Tabela1[Ano],Tabela1[[#This Row],[Ano]])/COUNTIF(Tabela1[Mês],Tabela1[[#This Row],[Mês]])</f>
        <v>0.74879227053140096</v>
      </c>
      <c r="AK26" s="20">
        <f>100%</f>
        <v>1</v>
      </c>
    </row>
    <row r="27" spans="1:37" ht="18" customHeight="1" x14ac:dyDescent="0.25">
      <c r="A27">
        <v>1295984844</v>
      </c>
      <c r="B27" t="s">
        <v>41</v>
      </c>
      <c r="C27" t="s">
        <v>42</v>
      </c>
      <c r="D27" t="s">
        <v>37</v>
      </c>
      <c r="E27" t="s">
        <v>31</v>
      </c>
      <c r="F27" s="2">
        <v>46063.796469398148</v>
      </c>
      <c r="AC27" s="24">
        <f t="shared" ca="1" si="1"/>
        <v>70.203530601851526</v>
      </c>
      <c r="AD27" s="25" t="str">
        <f t="shared" ca="1" si="2"/>
        <v>&gt;60 dias</v>
      </c>
      <c r="AE27" s="25">
        <f>MONTH(Tabela1[[#This Row],[Criado em]])</f>
        <v>2</v>
      </c>
      <c r="AF27" s="25">
        <f>YEAR(Tabela1[[#This Row],[Criado em]])</f>
        <v>2026</v>
      </c>
      <c r="AG27" s="25">
        <f>COUNTIFS(Tabela1[Mês],Tabela1[[#This Row],[Mês]])</f>
        <v>197</v>
      </c>
      <c r="AH27" s="25">
        <f>COUNTIFS(Tabela1[Mês],Tabela1[[#This Row],[Mês]],Tabela1[Fase atual],"Recebido")</f>
        <v>124</v>
      </c>
      <c r="AI27" s="26">
        <f>Tabela1[[#This Row],[Recebido_ Mes]]/Tabela1[[#This Row],[Total_Mes]]</f>
        <v>0.62944162436548223</v>
      </c>
      <c r="AJ27" s="19">
        <f>COUNTIFS(Tabela1[Fase atual],"Recebido",Tabela1[Mês],Tabela1[[#This Row],[Mês]],Tabela1[Ano],Tabela1[[#This Row],[Ano]])/COUNTIF(Tabela1[Mês],Tabela1[[#This Row],[Mês]])</f>
        <v>0.62944162436548223</v>
      </c>
      <c r="AK27" s="20">
        <f>100%</f>
        <v>1</v>
      </c>
    </row>
    <row r="28" spans="1:37" ht="18" customHeight="1" x14ac:dyDescent="0.25">
      <c r="A28">
        <v>1297056317</v>
      </c>
      <c r="B28" t="s">
        <v>41</v>
      </c>
      <c r="C28" t="s">
        <v>42</v>
      </c>
      <c r="D28" t="s">
        <v>2184</v>
      </c>
      <c r="E28" t="s">
        <v>31</v>
      </c>
      <c r="F28" s="2">
        <v>46065.796906296287</v>
      </c>
      <c r="AC28" s="24">
        <f t="shared" ca="1" si="1"/>
        <v>68.203093703712511</v>
      </c>
      <c r="AD28" s="25" t="str">
        <f t="shared" ca="1" si="2"/>
        <v>&gt;60 dias</v>
      </c>
      <c r="AE28" s="25">
        <f>MONTH(Tabela1[[#This Row],[Criado em]])</f>
        <v>2</v>
      </c>
      <c r="AF28" s="25">
        <f>YEAR(Tabela1[[#This Row],[Criado em]])</f>
        <v>2026</v>
      </c>
      <c r="AG28" s="25">
        <f>COUNTIFS(Tabela1[Mês],Tabela1[[#This Row],[Mês]])</f>
        <v>197</v>
      </c>
      <c r="AH28" s="25">
        <f>COUNTIFS(Tabela1[Mês],Tabela1[[#This Row],[Mês]],Tabela1[Fase atual],"Recebido")</f>
        <v>124</v>
      </c>
      <c r="AI28" s="26">
        <f>Tabela1[[#This Row],[Recebido_ Mes]]/Tabela1[[#This Row],[Total_Mes]]</f>
        <v>0.62944162436548223</v>
      </c>
      <c r="AJ28" s="19">
        <f>COUNTIFS(Tabela1[Fase atual],"Recebido",Tabela1[Mês],Tabela1[[#This Row],[Mês]],Tabela1[Ano],Tabela1[[#This Row],[Ano]])/COUNTIF(Tabela1[Mês],Tabela1[[#This Row],[Mês]])</f>
        <v>0.62944162436548223</v>
      </c>
      <c r="AK28" s="20">
        <f>100%</f>
        <v>1</v>
      </c>
    </row>
    <row r="29" spans="1:37" ht="18" customHeight="1" x14ac:dyDescent="0.25">
      <c r="A29">
        <v>1263919515</v>
      </c>
      <c r="B29" t="s">
        <v>730</v>
      </c>
      <c r="C29" t="s">
        <v>731</v>
      </c>
      <c r="D29" t="s">
        <v>37</v>
      </c>
      <c r="E29" t="s">
        <v>31</v>
      </c>
      <c r="F29" s="2">
        <v>45995.505197349543</v>
      </c>
      <c r="AC29" s="24">
        <f t="shared" ca="1" si="1"/>
        <v>138.49480265045713</v>
      </c>
      <c r="AD29" s="25" t="str">
        <f t="shared" ca="1" si="2"/>
        <v>&gt;60 dias</v>
      </c>
      <c r="AE29" s="25">
        <f>MONTH(Tabela1[[#This Row],[Criado em]])</f>
        <v>12</v>
      </c>
      <c r="AF29" s="25">
        <f>YEAR(Tabela1[[#This Row],[Criado em]])</f>
        <v>2025</v>
      </c>
      <c r="AG29" s="25">
        <f>COUNTIFS(Tabela1[Mês],Tabela1[[#This Row],[Mês]])</f>
        <v>207</v>
      </c>
      <c r="AH29" s="25">
        <f>COUNTIFS(Tabela1[Mês],Tabela1[[#This Row],[Mês]],Tabela1[Fase atual],"Recebido")</f>
        <v>155</v>
      </c>
      <c r="AI29" s="26">
        <f>Tabela1[[#This Row],[Recebido_ Mes]]/Tabela1[[#This Row],[Total_Mes]]</f>
        <v>0.74879227053140096</v>
      </c>
      <c r="AJ29" s="19">
        <f>COUNTIFS(Tabela1[Fase atual],"Recebido",Tabela1[Mês],Tabela1[[#This Row],[Mês]],Tabela1[Ano],Tabela1[[#This Row],[Ano]])/COUNTIF(Tabela1[Mês],Tabela1[[#This Row],[Mês]])</f>
        <v>0.74879227053140096</v>
      </c>
      <c r="AK29" s="20">
        <f>100%</f>
        <v>1</v>
      </c>
    </row>
    <row r="30" spans="1:37" ht="18" customHeight="1" x14ac:dyDescent="0.25">
      <c r="A30">
        <v>1259929764</v>
      </c>
      <c r="B30" t="s">
        <v>732</v>
      </c>
      <c r="C30" t="s">
        <v>733</v>
      </c>
      <c r="D30" t="s">
        <v>37</v>
      </c>
      <c r="E30" t="s">
        <v>31</v>
      </c>
      <c r="F30" s="2">
        <v>45987.795094456007</v>
      </c>
      <c r="AC30" s="24">
        <f t="shared" ca="1" si="1"/>
        <v>146.20490554399294</v>
      </c>
      <c r="AD30" s="25" t="str">
        <f t="shared" ca="1" si="2"/>
        <v>&gt;60 dias</v>
      </c>
      <c r="AE30" s="25">
        <f>MONTH(Tabela1[[#This Row],[Criado em]])</f>
        <v>11</v>
      </c>
      <c r="AF30" s="25">
        <f>YEAR(Tabela1[[#This Row],[Criado em]])</f>
        <v>2025</v>
      </c>
      <c r="AG30" s="25">
        <f>COUNTIFS(Tabela1[Mês],Tabela1[[#This Row],[Mês]])</f>
        <v>130</v>
      </c>
      <c r="AH30" s="25">
        <f>COUNTIFS(Tabela1[Mês],Tabela1[[#This Row],[Mês]],Tabela1[Fase atual],"Recebido")</f>
        <v>100</v>
      </c>
      <c r="AI30" s="26">
        <f>Tabela1[[#This Row],[Recebido_ Mes]]/Tabela1[[#This Row],[Total_Mes]]</f>
        <v>0.76923076923076927</v>
      </c>
      <c r="AJ30" s="19">
        <f>COUNTIFS(Tabela1[Fase atual],"Recebido",Tabela1[Mês],Tabela1[[#This Row],[Mês]],Tabela1[Ano],Tabela1[[#This Row],[Ano]])/COUNTIF(Tabela1[Mês],Tabela1[[#This Row],[Mês]])</f>
        <v>0.76923076923076927</v>
      </c>
      <c r="AK30" s="20">
        <f>100%</f>
        <v>1</v>
      </c>
    </row>
    <row r="31" spans="1:37" ht="18" customHeight="1" x14ac:dyDescent="0.25">
      <c r="A31">
        <v>1304128539</v>
      </c>
      <c r="B31" t="s">
        <v>468</v>
      </c>
      <c r="C31" t="s">
        <v>680</v>
      </c>
      <c r="D31" t="s">
        <v>40</v>
      </c>
      <c r="E31" t="s">
        <v>31</v>
      </c>
      <c r="F31" s="2">
        <v>46078.796060127323</v>
      </c>
      <c r="AC31" s="24">
        <f t="shared" ca="1" si="1"/>
        <v>55.203939872677438</v>
      </c>
      <c r="AD31" s="25" t="str">
        <f t="shared" ca="1" si="2"/>
        <v>31-60 dias</v>
      </c>
      <c r="AE31" s="25">
        <f>MONTH(Tabela1[[#This Row],[Criado em]])</f>
        <v>2</v>
      </c>
      <c r="AF31" s="25">
        <f>YEAR(Tabela1[[#This Row],[Criado em]])</f>
        <v>2026</v>
      </c>
      <c r="AG31" s="25">
        <f>COUNTIFS(Tabela1[Mês],Tabela1[[#This Row],[Mês]])</f>
        <v>197</v>
      </c>
      <c r="AH31" s="25">
        <f>COUNTIFS(Tabela1[Mês],Tabela1[[#This Row],[Mês]],Tabela1[Fase atual],"Recebido")</f>
        <v>124</v>
      </c>
      <c r="AI31" s="26">
        <f>Tabela1[[#This Row],[Recebido_ Mes]]/Tabela1[[#This Row],[Total_Mes]]</f>
        <v>0.62944162436548223</v>
      </c>
      <c r="AJ31" s="19">
        <f>COUNTIFS(Tabela1[Fase atual],"Recebido",Tabela1[Mês],Tabela1[[#This Row],[Mês]],Tabela1[Ano],Tabela1[[#This Row],[Ano]])/COUNTIF(Tabela1[Mês],Tabela1[[#This Row],[Mês]])</f>
        <v>0.62944162436548223</v>
      </c>
      <c r="AK31" s="20">
        <f>100%</f>
        <v>1</v>
      </c>
    </row>
    <row r="32" spans="1:37" ht="18" customHeight="1" x14ac:dyDescent="0.25">
      <c r="A32">
        <v>1169997882</v>
      </c>
      <c r="B32" t="s">
        <v>734</v>
      </c>
      <c r="C32" t="s">
        <v>735</v>
      </c>
      <c r="D32" t="s">
        <v>37</v>
      </c>
      <c r="E32" t="s">
        <v>31</v>
      </c>
      <c r="F32" s="2">
        <v>45840.017529872683</v>
      </c>
      <c r="AC32" s="24">
        <f t="shared" ca="1" si="1"/>
        <v>293.98247012731736</v>
      </c>
      <c r="AD32" s="25" t="str">
        <f t="shared" ca="1" si="2"/>
        <v>&gt;60 dias</v>
      </c>
      <c r="AE32" s="25">
        <f>MONTH(Tabela1[[#This Row],[Criado em]])</f>
        <v>7</v>
      </c>
      <c r="AF32" s="25">
        <f>YEAR(Tabela1[[#This Row],[Criado em]])</f>
        <v>2025</v>
      </c>
      <c r="AG32" s="25">
        <f>COUNTIFS(Tabela1[Mês],Tabela1[[#This Row],[Mês]])</f>
        <v>177</v>
      </c>
      <c r="AH32" s="25">
        <f>COUNTIFS(Tabela1[Mês],Tabela1[[#This Row],[Mês]],Tabela1[Fase atual],"Recebido")</f>
        <v>130</v>
      </c>
      <c r="AI32" s="26">
        <f>Tabela1[[#This Row],[Recebido_ Mes]]/Tabela1[[#This Row],[Total_Mes]]</f>
        <v>0.7344632768361582</v>
      </c>
      <c r="AJ32" s="19">
        <f>COUNTIFS(Tabela1[Fase atual],"Recebido",Tabela1[Mês],Tabela1[[#This Row],[Mês]],Tabela1[Ano],Tabela1[[#This Row],[Ano]])/COUNTIF(Tabela1[Mês],Tabela1[[#This Row],[Mês]])</f>
        <v>0.7344632768361582</v>
      </c>
      <c r="AK32" s="20">
        <f>100%</f>
        <v>1</v>
      </c>
    </row>
    <row r="33" spans="1:37" ht="18" customHeight="1" x14ac:dyDescent="0.25">
      <c r="A33">
        <v>1213466609</v>
      </c>
      <c r="B33" t="s">
        <v>736</v>
      </c>
      <c r="C33" t="s">
        <v>737</v>
      </c>
      <c r="D33" t="s">
        <v>37</v>
      </c>
      <c r="E33" t="s">
        <v>31</v>
      </c>
      <c r="F33" s="2">
        <v>45912.851725324072</v>
      </c>
      <c r="AC33" s="24">
        <f t="shared" ca="1" si="1"/>
        <v>221.14827467592841</v>
      </c>
      <c r="AD33" s="25" t="str">
        <f t="shared" ca="1" si="2"/>
        <v>&gt;60 dias</v>
      </c>
      <c r="AE33" s="25">
        <f>MONTH(Tabela1[[#This Row],[Criado em]])</f>
        <v>9</v>
      </c>
      <c r="AF33" s="25">
        <f>YEAR(Tabela1[[#This Row],[Criado em]])</f>
        <v>2025</v>
      </c>
      <c r="AG33" s="25">
        <f>COUNTIFS(Tabela1[Mês],Tabela1[[#This Row],[Mês]])</f>
        <v>197</v>
      </c>
      <c r="AH33" s="25">
        <f>COUNTIFS(Tabela1[Mês],Tabela1[[#This Row],[Mês]],Tabela1[Fase atual],"Recebido")</f>
        <v>152</v>
      </c>
      <c r="AI33" s="26">
        <f>Tabela1[[#This Row],[Recebido_ Mes]]/Tabela1[[#This Row],[Total_Mes]]</f>
        <v>0.77157360406091369</v>
      </c>
      <c r="AJ33" s="19">
        <f>COUNTIFS(Tabela1[Fase atual],"Recebido",Tabela1[Mês],Tabela1[[#This Row],[Mês]],Tabela1[Ano],Tabela1[[#This Row],[Ano]])/COUNTIF(Tabela1[Mês],Tabela1[[#This Row],[Mês]])</f>
        <v>0.77157360406091369</v>
      </c>
      <c r="AK33" s="20">
        <f>100%</f>
        <v>1</v>
      </c>
    </row>
    <row r="34" spans="1:37" ht="18" customHeight="1" x14ac:dyDescent="0.25">
      <c r="A34">
        <v>1278989166</v>
      </c>
      <c r="B34" t="s">
        <v>44</v>
      </c>
      <c r="C34" t="s">
        <v>45</v>
      </c>
      <c r="D34" t="s">
        <v>37</v>
      </c>
      <c r="E34" t="s">
        <v>31</v>
      </c>
      <c r="F34" s="2">
        <v>46030.794356840277</v>
      </c>
      <c r="AC34" s="24">
        <f t="shared" ca="1" si="1"/>
        <v>103.20564315972297</v>
      </c>
      <c r="AD34" s="25" t="str">
        <f t="shared" ca="1" si="2"/>
        <v>&gt;60 dias</v>
      </c>
      <c r="AE34" s="25">
        <f>MONTH(Tabela1[[#This Row],[Criado em]])</f>
        <v>1</v>
      </c>
      <c r="AF34" s="25">
        <f>YEAR(Tabela1[[#This Row],[Criado em]])</f>
        <v>2026</v>
      </c>
      <c r="AG34" s="25">
        <f>COUNTIFS(Tabela1[Mês],Tabela1[[#This Row],[Mês]])</f>
        <v>222</v>
      </c>
      <c r="AH34" s="25">
        <f>COUNTIFS(Tabela1[Mês],Tabela1[[#This Row],[Mês]],Tabela1[Fase atual],"Recebido")</f>
        <v>174</v>
      </c>
      <c r="AI34" s="26">
        <f>Tabela1[[#This Row],[Recebido_ Mes]]/Tabela1[[#This Row],[Total_Mes]]</f>
        <v>0.78378378378378377</v>
      </c>
      <c r="AJ34" s="19">
        <f>COUNTIFS(Tabela1[Fase atual],"Recebido",Tabela1[Mês],Tabela1[[#This Row],[Mês]],Tabela1[Ano],Tabela1[[#This Row],[Ano]])/COUNTIF(Tabela1[Mês],Tabela1[[#This Row],[Mês]])</f>
        <v>0.78378378378378377</v>
      </c>
      <c r="AK34" s="20">
        <f>100%</f>
        <v>1</v>
      </c>
    </row>
    <row r="35" spans="1:37" ht="18" customHeight="1" x14ac:dyDescent="0.25">
      <c r="A35">
        <v>1267303073</v>
      </c>
      <c r="B35" t="s">
        <v>738</v>
      </c>
      <c r="C35" t="s">
        <v>739</v>
      </c>
      <c r="D35" t="s">
        <v>37</v>
      </c>
      <c r="E35" t="s">
        <v>31</v>
      </c>
      <c r="F35" s="2">
        <v>46002.922544953697</v>
      </c>
      <c r="AC35" s="24">
        <f t="shared" ca="1" si="1"/>
        <v>131.07745504630293</v>
      </c>
      <c r="AD35" s="25" t="str">
        <f t="shared" ca="1" si="2"/>
        <v>&gt;60 dias</v>
      </c>
      <c r="AE35" s="25">
        <f>MONTH(Tabela1[[#This Row],[Criado em]])</f>
        <v>12</v>
      </c>
      <c r="AF35" s="25">
        <f>YEAR(Tabela1[[#This Row],[Criado em]])</f>
        <v>2025</v>
      </c>
      <c r="AG35" s="25">
        <f>COUNTIFS(Tabela1[Mês],Tabela1[[#This Row],[Mês]])</f>
        <v>207</v>
      </c>
      <c r="AH35" s="25">
        <f>COUNTIFS(Tabela1[Mês],Tabela1[[#This Row],[Mês]],Tabela1[Fase atual],"Recebido")</f>
        <v>155</v>
      </c>
      <c r="AI35" s="26">
        <f>Tabela1[[#This Row],[Recebido_ Mes]]/Tabela1[[#This Row],[Total_Mes]]</f>
        <v>0.74879227053140096</v>
      </c>
      <c r="AJ35" s="19">
        <f>COUNTIFS(Tabela1[Fase atual],"Recebido",Tabela1[Mês],Tabela1[[#This Row],[Mês]],Tabela1[Ano],Tabela1[[#This Row],[Ano]])/COUNTIF(Tabela1[Mês],Tabela1[[#This Row],[Mês]])</f>
        <v>0.74879227053140096</v>
      </c>
      <c r="AK35" s="20">
        <f>100%</f>
        <v>1</v>
      </c>
    </row>
    <row r="36" spans="1:37" ht="18" customHeight="1" x14ac:dyDescent="0.25">
      <c r="A36">
        <v>1209016578</v>
      </c>
      <c r="B36" t="s">
        <v>740</v>
      </c>
      <c r="C36" t="s">
        <v>741</v>
      </c>
      <c r="D36" t="s">
        <v>37</v>
      </c>
      <c r="E36" t="s">
        <v>31</v>
      </c>
      <c r="F36" s="2">
        <v>45905.643249328707</v>
      </c>
      <c r="AC36" s="24">
        <f t="shared" ca="1" si="1"/>
        <v>228.35675067129341</v>
      </c>
      <c r="AD36" s="25" t="str">
        <f t="shared" ca="1" si="2"/>
        <v>&gt;60 dias</v>
      </c>
      <c r="AE36" s="25">
        <f>MONTH(Tabela1[[#This Row],[Criado em]])</f>
        <v>9</v>
      </c>
      <c r="AF36" s="25">
        <f>YEAR(Tabela1[[#This Row],[Criado em]])</f>
        <v>2025</v>
      </c>
      <c r="AG36" s="25">
        <f>COUNTIFS(Tabela1[Mês],Tabela1[[#This Row],[Mês]])</f>
        <v>197</v>
      </c>
      <c r="AH36" s="25">
        <f>COUNTIFS(Tabela1[Mês],Tabela1[[#This Row],[Mês]],Tabela1[Fase atual],"Recebido")</f>
        <v>152</v>
      </c>
      <c r="AI36" s="26">
        <f>Tabela1[[#This Row],[Recebido_ Mes]]/Tabela1[[#This Row],[Total_Mes]]</f>
        <v>0.77157360406091369</v>
      </c>
      <c r="AJ36" s="19">
        <f>COUNTIFS(Tabela1[Fase atual],"Recebido",Tabela1[Mês],Tabela1[[#This Row],[Mês]],Tabela1[Ano],Tabela1[[#This Row],[Ano]])/COUNTIF(Tabela1[Mês],Tabela1[[#This Row],[Mês]])</f>
        <v>0.77157360406091369</v>
      </c>
      <c r="AK36" s="20">
        <f>100%</f>
        <v>1</v>
      </c>
    </row>
    <row r="37" spans="1:37" ht="18" customHeight="1" x14ac:dyDescent="0.25">
      <c r="A37">
        <v>1179015098</v>
      </c>
      <c r="B37" t="s">
        <v>168</v>
      </c>
      <c r="C37" t="s">
        <v>742</v>
      </c>
      <c r="D37" t="s">
        <v>37</v>
      </c>
      <c r="E37" t="s">
        <v>31</v>
      </c>
      <c r="F37" s="2">
        <v>45856.850765451389</v>
      </c>
      <c r="AC37" s="24">
        <f t="shared" ca="1" si="1"/>
        <v>277.14923454861128</v>
      </c>
      <c r="AD37" s="25" t="str">
        <f t="shared" ca="1" si="2"/>
        <v>&gt;60 dias</v>
      </c>
      <c r="AE37" s="25">
        <f>MONTH(Tabela1[[#This Row],[Criado em]])</f>
        <v>7</v>
      </c>
      <c r="AF37" s="25">
        <f>YEAR(Tabela1[[#This Row],[Criado em]])</f>
        <v>2025</v>
      </c>
      <c r="AG37" s="25">
        <f>COUNTIFS(Tabela1[Mês],Tabela1[[#This Row],[Mês]])</f>
        <v>177</v>
      </c>
      <c r="AH37" s="25">
        <f>COUNTIFS(Tabela1[Mês],Tabela1[[#This Row],[Mês]],Tabela1[Fase atual],"Recebido")</f>
        <v>130</v>
      </c>
      <c r="AI37" s="26">
        <f>Tabela1[[#This Row],[Recebido_ Mes]]/Tabela1[[#This Row],[Total_Mes]]</f>
        <v>0.7344632768361582</v>
      </c>
      <c r="AJ37" s="19">
        <f>COUNTIFS(Tabela1[Fase atual],"Recebido",Tabela1[Mês],Tabela1[[#This Row],[Mês]],Tabela1[Ano],Tabela1[[#This Row],[Ano]])/COUNTIF(Tabela1[Mês],Tabela1[[#This Row],[Mês]])</f>
        <v>0.7344632768361582</v>
      </c>
      <c r="AK37" s="20">
        <f>100%</f>
        <v>1</v>
      </c>
    </row>
    <row r="38" spans="1:37" ht="18" customHeight="1" x14ac:dyDescent="0.25">
      <c r="A38">
        <v>1228855304</v>
      </c>
      <c r="B38" t="s">
        <v>743</v>
      </c>
      <c r="C38" t="s">
        <v>744</v>
      </c>
      <c r="D38" t="s">
        <v>37</v>
      </c>
      <c r="E38" t="s">
        <v>31</v>
      </c>
      <c r="F38" s="2">
        <v>45936.641773946758</v>
      </c>
      <c r="AC38" s="24">
        <f t="shared" ca="1" si="1"/>
        <v>197.35822605324211</v>
      </c>
      <c r="AD38" s="25" t="str">
        <f t="shared" ca="1" si="2"/>
        <v>&gt;60 dias</v>
      </c>
      <c r="AE38" s="25">
        <f>MONTH(Tabela1[[#This Row],[Criado em]])</f>
        <v>10</v>
      </c>
      <c r="AF38" s="25">
        <f>YEAR(Tabela1[[#This Row],[Criado em]])</f>
        <v>2025</v>
      </c>
      <c r="AG38" s="25">
        <f>COUNTIFS(Tabela1[Mês],Tabela1[[#This Row],[Mês]])</f>
        <v>196</v>
      </c>
      <c r="AH38" s="25">
        <f>COUNTIFS(Tabela1[Mês],Tabela1[[#This Row],[Mês]],Tabela1[Fase atual],"Recebido")</f>
        <v>138</v>
      </c>
      <c r="AI38" s="26">
        <f>Tabela1[[#This Row],[Recebido_ Mes]]/Tabela1[[#This Row],[Total_Mes]]</f>
        <v>0.70408163265306123</v>
      </c>
      <c r="AJ38" s="19">
        <f>COUNTIFS(Tabela1[Fase atual],"Recebido",Tabela1[Mês],Tabela1[[#This Row],[Mês]],Tabela1[Ano],Tabela1[[#This Row],[Ano]])/COUNTIF(Tabela1[Mês],Tabela1[[#This Row],[Mês]])</f>
        <v>0.70408163265306123</v>
      </c>
      <c r="AK38" s="20">
        <f>100%</f>
        <v>1</v>
      </c>
    </row>
    <row r="39" spans="1:37" ht="18" customHeight="1" x14ac:dyDescent="0.25">
      <c r="A39">
        <v>1270228308</v>
      </c>
      <c r="B39" t="s">
        <v>745</v>
      </c>
      <c r="C39" t="s">
        <v>746</v>
      </c>
      <c r="D39" t="s">
        <v>37</v>
      </c>
      <c r="E39" t="s">
        <v>31</v>
      </c>
      <c r="F39" s="2">
        <v>46009.844389224527</v>
      </c>
      <c r="AC39" s="24">
        <f t="shared" ca="1" si="1"/>
        <v>124.15561077547318</v>
      </c>
      <c r="AD39" s="25" t="str">
        <f t="shared" ca="1" si="2"/>
        <v>&gt;60 dias</v>
      </c>
      <c r="AE39" s="25">
        <f>MONTH(Tabela1[[#This Row],[Criado em]])</f>
        <v>12</v>
      </c>
      <c r="AF39" s="25">
        <f>YEAR(Tabela1[[#This Row],[Criado em]])</f>
        <v>2025</v>
      </c>
      <c r="AG39" s="25">
        <f>COUNTIFS(Tabela1[Mês],Tabela1[[#This Row],[Mês]])</f>
        <v>207</v>
      </c>
      <c r="AH39" s="25">
        <f>COUNTIFS(Tabela1[Mês],Tabela1[[#This Row],[Mês]],Tabela1[Fase atual],"Recebido")</f>
        <v>155</v>
      </c>
      <c r="AI39" s="26">
        <f>Tabela1[[#This Row],[Recebido_ Mes]]/Tabela1[[#This Row],[Total_Mes]]</f>
        <v>0.74879227053140096</v>
      </c>
      <c r="AJ39" s="19">
        <f>COUNTIFS(Tabela1[Fase atual],"Recebido",Tabela1[Mês],Tabela1[[#This Row],[Mês]],Tabela1[Ano],Tabela1[[#This Row],[Ano]])/COUNTIF(Tabela1[Mês],Tabela1[[#This Row],[Mês]])</f>
        <v>0.74879227053140096</v>
      </c>
      <c r="AK39" s="20">
        <f>100%</f>
        <v>1</v>
      </c>
    </row>
    <row r="40" spans="1:37" ht="18" customHeight="1" x14ac:dyDescent="0.25">
      <c r="A40">
        <v>1286508807</v>
      </c>
      <c r="B40" t="s">
        <v>46</v>
      </c>
      <c r="C40" t="s">
        <v>47</v>
      </c>
      <c r="D40" t="s">
        <v>37</v>
      </c>
      <c r="E40" t="s">
        <v>31</v>
      </c>
      <c r="F40" s="2">
        <v>46045.628017835646</v>
      </c>
      <c r="AC40" s="24">
        <f t="shared" ca="1" si="1"/>
        <v>88.37198216435354</v>
      </c>
      <c r="AD40" s="25" t="str">
        <f t="shared" ca="1" si="2"/>
        <v>&gt;60 dias</v>
      </c>
      <c r="AE40" s="25">
        <f>MONTH(Tabela1[[#This Row],[Criado em]])</f>
        <v>1</v>
      </c>
      <c r="AF40" s="25">
        <f>YEAR(Tabela1[[#This Row],[Criado em]])</f>
        <v>2026</v>
      </c>
      <c r="AG40" s="25">
        <f>COUNTIFS(Tabela1[Mês],Tabela1[[#This Row],[Mês]])</f>
        <v>222</v>
      </c>
      <c r="AH40" s="25">
        <f>COUNTIFS(Tabela1[Mês],Tabela1[[#This Row],[Mês]],Tabela1[Fase atual],"Recebido")</f>
        <v>174</v>
      </c>
      <c r="AI40" s="26">
        <f>Tabela1[[#This Row],[Recebido_ Mes]]/Tabela1[[#This Row],[Total_Mes]]</f>
        <v>0.78378378378378377</v>
      </c>
      <c r="AJ40" s="19">
        <f>COUNTIFS(Tabela1[Fase atual],"Recebido",Tabela1[Mês],Tabela1[[#This Row],[Mês]],Tabela1[Ano],Tabela1[[#This Row],[Ano]])/COUNTIF(Tabela1[Mês],Tabela1[[#This Row],[Mês]])</f>
        <v>0.78378378378378377</v>
      </c>
      <c r="AK40" s="20">
        <f>100%</f>
        <v>1</v>
      </c>
    </row>
    <row r="41" spans="1:37" ht="18" customHeight="1" x14ac:dyDescent="0.25">
      <c r="A41">
        <v>1294318173</v>
      </c>
      <c r="B41" t="s">
        <v>46</v>
      </c>
      <c r="C41" t="s">
        <v>47</v>
      </c>
      <c r="D41" t="s">
        <v>37</v>
      </c>
      <c r="E41" t="s">
        <v>31</v>
      </c>
      <c r="F41" s="2">
        <v>46059.605396597217</v>
      </c>
      <c r="AC41" s="24">
        <f t="shared" ca="1" si="1"/>
        <v>74.394603402783105</v>
      </c>
      <c r="AD41" s="25" t="str">
        <f t="shared" ca="1" si="2"/>
        <v>&gt;60 dias</v>
      </c>
      <c r="AE41" s="25">
        <f>MONTH(Tabela1[[#This Row],[Criado em]])</f>
        <v>2</v>
      </c>
      <c r="AF41" s="25">
        <f>YEAR(Tabela1[[#This Row],[Criado em]])</f>
        <v>2026</v>
      </c>
      <c r="AG41" s="25">
        <f>COUNTIFS(Tabela1[Mês],Tabela1[[#This Row],[Mês]])</f>
        <v>197</v>
      </c>
      <c r="AH41" s="25">
        <f>COUNTIFS(Tabela1[Mês],Tabela1[[#This Row],[Mês]],Tabela1[Fase atual],"Recebido")</f>
        <v>124</v>
      </c>
      <c r="AI41" s="26">
        <f>Tabela1[[#This Row],[Recebido_ Mes]]/Tabela1[[#This Row],[Total_Mes]]</f>
        <v>0.62944162436548223</v>
      </c>
      <c r="AJ41" s="19">
        <f>COUNTIFS(Tabela1[Fase atual],"Recebido",Tabela1[Mês],Tabela1[[#This Row],[Mês]],Tabela1[Ano],Tabela1[[#This Row],[Ano]])/COUNTIF(Tabela1[Mês],Tabela1[[#This Row],[Mês]])</f>
        <v>0.62944162436548223</v>
      </c>
      <c r="AK41" s="20">
        <f>100%</f>
        <v>1</v>
      </c>
    </row>
    <row r="42" spans="1:37" ht="18" customHeight="1" x14ac:dyDescent="0.25">
      <c r="A42">
        <v>1294278921</v>
      </c>
      <c r="B42" t="s">
        <v>48</v>
      </c>
      <c r="C42" t="s">
        <v>49</v>
      </c>
      <c r="D42" t="s">
        <v>40</v>
      </c>
      <c r="E42" t="s">
        <v>31</v>
      </c>
      <c r="F42" s="2">
        <v>46059.566866469897</v>
      </c>
      <c r="AC42" s="24">
        <f t="shared" ca="1" si="1"/>
        <v>74.433133530103078</v>
      </c>
      <c r="AD42" s="25" t="str">
        <f t="shared" ca="1" si="2"/>
        <v>&gt;60 dias</v>
      </c>
      <c r="AE42" s="25">
        <f>MONTH(Tabela1[[#This Row],[Criado em]])</f>
        <v>2</v>
      </c>
      <c r="AF42" s="25">
        <f>YEAR(Tabela1[[#This Row],[Criado em]])</f>
        <v>2026</v>
      </c>
      <c r="AG42" s="25">
        <f>COUNTIFS(Tabela1[Mês],Tabela1[[#This Row],[Mês]])</f>
        <v>197</v>
      </c>
      <c r="AH42" s="25">
        <f>COUNTIFS(Tabela1[Mês],Tabela1[[#This Row],[Mês]],Tabela1[Fase atual],"Recebido")</f>
        <v>124</v>
      </c>
      <c r="AI42" s="26">
        <f>Tabela1[[#This Row],[Recebido_ Mes]]/Tabela1[[#This Row],[Total_Mes]]</f>
        <v>0.62944162436548223</v>
      </c>
      <c r="AJ42" s="19">
        <f>COUNTIFS(Tabela1[Fase atual],"Recebido",Tabela1[Mês],Tabela1[[#This Row],[Mês]],Tabela1[Ano],Tabela1[[#This Row],[Ano]])/COUNTIF(Tabela1[Mês],Tabela1[[#This Row],[Mês]])</f>
        <v>0.62944162436548223</v>
      </c>
      <c r="AK42" s="20">
        <f>100%</f>
        <v>1</v>
      </c>
    </row>
    <row r="43" spans="1:37" ht="18" customHeight="1" x14ac:dyDescent="0.25">
      <c r="A43">
        <v>1209249011</v>
      </c>
      <c r="B43" t="s">
        <v>434</v>
      </c>
      <c r="C43" t="s">
        <v>747</v>
      </c>
      <c r="D43" t="s">
        <v>37</v>
      </c>
      <c r="E43" t="s">
        <v>31</v>
      </c>
      <c r="F43" s="2">
        <v>45905.851257233793</v>
      </c>
      <c r="AC43" s="24">
        <f t="shared" ca="1" si="1"/>
        <v>228.14874276620685</v>
      </c>
      <c r="AD43" s="25" t="str">
        <f t="shared" ca="1" si="2"/>
        <v>&gt;60 dias</v>
      </c>
      <c r="AE43" s="25">
        <f>MONTH(Tabela1[[#This Row],[Criado em]])</f>
        <v>9</v>
      </c>
      <c r="AF43" s="25">
        <f>YEAR(Tabela1[[#This Row],[Criado em]])</f>
        <v>2025</v>
      </c>
      <c r="AG43" s="25">
        <f>COUNTIFS(Tabela1[Mês],Tabela1[[#This Row],[Mês]])</f>
        <v>197</v>
      </c>
      <c r="AH43" s="25">
        <f>COUNTIFS(Tabela1[Mês],Tabela1[[#This Row],[Mês]],Tabela1[Fase atual],"Recebido")</f>
        <v>152</v>
      </c>
      <c r="AI43" s="26">
        <f>Tabela1[[#This Row],[Recebido_ Mes]]/Tabela1[[#This Row],[Total_Mes]]</f>
        <v>0.77157360406091369</v>
      </c>
      <c r="AJ43" s="19">
        <f>COUNTIFS(Tabela1[Fase atual],"Recebido",Tabela1[Mês],Tabela1[[#This Row],[Mês]],Tabela1[Ano],Tabela1[[#This Row],[Ano]])/COUNTIF(Tabela1[Mês],Tabela1[[#This Row],[Mês]])</f>
        <v>0.77157360406091369</v>
      </c>
      <c r="AK43" s="20">
        <f>100%</f>
        <v>1</v>
      </c>
    </row>
    <row r="44" spans="1:37" ht="18" customHeight="1" x14ac:dyDescent="0.25">
      <c r="A44">
        <v>1176661569</v>
      </c>
      <c r="B44" t="s">
        <v>748</v>
      </c>
      <c r="C44" t="s">
        <v>749</v>
      </c>
      <c r="D44" t="s">
        <v>37</v>
      </c>
      <c r="E44" t="s">
        <v>31</v>
      </c>
      <c r="F44" s="2">
        <v>45853.642675983792</v>
      </c>
      <c r="AC44" s="24">
        <f t="shared" ca="1" si="1"/>
        <v>280.35732401620771</v>
      </c>
      <c r="AD44" s="25" t="str">
        <f t="shared" ca="1" si="2"/>
        <v>&gt;60 dias</v>
      </c>
      <c r="AE44" s="25">
        <f>MONTH(Tabela1[[#This Row],[Criado em]])</f>
        <v>7</v>
      </c>
      <c r="AF44" s="25">
        <f>YEAR(Tabela1[[#This Row],[Criado em]])</f>
        <v>2025</v>
      </c>
      <c r="AG44" s="25">
        <f>COUNTIFS(Tabela1[Mês],Tabela1[[#This Row],[Mês]])</f>
        <v>177</v>
      </c>
      <c r="AH44" s="25">
        <f>COUNTIFS(Tabela1[Mês],Tabela1[[#This Row],[Mês]],Tabela1[Fase atual],"Recebido")</f>
        <v>130</v>
      </c>
      <c r="AI44" s="26">
        <f>Tabela1[[#This Row],[Recebido_ Mes]]/Tabela1[[#This Row],[Total_Mes]]</f>
        <v>0.7344632768361582</v>
      </c>
      <c r="AJ44" s="19">
        <f>COUNTIFS(Tabela1[Fase atual],"Recebido",Tabela1[Mês],Tabela1[[#This Row],[Mês]],Tabela1[Ano],Tabela1[[#This Row],[Ano]])/COUNTIF(Tabela1[Mês],Tabela1[[#This Row],[Mês]])</f>
        <v>0.7344632768361582</v>
      </c>
      <c r="AK44" s="20">
        <f>100%</f>
        <v>1</v>
      </c>
    </row>
    <row r="45" spans="1:37" ht="18" customHeight="1" x14ac:dyDescent="0.25">
      <c r="A45">
        <v>1185365172</v>
      </c>
      <c r="B45" t="s">
        <v>640</v>
      </c>
      <c r="C45" t="s">
        <v>750</v>
      </c>
      <c r="D45" t="s">
        <v>37</v>
      </c>
      <c r="E45" t="s">
        <v>31</v>
      </c>
      <c r="F45" s="2">
        <v>45867.851815312497</v>
      </c>
      <c r="AC45" s="24">
        <f t="shared" ca="1" si="1"/>
        <v>266.14818468750309</v>
      </c>
      <c r="AD45" s="25" t="str">
        <f t="shared" ca="1" si="2"/>
        <v>&gt;60 dias</v>
      </c>
      <c r="AE45" s="25">
        <f>MONTH(Tabela1[[#This Row],[Criado em]])</f>
        <v>7</v>
      </c>
      <c r="AF45" s="25">
        <f>YEAR(Tabela1[[#This Row],[Criado em]])</f>
        <v>2025</v>
      </c>
      <c r="AG45" s="25">
        <f>COUNTIFS(Tabela1[Mês],Tabela1[[#This Row],[Mês]])</f>
        <v>177</v>
      </c>
      <c r="AH45" s="25">
        <f>COUNTIFS(Tabela1[Mês],Tabela1[[#This Row],[Mês]],Tabela1[Fase atual],"Recebido")</f>
        <v>130</v>
      </c>
      <c r="AI45" s="26">
        <f>Tabela1[[#This Row],[Recebido_ Mes]]/Tabela1[[#This Row],[Total_Mes]]</f>
        <v>0.7344632768361582</v>
      </c>
      <c r="AJ45" s="19">
        <f>COUNTIFS(Tabela1[Fase atual],"Recebido",Tabela1[Mês],Tabela1[[#This Row],[Mês]],Tabela1[Ano],Tabela1[[#This Row],[Ano]])/COUNTIF(Tabela1[Mês],Tabela1[[#This Row],[Mês]])</f>
        <v>0.7344632768361582</v>
      </c>
      <c r="AK45" s="20">
        <f>100%</f>
        <v>1</v>
      </c>
    </row>
    <row r="46" spans="1:37" ht="18" customHeight="1" x14ac:dyDescent="0.25">
      <c r="A46">
        <v>1250990861</v>
      </c>
      <c r="B46" t="s">
        <v>751</v>
      </c>
      <c r="C46" t="s">
        <v>752</v>
      </c>
      <c r="D46" t="s">
        <v>37</v>
      </c>
      <c r="E46" t="s">
        <v>31</v>
      </c>
      <c r="F46" s="2">
        <v>45967.627301388893</v>
      </c>
      <c r="AC46" s="24">
        <f t="shared" ca="1" si="1"/>
        <v>166.3726986111069</v>
      </c>
      <c r="AD46" s="25" t="str">
        <f t="shared" ca="1" si="2"/>
        <v>&gt;60 dias</v>
      </c>
      <c r="AE46" s="25">
        <f>MONTH(Tabela1[[#This Row],[Criado em]])</f>
        <v>11</v>
      </c>
      <c r="AF46" s="25">
        <f>YEAR(Tabela1[[#This Row],[Criado em]])</f>
        <v>2025</v>
      </c>
      <c r="AG46" s="25">
        <f>COUNTIFS(Tabela1[Mês],Tabela1[[#This Row],[Mês]])</f>
        <v>130</v>
      </c>
      <c r="AH46" s="25">
        <f>COUNTIFS(Tabela1[Mês],Tabela1[[#This Row],[Mês]],Tabela1[Fase atual],"Recebido")</f>
        <v>100</v>
      </c>
      <c r="AI46" s="26">
        <f>Tabela1[[#This Row],[Recebido_ Mes]]/Tabela1[[#This Row],[Total_Mes]]</f>
        <v>0.76923076923076927</v>
      </c>
      <c r="AJ46" s="19">
        <f>COUNTIFS(Tabela1[Fase atual],"Recebido",Tabela1[Mês],Tabela1[[#This Row],[Mês]],Tabela1[Ano],Tabela1[[#This Row],[Ano]])/COUNTIF(Tabela1[Mês],Tabela1[[#This Row],[Mês]])</f>
        <v>0.76923076923076927</v>
      </c>
      <c r="AK46" s="20">
        <f>100%</f>
        <v>1</v>
      </c>
    </row>
    <row r="47" spans="1:37" ht="18" customHeight="1" x14ac:dyDescent="0.25">
      <c r="A47">
        <v>1191610856</v>
      </c>
      <c r="B47" t="s">
        <v>251</v>
      </c>
      <c r="C47" t="s">
        <v>753</v>
      </c>
      <c r="D47" t="s">
        <v>37</v>
      </c>
      <c r="E47" t="s">
        <v>31</v>
      </c>
      <c r="F47" s="2">
        <v>45877.851287534722</v>
      </c>
      <c r="AC47" s="24">
        <f t="shared" ca="1" si="1"/>
        <v>256.14871246527764</v>
      </c>
      <c r="AD47" s="25" t="str">
        <f t="shared" ca="1" si="2"/>
        <v>&gt;60 dias</v>
      </c>
      <c r="AE47" s="25">
        <f>MONTH(Tabela1[[#This Row],[Criado em]])</f>
        <v>8</v>
      </c>
      <c r="AF47" s="25">
        <f>YEAR(Tabela1[[#This Row],[Criado em]])</f>
        <v>2025</v>
      </c>
      <c r="AG47" s="25">
        <f>COUNTIFS(Tabela1[Mês],Tabela1[[#This Row],[Mês]])</f>
        <v>146</v>
      </c>
      <c r="AH47" s="25">
        <f>COUNTIFS(Tabela1[Mês],Tabela1[[#This Row],[Mês]],Tabela1[Fase atual],"Recebido")</f>
        <v>115</v>
      </c>
      <c r="AI47" s="26">
        <f>Tabela1[[#This Row],[Recebido_ Mes]]/Tabela1[[#This Row],[Total_Mes]]</f>
        <v>0.78767123287671237</v>
      </c>
      <c r="AJ47" s="19">
        <f>COUNTIFS(Tabela1[Fase atual],"Recebido",Tabela1[Mês],Tabela1[[#This Row],[Mês]],Tabela1[Ano],Tabela1[[#This Row],[Ano]])/COUNTIF(Tabela1[Mês],Tabela1[[#This Row],[Mês]])</f>
        <v>0.78767123287671237</v>
      </c>
      <c r="AK47" s="20">
        <f>100%</f>
        <v>1</v>
      </c>
    </row>
    <row r="48" spans="1:37" ht="18" customHeight="1" x14ac:dyDescent="0.25">
      <c r="A48">
        <v>1191610495</v>
      </c>
      <c r="B48" t="s">
        <v>754</v>
      </c>
      <c r="C48" t="s">
        <v>755</v>
      </c>
      <c r="D48" t="s">
        <v>37</v>
      </c>
      <c r="E48" t="s">
        <v>31</v>
      </c>
      <c r="F48" s="2">
        <v>45877.851089965283</v>
      </c>
      <c r="AC48" s="24">
        <f t="shared" ca="1" si="1"/>
        <v>256.14891003471712</v>
      </c>
      <c r="AD48" s="25" t="str">
        <f t="shared" ca="1" si="2"/>
        <v>&gt;60 dias</v>
      </c>
      <c r="AE48" s="25">
        <f>MONTH(Tabela1[[#This Row],[Criado em]])</f>
        <v>8</v>
      </c>
      <c r="AF48" s="25">
        <f>YEAR(Tabela1[[#This Row],[Criado em]])</f>
        <v>2025</v>
      </c>
      <c r="AG48" s="25">
        <f>COUNTIFS(Tabela1[Mês],Tabela1[[#This Row],[Mês]])</f>
        <v>146</v>
      </c>
      <c r="AH48" s="25">
        <f>COUNTIFS(Tabela1[Mês],Tabela1[[#This Row],[Mês]],Tabela1[Fase atual],"Recebido")</f>
        <v>115</v>
      </c>
      <c r="AI48" s="26">
        <f>Tabela1[[#This Row],[Recebido_ Mes]]/Tabela1[[#This Row],[Total_Mes]]</f>
        <v>0.78767123287671237</v>
      </c>
      <c r="AJ48" s="19">
        <f>COUNTIFS(Tabela1[Fase atual],"Recebido",Tabela1[Mês],Tabela1[[#This Row],[Mês]],Tabela1[Ano],Tabela1[[#This Row],[Ano]])/COUNTIF(Tabela1[Mês],Tabela1[[#This Row],[Mês]])</f>
        <v>0.78767123287671237</v>
      </c>
      <c r="AK48" s="20">
        <f>100%</f>
        <v>1</v>
      </c>
    </row>
    <row r="49" spans="1:37" ht="18" customHeight="1" x14ac:dyDescent="0.25">
      <c r="A49">
        <v>1206100754</v>
      </c>
      <c r="B49" t="s">
        <v>756</v>
      </c>
      <c r="C49" t="s">
        <v>757</v>
      </c>
      <c r="D49" t="s">
        <v>37</v>
      </c>
      <c r="E49" t="s">
        <v>31</v>
      </c>
      <c r="F49" s="2">
        <v>45901.851224456019</v>
      </c>
      <c r="AC49" s="24">
        <f t="shared" ca="1" si="1"/>
        <v>232.14877554398117</v>
      </c>
      <c r="AD49" s="25" t="str">
        <f t="shared" ca="1" si="2"/>
        <v>&gt;60 dias</v>
      </c>
      <c r="AE49" s="25">
        <f>MONTH(Tabela1[[#This Row],[Criado em]])</f>
        <v>9</v>
      </c>
      <c r="AF49" s="25">
        <f>YEAR(Tabela1[[#This Row],[Criado em]])</f>
        <v>2025</v>
      </c>
      <c r="AG49" s="25">
        <f>COUNTIFS(Tabela1[Mês],Tabela1[[#This Row],[Mês]])</f>
        <v>197</v>
      </c>
      <c r="AH49" s="25">
        <f>COUNTIFS(Tabela1[Mês],Tabela1[[#This Row],[Mês]],Tabela1[Fase atual],"Recebido")</f>
        <v>152</v>
      </c>
      <c r="AI49" s="26">
        <f>Tabela1[[#This Row],[Recebido_ Mes]]/Tabela1[[#This Row],[Total_Mes]]</f>
        <v>0.77157360406091369</v>
      </c>
      <c r="AJ49" s="19">
        <f>COUNTIFS(Tabela1[Fase atual],"Recebido",Tabela1[Mês],Tabela1[[#This Row],[Mês]],Tabela1[Ano],Tabela1[[#This Row],[Ano]])/COUNTIF(Tabela1[Mês],Tabela1[[#This Row],[Mês]])</f>
        <v>0.77157360406091369</v>
      </c>
      <c r="AK49" s="20">
        <f>100%</f>
        <v>1</v>
      </c>
    </row>
    <row r="50" spans="1:37" ht="18" customHeight="1" x14ac:dyDescent="0.25">
      <c r="A50">
        <v>1264088990</v>
      </c>
      <c r="B50" t="s">
        <v>758</v>
      </c>
      <c r="C50" t="s">
        <v>758</v>
      </c>
      <c r="D50" t="s">
        <v>37</v>
      </c>
      <c r="E50" t="s">
        <v>31</v>
      </c>
      <c r="F50" s="2">
        <v>45995.630176932871</v>
      </c>
      <c r="AC50" s="24">
        <f t="shared" ca="1" si="1"/>
        <v>138.36982306712889</v>
      </c>
      <c r="AD50" s="25" t="str">
        <f t="shared" ca="1" si="2"/>
        <v>&gt;60 dias</v>
      </c>
      <c r="AE50" s="25">
        <f>MONTH(Tabela1[[#This Row],[Criado em]])</f>
        <v>12</v>
      </c>
      <c r="AF50" s="25">
        <f>YEAR(Tabela1[[#This Row],[Criado em]])</f>
        <v>2025</v>
      </c>
      <c r="AG50" s="25">
        <f>COUNTIFS(Tabela1[Mês],Tabela1[[#This Row],[Mês]])</f>
        <v>207</v>
      </c>
      <c r="AH50" s="25">
        <f>COUNTIFS(Tabela1[Mês],Tabela1[[#This Row],[Mês]],Tabela1[Fase atual],"Recebido")</f>
        <v>155</v>
      </c>
      <c r="AI50" s="26">
        <f>Tabela1[[#This Row],[Recebido_ Mes]]/Tabela1[[#This Row],[Total_Mes]]</f>
        <v>0.74879227053140096</v>
      </c>
      <c r="AJ50" s="19">
        <f>COUNTIFS(Tabela1[Fase atual],"Recebido",Tabela1[Mês],Tabela1[[#This Row],[Mês]],Tabela1[Ano],Tabela1[[#This Row],[Ano]])/COUNTIF(Tabela1[Mês],Tabela1[[#This Row],[Mês]])</f>
        <v>0.74879227053140096</v>
      </c>
      <c r="AK50" s="20">
        <f>100%</f>
        <v>1</v>
      </c>
    </row>
    <row r="51" spans="1:37" ht="18" customHeight="1" x14ac:dyDescent="0.25">
      <c r="A51">
        <v>1272141232</v>
      </c>
      <c r="B51" t="s">
        <v>759</v>
      </c>
      <c r="C51" t="s">
        <v>760</v>
      </c>
      <c r="D51" t="s">
        <v>40</v>
      </c>
      <c r="E51" t="s">
        <v>31</v>
      </c>
      <c r="F51" s="2">
        <v>46014.797644444443</v>
      </c>
      <c r="AC51" s="24">
        <f t="shared" ca="1" si="1"/>
        <v>119.20235555555701</v>
      </c>
      <c r="AD51" s="25" t="str">
        <f t="shared" ca="1" si="2"/>
        <v>&gt;60 dias</v>
      </c>
      <c r="AE51" s="25">
        <f>MONTH(Tabela1[[#This Row],[Criado em]])</f>
        <v>12</v>
      </c>
      <c r="AF51" s="25">
        <f>YEAR(Tabela1[[#This Row],[Criado em]])</f>
        <v>2025</v>
      </c>
      <c r="AG51" s="25">
        <f>COUNTIFS(Tabela1[Mês],Tabela1[[#This Row],[Mês]])</f>
        <v>207</v>
      </c>
      <c r="AH51" s="25">
        <f>COUNTIFS(Tabela1[Mês],Tabela1[[#This Row],[Mês]],Tabela1[Fase atual],"Recebido")</f>
        <v>155</v>
      </c>
      <c r="AI51" s="26">
        <f>Tabela1[[#This Row],[Recebido_ Mes]]/Tabela1[[#This Row],[Total_Mes]]</f>
        <v>0.74879227053140096</v>
      </c>
      <c r="AJ51" s="19">
        <f>COUNTIFS(Tabela1[Fase atual],"Recebido",Tabela1[Mês],Tabela1[[#This Row],[Mês]],Tabela1[Ano],Tabela1[[#This Row],[Ano]])/COUNTIF(Tabela1[Mês],Tabela1[[#This Row],[Mês]])</f>
        <v>0.74879227053140096</v>
      </c>
      <c r="AK51" s="20">
        <f>100%</f>
        <v>1</v>
      </c>
    </row>
    <row r="52" spans="1:37" ht="18" customHeight="1" x14ac:dyDescent="0.25">
      <c r="A52">
        <v>1213260428</v>
      </c>
      <c r="B52" t="s">
        <v>703</v>
      </c>
      <c r="C52" t="s">
        <v>761</v>
      </c>
      <c r="D52" t="s">
        <v>37</v>
      </c>
      <c r="E52" t="s">
        <v>31</v>
      </c>
      <c r="F52" s="2">
        <v>45912.644761539363</v>
      </c>
      <c r="AC52" s="24">
        <f t="shared" ca="1" si="1"/>
        <v>221.35523846063734</v>
      </c>
      <c r="AD52" s="25" t="str">
        <f t="shared" ca="1" si="2"/>
        <v>&gt;60 dias</v>
      </c>
      <c r="AE52" s="25">
        <f>MONTH(Tabela1[[#This Row],[Criado em]])</f>
        <v>9</v>
      </c>
      <c r="AF52" s="25">
        <f>YEAR(Tabela1[[#This Row],[Criado em]])</f>
        <v>2025</v>
      </c>
      <c r="AG52" s="25">
        <f>COUNTIFS(Tabela1[Mês],Tabela1[[#This Row],[Mês]])</f>
        <v>197</v>
      </c>
      <c r="AH52" s="25">
        <f>COUNTIFS(Tabela1[Mês],Tabela1[[#This Row],[Mês]],Tabela1[Fase atual],"Recebido")</f>
        <v>152</v>
      </c>
      <c r="AI52" s="26">
        <f>Tabela1[[#This Row],[Recebido_ Mes]]/Tabela1[[#This Row],[Total_Mes]]</f>
        <v>0.77157360406091369</v>
      </c>
      <c r="AJ52" s="19">
        <f>COUNTIFS(Tabela1[Fase atual],"Recebido",Tabela1[Mês],Tabela1[[#This Row],[Mês]],Tabela1[Ano],Tabela1[[#This Row],[Ano]])/COUNTIF(Tabela1[Mês],Tabela1[[#This Row],[Mês]])</f>
        <v>0.77157360406091369</v>
      </c>
      <c r="AK52" s="20">
        <f>100%</f>
        <v>1</v>
      </c>
    </row>
    <row r="53" spans="1:37" ht="18" customHeight="1" x14ac:dyDescent="0.25">
      <c r="A53">
        <v>1255064412</v>
      </c>
      <c r="B53" t="s">
        <v>762</v>
      </c>
      <c r="C53" t="s">
        <v>763</v>
      </c>
      <c r="D53" t="s">
        <v>37</v>
      </c>
      <c r="E53" t="s">
        <v>31</v>
      </c>
      <c r="F53" s="2">
        <v>45975.794127094909</v>
      </c>
      <c r="AC53" s="24">
        <f t="shared" ca="1" si="1"/>
        <v>158.20587290509138</v>
      </c>
      <c r="AD53" s="25" t="str">
        <f t="shared" ca="1" si="2"/>
        <v>&gt;60 dias</v>
      </c>
      <c r="AE53" s="25">
        <f>MONTH(Tabela1[[#This Row],[Criado em]])</f>
        <v>11</v>
      </c>
      <c r="AF53" s="25">
        <f>YEAR(Tabela1[[#This Row],[Criado em]])</f>
        <v>2025</v>
      </c>
      <c r="AG53" s="25">
        <f>COUNTIFS(Tabela1[Mês],Tabela1[[#This Row],[Mês]])</f>
        <v>130</v>
      </c>
      <c r="AH53" s="25">
        <f>COUNTIFS(Tabela1[Mês],Tabela1[[#This Row],[Mês]],Tabela1[Fase atual],"Recebido")</f>
        <v>100</v>
      </c>
      <c r="AI53" s="26">
        <f>Tabela1[[#This Row],[Recebido_ Mes]]/Tabela1[[#This Row],[Total_Mes]]</f>
        <v>0.76923076923076927</v>
      </c>
      <c r="AJ53" s="19">
        <f>COUNTIFS(Tabela1[Fase atual],"Recebido",Tabela1[Mês],Tabela1[[#This Row],[Mês]],Tabela1[Ano],Tabela1[[#This Row],[Ano]])/COUNTIF(Tabela1[Mês],Tabela1[[#This Row],[Mês]])</f>
        <v>0.76923076923076927</v>
      </c>
      <c r="AK53" s="20">
        <f>100%</f>
        <v>1</v>
      </c>
    </row>
    <row r="54" spans="1:37" ht="18" customHeight="1" x14ac:dyDescent="0.25">
      <c r="A54">
        <v>1290573007</v>
      </c>
      <c r="B54" t="s">
        <v>50</v>
      </c>
      <c r="C54" t="s">
        <v>51</v>
      </c>
      <c r="D54" t="s">
        <v>37</v>
      </c>
      <c r="E54" t="s">
        <v>31</v>
      </c>
      <c r="F54" s="2">
        <v>46051.796170729169</v>
      </c>
      <c r="AC54" s="24">
        <f t="shared" ca="1" si="1"/>
        <v>82.203829270831193</v>
      </c>
      <c r="AD54" s="25" t="str">
        <f t="shared" ca="1" si="2"/>
        <v>&gt;60 dias</v>
      </c>
      <c r="AE54" s="25">
        <f>MONTH(Tabela1[[#This Row],[Criado em]])</f>
        <v>1</v>
      </c>
      <c r="AF54" s="25">
        <f>YEAR(Tabela1[[#This Row],[Criado em]])</f>
        <v>2026</v>
      </c>
      <c r="AG54" s="25">
        <f>COUNTIFS(Tabela1[Mês],Tabela1[[#This Row],[Mês]])</f>
        <v>222</v>
      </c>
      <c r="AH54" s="25">
        <f>COUNTIFS(Tabela1[Mês],Tabela1[[#This Row],[Mês]],Tabela1[Fase atual],"Recebido")</f>
        <v>174</v>
      </c>
      <c r="AI54" s="26">
        <f>Tabela1[[#This Row],[Recebido_ Mes]]/Tabela1[[#This Row],[Total_Mes]]</f>
        <v>0.78378378378378377</v>
      </c>
      <c r="AJ54" s="19">
        <f>COUNTIFS(Tabela1[Fase atual],"Recebido",Tabela1[Mês],Tabela1[[#This Row],[Mês]],Tabela1[Ano],Tabela1[[#This Row],[Ano]])/COUNTIF(Tabela1[Mês],Tabela1[[#This Row],[Mês]])</f>
        <v>0.78378378378378377</v>
      </c>
      <c r="AK54" s="20">
        <f>100%</f>
        <v>1</v>
      </c>
    </row>
    <row r="55" spans="1:37" ht="18" customHeight="1" x14ac:dyDescent="0.25">
      <c r="A55">
        <v>1236648063</v>
      </c>
      <c r="B55" t="s">
        <v>764</v>
      </c>
      <c r="C55" t="s">
        <v>765</v>
      </c>
      <c r="D55" t="s">
        <v>37</v>
      </c>
      <c r="E55" t="s">
        <v>31</v>
      </c>
      <c r="F55" s="2">
        <v>45945.79904111111</v>
      </c>
      <c r="AC55" s="24">
        <f t="shared" ca="1" si="1"/>
        <v>188.20095888889045</v>
      </c>
      <c r="AD55" s="25" t="str">
        <f t="shared" ca="1" si="2"/>
        <v>&gt;60 dias</v>
      </c>
      <c r="AE55" s="25">
        <f>MONTH(Tabela1[[#This Row],[Criado em]])</f>
        <v>10</v>
      </c>
      <c r="AF55" s="25">
        <f>YEAR(Tabela1[[#This Row],[Criado em]])</f>
        <v>2025</v>
      </c>
      <c r="AG55" s="25">
        <f>COUNTIFS(Tabela1[Mês],Tabela1[[#This Row],[Mês]])</f>
        <v>196</v>
      </c>
      <c r="AH55" s="25">
        <f>COUNTIFS(Tabela1[Mês],Tabela1[[#This Row],[Mês]],Tabela1[Fase atual],"Recebido")</f>
        <v>138</v>
      </c>
      <c r="AI55" s="26">
        <f>Tabela1[[#This Row],[Recebido_ Mes]]/Tabela1[[#This Row],[Total_Mes]]</f>
        <v>0.70408163265306123</v>
      </c>
      <c r="AJ55" s="19">
        <f>COUNTIFS(Tabela1[Fase atual],"Recebido",Tabela1[Mês],Tabela1[[#This Row],[Mês]],Tabela1[Ano],Tabela1[[#This Row],[Ano]])/COUNTIF(Tabela1[Mês],Tabela1[[#This Row],[Mês]])</f>
        <v>0.70408163265306123</v>
      </c>
      <c r="AK55" s="20">
        <f>100%</f>
        <v>1</v>
      </c>
    </row>
    <row r="56" spans="1:37" ht="18" customHeight="1" x14ac:dyDescent="0.25">
      <c r="A56">
        <v>1251287900</v>
      </c>
      <c r="C56" t="s">
        <v>766</v>
      </c>
      <c r="D56" t="s">
        <v>37</v>
      </c>
      <c r="E56" t="s">
        <v>524</v>
      </c>
      <c r="F56" s="2">
        <v>45967.848325497689</v>
      </c>
      <c r="AC56" s="24">
        <f t="shared" ca="1" si="1"/>
        <v>166.15167450231093</v>
      </c>
      <c r="AD56" s="25" t="str">
        <f t="shared" ca="1" si="2"/>
        <v>&gt;60 dias</v>
      </c>
      <c r="AE56" s="25">
        <f>MONTH(Tabela1[[#This Row],[Criado em]])</f>
        <v>11</v>
      </c>
      <c r="AF56" s="25">
        <f>YEAR(Tabela1[[#This Row],[Criado em]])</f>
        <v>2025</v>
      </c>
      <c r="AG56" s="25">
        <f>COUNTIFS(Tabela1[Mês],Tabela1[[#This Row],[Mês]])</f>
        <v>130</v>
      </c>
      <c r="AH56" s="25">
        <f>COUNTIFS(Tabela1[Mês],Tabela1[[#This Row],[Mês]],Tabela1[Fase atual],"Recebido")</f>
        <v>100</v>
      </c>
      <c r="AI56" s="26">
        <f>Tabela1[[#This Row],[Recebido_ Mes]]/Tabela1[[#This Row],[Total_Mes]]</f>
        <v>0.76923076923076927</v>
      </c>
      <c r="AJ56" s="19">
        <f>COUNTIFS(Tabela1[Fase atual],"Recebido",Tabela1[Mês],Tabela1[[#This Row],[Mês]],Tabela1[Ano],Tabela1[[#This Row],[Ano]])/COUNTIF(Tabela1[Mês],Tabela1[[#This Row],[Mês]])</f>
        <v>0.76923076923076927</v>
      </c>
      <c r="AK56" s="20">
        <f>100%</f>
        <v>1</v>
      </c>
    </row>
    <row r="57" spans="1:37" ht="18" customHeight="1" x14ac:dyDescent="0.25">
      <c r="A57">
        <v>1264835476</v>
      </c>
      <c r="B57" t="s">
        <v>52</v>
      </c>
      <c r="C57" t="s">
        <v>53</v>
      </c>
      <c r="D57" t="s">
        <v>37</v>
      </c>
      <c r="E57" t="s">
        <v>31</v>
      </c>
      <c r="F57" s="2">
        <v>45996.92211861111</v>
      </c>
      <c r="AC57" s="24">
        <f t="shared" ca="1" si="1"/>
        <v>137.07788138889009</v>
      </c>
      <c r="AD57" s="25" t="str">
        <f t="shared" ca="1" si="2"/>
        <v>&gt;60 dias</v>
      </c>
      <c r="AE57" s="25">
        <f>MONTH(Tabela1[[#This Row],[Criado em]])</f>
        <v>12</v>
      </c>
      <c r="AF57" s="25">
        <f>YEAR(Tabela1[[#This Row],[Criado em]])</f>
        <v>2025</v>
      </c>
      <c r="AG57" s="25">
        <f>COUNTIFS(Tabela1[Mês],Tabela1[[#This Row],[Mês]])</f>
        <v>207</v>
      </c>
      <c r="AH57" s="25">
        <f>COUNTIFS(Tabela1[Mês],Tabela1[[#This Row],[Mês]],Tabela1[Fase atual],"Recebido")</f>
        <v>155</v>
      </c>
      <c r="AI57" s="26">
        <f>Tabela1[[#This Row],[Recebido_ Mes]]/Tabela1[[#This Row],[Total_Mes]]</f>
        <v>0.74879227053140096</v>
      </c>
      <c r="AJ57" s="19">
        <f>COUNTIFS(Tabela1[Fase atual],"Recebido",Tabela1[Mês],Tabela1[[#This Row],[Mês]],Tabela1[Ano],Tabela1[[#This Row],[Ano]])/COUNTIF(Tabela1[Mês],Tabela1[[#This Row],[Mês]])</f>
        <v>0.74879227053140096</v>
      </c>
      <c r="AK57" s="20">
        <f>100%</f>
        <v>1</v>
      </c>
    </row>
    <row r="58" spans="1:37" ht="18" customHeight="1" x14ac:dyDescent="0.25">
      <c r="A58">
        <v>1299196137</v>
      </c>
      <c r="B58" t="s">
        <v>52</v>
      </c>
      <c r="C58" t="s">
        <v>53</v>
      </c>
      <c r="D58" t="s">
        <v>37</v>
      </c>
      <c r="E58" t="s">
        <v>31</v>
      </c>
      <c r="F58" s="2">
        <v>46071.920162430557</v>
      </c>
      <c r="AC58" s="24">
        <f t="shared" ca="1" si="1"/>
        <v>62.079837569443043</v>
      </c>
      <c r="AD58" s="25" t="str">
        <f t="shared" ca="1" si="2"/>
        <v>&gt;60 dias</v>
      </c>
      <c r="AE58" s="25">
        <f>MONTH(Tabela1[[#This Row],[Criado em]])</f>
        <v>2</v>
      </c>
      <c r="AF58" s="25">
        <f>YEAR(Tabela1[[#This Row],[Criado em]])</f>
        <v>2026</v>
      </c>
      <c r="AG58" s="25">
        <f>COUNTIFS(Tabela1[Mês],Tabela1[[#This Row],[Mês]])</f>
        <v>197</v>
      </c>
      <c r="AH58" s="25">
        <f>COUNTIFS(Tabela1[Mês],Tabela1[[#This Row],[Mês]],Tabela1[Fase atual],"Recebido")</f>
        <v>124</v>
      </c>
      <c r="AI58" s="26">
        <f>Tabela1[[#This Row],[Recebido_ Mes]]/Tabela1[[#This Row],[Total_Mes]]</f>
        <v>0.62944162436548223</v>
      </c>
      <c r="AJ58" s="19">
        <f>COUNTIFS(Tabela1[Fase atual],"Recebido",Tabela1[Mês],Tabela1[[#This Row],[Mês]],Tabela1[Ano],Tabela1[[#This Row],[Ano]])/COUNTIF(Tabela1[Mês],Tabela1[[#This Row],[Mês]])</f>
        <v>0.62944162436548223</v>
      </c>
      <c r="AK58" s="20">
        <f>100%</f>
        <v>1</v>
      </c>
    </row>
    <row r="59" spans="1:37" ht="18" customHeight="1" x14ac:dyDescent="0.25">
      <c r="A59">
        <v>1178243236</v>
      </c>
      <c r="B59" t="s">
        <v>767</v>
      </c>
      <c r="C59" t="s">
        <v>768</v>
      </c>
      <c r="D59" t="s">
        <v>37</v>
      </c>
      <c r="E59" t="s">
        <v>31</v>
      </c>
      <c r="F59" s="2">
        <v>45855.849704317123</v>
      </c>
      <c r="AC59" s="24">
        <f t="shared" ca="1" si="1"/>
        <v>278.15029568287719</v>
      </c>
      <c r="AD59" s="25" t="str">
        <f t="shared" ca="1" si="2"/>
        <v>&gt;60 dias</v>
      </c>
      <c r="AE59" s="25">
        <f>MONTH(Tabela1[[#This Row],[Criado em]])</f>
        <v>7</v>
      </c>
      <c r="AF59" s="25">
        <f>YEAR(Tabela1[[#This Row],[Criado em]])</f>
        <v>2025</v>
      </c>
      <c r="AG59" s="25">
        <f>COUNTIFS(Tabela1[Mês],Tabela1[[#This Row],[Mês]])</f>
        <v>177</v>
      </c>
      <c r="AH59" s="25">
        <f>COUNTIFS(Tabela1[Mês],Tabela1[[#This Row],[Mês]],Tabela1[Fase atual],"Recebido")</f>
        <v>130</v>
      </c>
      <c r="AI59" s="26">
        <f>Tabela1[[#This Row],[Recebido_ Mes]]/Tabela1[[#This Row],[Total_Mes]]</f>
        <v>0.7344632768361582</v>
      </c>
      <c r="AJ59" s="19">
        <f>COUNTIFS(Tabela1[Fase atual],"Recebido",Tabela1[Mês],Tabela1[[#This Row],[Mês]],Tabela1[Ano],Tabela1[[#This Row],[Ano]])/COUNTIF(Tabela1[Mês],Tabela1[[#This Row],[Mês]])</f>
        <v>0.7344632768361582</v>
      </c>
      <c r="AK59" s="20">
        <f>100%</f>
        <v>1</v>
      </c>
    </row>
    <row r="60" spans="1:37" ht="18" customHeight="1" x14ac:dyDescent="0.25">
      <c r="A60">
        <v>1258573507</v>
      </c>
      <c r="B60" t="s">
        <v>769</v>
      </c>
      <c r="C60" t="s">
        <v>770</v>
      </c>
      <c r="D60" t="s">
        <v>37</v>
      </c>
      <c r="E60" t="s">
        <v>31</v>
      </c>
      <c r="F60" s="2">
        <v>45985.545440520829</v>
      </c>
      <c r="AC60" s="24">
        <f t="shared" ca="1" si="1"/>
        <v>148.45455947917071</v>
      </c>
      <c r="AD60" s="25" t="str">
        <f t="shared" ca="1" si="2"/>
        <v>&gt;60 dias</v>
      </c>
      <c r="AE60" s="25">
        <f>MONTH(Tabela1[[#This Row],[Criado em]])</f>
        <v>11</v>
      </c>
      <c r="AF60" s="25">
        <f>YEAR(Tabela1[[#This Row],[Criado em]])</f>
        <v>2025</v>
      </c>
      <c r="AG60" s="25">
        <f>COUNTIFS(Tabela1[Mês],Tabela1[[#This Row],[Mês]])</f>
        <v>130</v>
      </c>
      <c r="AH60" s="25">
        <f>COUNTIFS(Tabela1[Mês],Tabela1[[#This Row],[Mês]],Tabela1[Fase atual],"Recebido")</f>
        <v>100</v>
      </c>
      <c r="AI60" s="26">
        <f>Tabela1[[#This Row],[Recebido_ Mes]]/Tabela1[[#This Row],[Total_Mes]]</f>
        <v>0.76923076923076927</v>
      </c>
      <c r="AJ60" s="19">
        <f>COUNTIFS(Tabela1[Fase atual],"Recebido",Tabela1[Mês],Tabela1[[#This Row],[Mês]],Tabela1[Ano],Tabela1[[#This Row],[Ano]])/COUNTIF(Tabela1[Mês],Tabela1[[#This Row],[Mês]])</f>
        <v>0.76923076923076927</v>
      </c>
      <c r="AK60" s="20">
        <f>100%</f>
        <v>1</v>
      </c>
    </row>
    <row r="61" spans="1:37" ht="18" customHeight="1" x14ac:dyDescent="0.25">
      <c r="A61">
        <v>1228790595</v>
      </c>
      <c r="B61" t="s">
        <v>771</v>
      </c>
      <c r="C61" t="s">
        <v>772</v>
      </c>
      <c r="D61" t="s">
        <v>37</v>
      </c>
      <c r="E61" t="s">
        <v>31</v>
      </c>
      <c r="F61" s="2">
        <v>45936.594843182873</v>
      </c>
      <c r="AC61" s="24">
        <f t="shared" ca="1" si="1"/>
        <v>197.40515681712714</v>
      </c>
      <c r="AD61" s="25" t="str">
        <f t="shared" ca="1" si="2"/>
        <v>&gt;60 dias</v>
      </c>
      <c r="AE61" s="25">
        <f>MONTH(Tabela1[[#This Row],[Criado em]])</f>
        <v>10</v>
      </c>
      <c r="AF61" s="25">
        <f>YEAR(Tabela1[[#This Row],[Criado em]])</f>
        <v>2025</v>
      </c>
      <c r="AG61" s="25">
        <f>COUNTIFS(Tabela1[Mês],Tabela1[[#This Row],[Mês]])</f>
        <v>196</v>
      </c>
      <c r="AH61" s="25">
        <f>COUNTIFS(Tabela1[Mês],Tabela1[[#This Row],[Mês]],Tabela1[Fase atual],"Recebido")</f>
        <v>138</v>
      </c>
      <c r="AI61" s="26">
        <f>Tabela1[[#This Row],[Recebido_ Mes]]/Tabela1[[#This Row],[Total_Mes]]</f>
        <v>0.70408163265306123</v>
      </c>
      <c r="AJ61" s="19">
        <f>COUNTIFS(Tabela1[Fase atual],"Recebido",Tabela1[Mês],Tabela1[[#This Row],[Mês]],Tabela1[Ano],Tabela1[[#This Row],[Ano]])/COUNTIF(Tabela1[Mês],Tabela1[[#This Row],[Mês]])</f>
        <v>0.70408163265306123</v>
      </c>
      <c r="AK61" s="20">
        <f>100%</f>
        <v>1</v>
      </c>
    </row>
    <row r="62" spans="1:37" ht="18" customHeight="1" x14ac:dyDescent="0.25">
      <c r="A62">
        <v>1295812539</v>
      </c>
      <c r="B62" t="s">
        <v>54</v>
      </c>
      <c r="C62" t="s">
        <v>55</v>
      </c>
      <c r="D62" t="s">
        <v>37</v>
      </c>
      <c r="E62" t="s">
        <v>31</v>
      </c>
      <c r="F62" s="2">
        <v>46063.629216307883</v>
      </c>
      <c r="AC62" s="24">
        <f t="shared" ca="1" si="1"/>
        <v>70.370783692116675</v>
      </c>
      <c r="AD62" s="25" t="str">
        <f t="shared" ca="1" si="2"/>
        <v>&gt;60 dias</v>
      </c>
      <c r="AE62" s="25">
        <f>MONTH(Tabela1[[#This Row],[Criado em]])</f>
        <v>2</v>
      </c>
      <c r="AF62" s="25">
        <f>YEAR(Tabela1[[#This Row],[Criado em]])</f>
        <v>2026</v>
      </c>
      <c r="AG62" s="25">
        <f>COUNTIFS(Tabela1[Mês],Tabela1[[#This Row],[Mês]])</f>
        <v>197</v>
      </c>
      <c r="AH62" s="25">
        <f>COUNTIFS(Tabela1[Mês],Tabela1[[#This Row],[Mês]],Tabela1[Fase atual],"Recebido")</f>
        <v>124</v>
      </c>
      <c r="AI62" s="26">
        <f>Tabela1[[#This Row],[Recebido_ Mes]]/Tabela1[[#This Row],[Total_Mes]]</f>
        <v>0.62944162436548223</v>
      </c>
      <c r="AJ62" s="19">
        <f>COUNTIFS(Tabela1[Fase atual],"Recebido",Tabela1[Mês],Tabela1[[#This Row],[Mês]],Tabela1[Ano],Tabela1[[#This Row],[Ano]])/COUNTIF(Tabela1[Mês],Tabela1[[#This Row],[Mês]])</f>
        <v>0.62944162436548223</v>
      </c>
      <c r="AK62" s="20">
        <f>100%</f>
        <v>1</v>
      </c>
    </row>
    <row r="63" spans="1:37" ht="18" customHeight="1" x14ac:dyDescent="0.25">
      <c r="A63">
        <v>1278221355</v>
      </c>
      <c r="B63" t="s">
        <v>54</v>
      </c>
      <c r="C63" t="s">
        <v>57</v>
      </c>
      <c r="D63" t="s">
        <v>37</v>
      </c>
      <c r="E63" t="s">
        <v>31</v>
      </c>
      <c r="F63" s="2">
        <v>46029.629456481482</v>
      </c>
      <c r="AC63" s="24">
        <f t="shared" ca="1" si="1"/>
        <v>104.37054351851839</v>
      </c>
      <c r="AD63" s="25" t="str">
        <f t="shared" ca="1" si="2"/>
        <v>&gt;60 dias</v>
      </c>
      <c r="AE63" s="25">
        <f>MONTH(Tabela1[[#This Row],[Criado em]])</f>
        <v>1</v>
      </c>
      <c r="AF63" s="25">
        <f>YEAR(Tabela1[[#This Row],[Criado em]])</f>
        <v>2026</v>
      </c>
      <c r="AG63" s="25">
        <f>COUNTIFS(Tabela1[Mês],Tabela1[[#This Row],[Mês]])</f>
        <v>222</v>
      </c>
      <c r="AH63" s="25">
        <f>COUNTIFS(Tabela1[Mês],Tabela1[[#This Row],[Mês]],Tabela1[Fase atual],"Recebido")</f>
        <v>174</v>
      </c>
      <c r="AI63" s="26">
        <f>Tabela1[[#This Row],[Recebido_ Mes]]/Tabela1[[#This Row],[Total_Mes]]</f>
        <v>0.78378378378378377</v>
      </c>
      <c r="AJ63" s="19">
        <f>COUNTIFS(Tabela1[Fase atual],"Recebido",Tabela1[Mês],Tabela1[[#This Row],[Mês]],Tabela1[Ano],Tabela1[[#This Row],[Ano]])/COUNTIF(Tabela1[Mês],Tabela1[[#This Row],[Mês]])</f>
        <v>0.78378378378378377</v>
      </c>
      <c r="AK63" s="20">
        <f>100%</f>
        <v>1</v>
      </c>
    </row>
    <row r="64" spans="1:37" ht="18" customHeight="1" x14ac:dyDescent="0.25">
      <c r="A64">
        <v>1216185876</v>
      </c>
      <c r="B64" t="s">
        <v>773</v>
      </c>
      <c r="C64" t="s">
        <v>774</v>
      </c>
      <c r="D64" t="s">
        <v>37</v>
      </c>
      <c r="E64" t="s">
        <v>31</v>
      </c>
      <c r="F64" s="2">
        <v>45917.851448900459</v>
      </c>
      <c r="AC64" s="24">
        <f t="shared" ca="1" si="1"/>
        <v>216.14855109954078</v>
      </c>
      <c r="AD64" s="25" t="str">
        <f t="shared" ca="1" si="2"/>
        <v>&gt;60 dias</v>
      </c>
      <c r="AE64" s="25">
        <f>MONTH(Tabela1[[#This Row],[Criado em]])</f>
        <v>9</v>
      </c>
      <c r="AF64" s="25">
        <f>YEAR(Tabela1[[#This Row],[Criado em]])</f>
        <v>2025</v>
      </c>
      <c r="AG64" s="25">
        <f>COUNTIFS(Tabela1[Mês],Tabela1[[#This Row],[Mês]])</f>
        <v>197</v>
      </c>
      <c r="AH64" s="25">
        <f>COUNTIFS(Tabela1[Mês],Tabela1[[#This Row],[Mês]],Tabela1[Fase atual],"Recebido")</f>
        <v>152</v>
      </c>
      <c r="AI64" s="26">
        <f>Tabela1[[#This Row],[Recebido_ Mes]]/Tabela1[[#This Row],[Total_Mes]]</f>
        <v>0.77157360406091369</v>
      </c>
      <c r="AJ64" s="19">
        <f>COUNTIFS(Tabela1[Fase atual],"Recebido",Tabela1[Mês],Tabela1[[#This Row],[Mês]],Tabela1[Ano],Tabela1[[#This Row],[Ano]])/COUNTIF(Tabela1[Mês],Tabela1[[#This Row],[Mês]])</f>
        <v>0.77157360406091369</v>
      </c>
      <c r="AK64" s="20">
        <f>100%</f>
        <v>1</v>
      </c>
    </row>
    <row r="65" spans="1:37" ht="18" customHeight="1" x14ac:dyDescent="0.25">
      <c r="A65">
        <v>1297055967</v>
      </c>
      <c r="B65" t="s">
        <v>58</v>
      </c>
      <c r="C65" t="s">
        <v>59</v>
      </c>
      <c r="D65" t="s">
        <v>37</v>
      </c>
      <c r="E65" t="s">
        <v>31</v>
      </c>
      <c r="F65" s="2">
        <v>46065.796613530103</v>
      </c>
      <c r="AC65" s="24">
        <f t="shared" ca="1" si="1"/>
        <v>68.203386469896941</v>
      </c>
      <c r="AD65" s="25" t="str">
        <f t="shared" ca="1" si="2"/>
        <v>&gt;60 dias</v>
      </c>
      <c r="AE65" s="25">
        <f>MONTH(Tabela1[[#This Row],[Criado em]])</f>
        <v>2</v>
      </c>
      <c r="AF65" s="25">
        <f>YEAR(Tabela1[[#This Row],[Criado em]])</f>
        <v>2026</v>
      </c>
      <c r="AG65" s="25">
        <f>COUNTIFS(Tabela1[Mês],Tabela1[[#This Row],[Mês]])</f>
        <v>197</v>
      </c>
      <c r="AH65" s="25">
        <f>COUNTIFS(Tabela1[Mês],Tabela1[[#This Row],[Mês]],Tabela1[Fase atual],"Recebido")</f>
        <v>124</v>
      </c>
      <c r="AI65" s="26">
        <f>Tabela1[[#This Row],[Recebido_ Mes]]/Tabela1[[#This Row],[Total_Mes]]</f>
        <v>0.62944162436548223</v>
      </c>
      <c r="AJ65" s="19">
        <f>COUNTIFS(Tabela1[Fase atual],"Recebido",Tabela1[Mês],Tabela1[[#This Row],[Mês]],Tabela1[Ano],Tabela1[[#This Row],[Ano]])/COUNTIF(Tabela1[Mês],Tabela1[[#This Row],[Mês]])</f>
        <v>0.62944162436548223</v>
      </c>
      <c r="AK65" s="20">
        <f>100%</f>
        <v>1</v>
      </c>
    </row>
    <row r="66" spans="1:37" ht="18" customHeight="1" x14ac:dyDescent="0.25">
      <c r="A66">
        <v>1309289080</v>
      </c>
      <c r="B66" t="s">
        <v>60</v>
      </c>
      <c r="C66" t="s">
        <v>775</v>
      </c>
      <c r="D66" t="s">
        <v>2179</v>
      </c>
      <c r="E66" t="s">
        <v>31</v>
      </c>
      <c r="F66" s="2">
        <v>46085.795769351847</v>
      </c>
      <c r="AC66" s="24">
        <f t="shared" ca="1" si="1"/>
        <v>48.204230648152588</v>
      </c>
      <c r="AD66" s="25" t="str">
        <f t="shared" ca="1" si="2"/>
        <v>31-60 dias</v>
      </c>
      <c r="AE66" s="25">
        <f>MONTH(Tabela1[[#This Row],[Criado em]])</f>
        <v>3</v>
      </c>
      <c r="AF66" s="25">
        <f>YEAR(Tabela1[[#This Row],[Criado em]])</f>
        <v>2026</v>
      </c>
      <c r="AG66" s="25">
        <f>COUNTIFS(Tabela1[Mês],Tabela1[[#This Row],[Mês]])</f>
        <v>62</v>
      </c>
      <c r="AH66" s="25">
        <f>COUNTIFS(Tabela1[Mês],Tabela1[[#This Row],[Mês]],Tabela1[Fase atual],"Recebido")</f>
        <v>13</v>
      </c>
      <c r="AI66" s="26">
        <f>Tabela1[[#This Row],[Recebido_ Mes]]/Tabela1[[#This Row],[Total_Mes]]</f>
        <v>0.20967741935483872</v>
      </c>
      <c r="AJ66" s="19">
        <f>COUNTIFS(Tabela1[Fase atual],"Recebido",Tabela1[Mês],Tabela1[[#This Row],[Mês]],Tabela1[Ano],Tabela1[[#This Row],[Ano]])/COUNTIF(Tabela1[Mês],Tabela1[[#This Row],[Mês]])</f>
        <v>0.20967741935483872</v>
      </c>
      <c r="AK66" s="20">
        <f>100%</f>
        <v>1</v>
      </c>
    </row>
    <row r="67" spans="1:37" ht="18" customHeight="1" x14ac:dyDescent="0.25">
      <c r="A67">
        <v>1176236096</v>
      </c>
      <c r="B67" t="s">
        <v>60</v>
      </c>
      <c r="C67" t="s">
        <v>775</v>
      </c>
      <c r="D67" t="s">
        <v>37</v>
      </c>
      <c r="E67" t="s">
        <v>31</v>
      </c>
      <c r="F67" s="2">
        <v>45852.85162483796</v>
      </c>
      <c r="AC67" s="24">
        <f t="shared" ref="AC67:AC130" ca="1" si="3">TODAY() - F67</f>
        <v>281.14837516203988</v>
      </c>
      <c r="AD67" s="25" t="str">
        <f t="shared" ref="AD67:AD130" ca="1" si="4">IF(AC67&lt;=14,"0-14 dias",
IF(AC67&lt;=19,"15-19 dias",
IF(AC67&lt;=24,"20-24 dias",
IF(AC67&lt;=30,"25-30 dias",
IF(AC67&lt;=60,"31-60 dias",
"&gt;60 dias")))))</f>
        <v>&gt;60 dias</v>
      </c>
      <c r="AE67" s="25">
        <f>MONTH(Tabela1[[#This Row],[Criado em]])</f>
        <v>7</v>
      </c>
      <c r="AF67" s="25">
        <f>YEAR(Tabela1[[#This Row],[Criado em]])</f>
        <v>2025</v>
      </c>
      <c r="AG67" s="25">
        <f>COUNTIFS(Tabela1[Mês],Tabela1[[#This Row],[Mês]])</f>
        <v>177</v>
      </c>
      <c r="AH67" s="25">
        <f>COUNTIFS(Tabela1[Mês],Tabela1[[#This Row],[Mês]],Tabela1[Fase atual],"Recebido")</f>
        <v>130</v>
      </c>
      <c r="AI67" s="26">
        <f>Tabela1[[#This Row],[Recebido_ Mes]]/Tabela1[[#This Row],[Total_Mes]]</f>
        <v>0.7344632768361582</v>
      </c>
      <c r="AJ67" s="19">
        <f>COUNTIFS(Tabela1[Fase atual],"Recebido",Tabela1[Mês],Tabela1[[#This Row],[Mês]],Tabela1[Ano],Tabela1[[#This Row],[Ano]])/COUNTIF(Tabela1[Mês],Tabela1[[#This Row],[Mês]])</f>
        <v>0.7344632768361582</v>
      </c>
      <c r="AK67" s="20">
        <f>100%</f>
        <v>1</v>
      </c>
    </row>
    <row r="68" spans="1:37" ht="18" customHeight="1" x14ac:dyDescent="0.25">
      <c r="A68">
        <v>1295384122</v>
      </c>
      <c r="B68" t="s">
        <v>60</v>
      </c>
      <c r="C68" t="s">
        <v>61</v>
      </c>
      <c r="D68" t="s">
        <v>37</v>
      </c>
      <c r="E68" t="s">
        <v>31</v>
      </c>
      <c r="F68" s="2">
        <v>46062.795860740742</v>
      </c>
      <c r="AC68" s="24">
        <f t="shared" ca="1" si="3"/>
        <v>71.204139259258227</v>
      </c>
      <c r="AD68" s="25" t="str">
        <f t="shared" ca="1" si="4"/>
        <v>&gt;60 dias</v>
      </c>
      <c r="AE68" s="25">
        <f>MONTH(Tabela1[[#This Row],[Criado em]])</f>
        <v>2</v>
      </c>
      <c r="AF68" s="25">
        <f>YEAR(Tabela1[[#This Row],[Criado em]])</f>
        <v>2026</v>
      </c>
      <c r="AG68" s="25">
        <f>COUNTIFS(Tabela1[Mês],Tabela1[[#This Row],[Mês]])</f>
        <v>197</v>
      </c>
      <c r="AH68" s="25">
        <f>COUNTIFS(Tabela1[Mês],Tabela1[[#This Row],[Mês]],Tabela1[Fase atual],"Recebido")</f>
        <v>124</v>
      </c>
      <c r="AI68" s="26">
        <f>Tabela1[[#This Row],[Recebido_ Mes]]/Tabela1[[#This Row],[Total_Mes]]</f>
        <v>0.62944162436548223</v>
      </c>
      <c r="AJ68" s="19">
        <f>COUNTIFS(Tabela1[Fase atual],"Recebido",Tabela1[Mês],Tabela1[[#This Row],[Mês]],Tabela1[Ano],Tabela1[[#This Row],[Ano]])/COUNTIF(Tabela1[Mês],Tabela1[[#This Row],[Mês]])</f>
        <v>0.62944162436548223</v>
      </c>
      <c r="AK68" s="20">
        <f>100%</f>
        <v>1</v>
      </c>
    </row>
    <row r="69" spans="1:37" ht="18" customHeight="1" x14ac:dyDescent="0.25">
      <c r="A69">
        <v>1208156295</v>
      </c>
      <c r="B69" t="s">
        <v>776</v>
      </c>
      <c r="C69" t="s">
        <v>777</v>
      </c>
      <c r="D69" t="s">
        <v>37</v>
      </c>
      <c r="E69" t="s">
        <v>31</v>
      </c>
      <c r="F69" s="2">
        <v>45904.643410381941</v>
      </c>
      <c r="AC69" s="24">
        <f t="shared" ca="1" si="3"/>
        <v>229.35658961805893</v>
      </c>
      <c r="AD69" s="25" t="str">
        <f t="shared" ca="1" si="4"/>
        <v>&gt;60 dias</v>
      </c>
      <c r="AE69" s="25">
        <f>MONTH(Tabela1[[#This Row],[Criado em]])</f>
        <v>9</v>
      </c>
      <c r="AF69" s="25">
        <f>YEAR(Tabela1[[#This Row],[Criado em]])</f>
        <v>2025</v>
      </c>
      <c r="AG69" s="25">
        <f>COUNTIFS(Tabela1[Mês],Tabela1[[#This Row],[Mês]])</f>
        <v>197</v>
      </c>
      <c r="AH69" s="25">
        <f>COUNTIFS(Tabela1[Mês],Tabela1[[#This Row],[Mês]],Tabela1[Fase atual],"Recebido")</f>
        <v>152</v>
      </c>
      <c r="AI69" s="26">
        <f>Tabela1[[#This Row],[Recebido_ Mes]]/Tabela1[[#This Row],[Total_Mes]]</f>
        <v>0.77157360406091369</v>
      </c>
      <c r="AJ69" s="19">
        <f>COUNTIFS(Tabela1[Fase atual],"Recebido",Tabela1[Mês],Tabela1[[#This Row],[Mês]],Tabela1[Ano],Tabela1[[#This Row],[Ano]])/COUNTIF(Tabela1[Mês],Tabela1[[#This Row],[Mês]])</f>
        <v>0.77157360406091369</v>
      </c>
      <c r="AK69" s="20">
        <f>100%</f>
        <v>1</v>
      </c>
    </row>
    <row r="70" spans="1:37" ht="18" customHeight="1" x14ac:dyDescent="0.25">
      <c r="A70">
        <v>1275292011</v>
      </c>
      <c r="B70" t="s">
        <v>778</v>
      </c>
      <c r="C70" t="s">
        <v>779</v>
      </c>
      <c r="D70" t="s">
        <v>37</v>
      </c>
      <c r="E70" t="s">
        <v>31</v>
      </c>
      <c r="F70" s="2">
        <v>46022.795187465279</v>
      </c>
      <c r="AC70" s="24">
        <f t="shared" ca="1" si="3"/>
        <v>111.20481253472099</v>
      </c>
      <c r="AD70" s="25" t="str">
        <f t="shared" ca="1" si="4"/>
        <v>&gt;60 dias</v>
      </c>
      <c r="AE70" s="25">
        <f>MONTH(Tabela1[[#This Row],[Criado em]])</f>
        <v>12</v>
      </c>
      <c r="AF70" s="25">
        <f>YEAR(Tabela1[[#This Row],[Criado em]])</f>
        <v>2025</v>
      </c>
      <c r="AG70" s="25">
        <f>COUNTIFS(Tabela1[Mês],Tabela1[[#This Row],[Mês]])</f>
        <v>207</v>
      </c>
      <c r="AH70" s="25">
        <f>COUNTIFS(Tabela1[Mês],Tabela1[[#This Row],[Mês]],Tabela1[Fase atual],"Recebido")</f>
        <v>155</v>
      </c>
      <c r="AI70" s="26">
        <f>Tabela1[[#This Row],[Recebido_ Mes]]/Tabela1[[#This Row],[Total_Mes]]</f>
        <v>0.74879227053140096</v>
      </c>
      <c r="AJ70" s="19">
        <f>COUNTIFS(Tabela1[Fase atual],"Recebido",Tabela1[Mês],Tabela1[[#This Row],[Mês]],Tabela1[Ano],Tabela1[[#This Row],[Ano]])/COUNTIF(Tabela1[Mês],Tabela1[[#This Row],[Mês]])</f>
        <v>0.74879227053140096</v>
      </c>
      <c r="AK70" s="20">
        <f>100%</f>
        <v>1</v>
      </c>
    </row>
    <row r="71" spans="1:37" ht="18" customHeight="1" x14ac:dyDescent="0.25">
      <c r="A71">
        <v>1214523699</v>
      </c>
      <c r="B71" t="s">
        <v>780</v>
      </c>
      <c r="C71" t="s">
        <v>781</v>
      </c>
      <c r="D71" t="s">
        <v>37</v>
      </c>
      <c r="E71" t="s">
        <v>31</v>
      </c>
      <c r="F71" s="2">
        <v>45915.643474687502</v>
      </c>
      <c r="AC71" s="24">
        <f t="shared" ca="1" si="3"/>
        <v>218.35652531249798</v>
      </c>
      <c r="AD71" s="25" t="str">
        <f t="shared" ca="1" si="4"/>
        <v>&gt;60 dias</v>
      </c>
      <c r="AE71" s="25">
        <f>MONTH(Tabela1[[#This Row],[Criado em]])</f>
        <v>9</v>
      </c>
      <c r="AF71" s="25">
        <f>YEAR(Tabela1[[#This Row],[Criado em]])</f>
        <v>2025</v>
      </c>
      <c r="AG71" s="25">
        <f>COUNTIFS(Tabela1[Mês],Tabela1[[#This Row],[Mês]])</f>
        <v>197</v>
      </c>
      <c r="AH71" s="25">
        <f>COUNTIFS(Tabela1[Mês],Tabela1[[#This Row],[Mês]],Tabela1[Fase atual],"Recebido")</f>
        <v>152</v>
      </c>
      <c r="AI71" s="26">
        <f>Tabela1[[#This Row],[Recebido_ Mes]]/Tabela1[[#This Row],[Total_Mes]]</f>
        <v>0.77157360406091369</v>
      </c>
      <c r="AJ71" s="19">
        <f>COUNTIFS(Tabela1[Fase atual],"Recebido",Tabela1[Mês],Tabela1[[#This Row],[Mês]],Tabela1[Ano],Tabela1[[#This Row],[Ano]])/COUNTIF(Tabela1[Mês],Tabela1[[#This Row],[Mês]])</f>
        <v>0.77157360406091369</v>
      </c>
      <c r="AK71" s="20">
        <f>100%</f>
        <v>1</v>
      </c>
    </row>
    <row r="72" spans="1:37" ht="18" customHeight="1" x14ac:dyDescent="0.25">
      <c r="A72">
        <v>1169121174</v>
      </c>
      <c r="B72" t="s">
        <v>782</v>
      </c>
      <c r="C72" t="s">
        <v>783</v>
      </c>
      <c r="D72" t="s">
        <v>784</v>
      </c>
      <c r="E72" t="s">
        <v>31</v>
      </c>
      <c r="F72" s="2">
        <v>45839.016306574078</v>
      </c>
      <c r="AC72" s="24">
        <f t="shared" ca="1" si="3"/>
        <v>294.98369342592196</v>
      </c>
      <c r="AD72" s="25" t="str">
        <f t="shared" ca="1" si="4"/>
        <v>&gt;60 dias</v>
      </c>
      <c r="AE72" s="25">
        <f>MONTH(Tabela1[[#This Row],[Criado em]])</f>
        <v>7</v>
      </c>
      <c r="AF72" s="25">
        <f>YEAR(Tabela1[[#This Row],[Criado em]])</f>
        <v>2025</v>
      </c>
      <c r="AG72" s="25">
        <f>COUNTIFS(Tabela1[Mês],Tabela1[[#This Row],[Mês]])</f>
        <v>177</v>
      </c>
      <c r="AH72" s="25">
        <f>COUNTIFS(Tabela1[Mês],Tabela1[[#This Row],[Mês]],Tabela1[Fase atual],"Recebido")</f>
        <v>130</v>
      </c>
      <c r="AI72" s="26">
        <f>Tabela1[[#This Row],[Recebido_ Mes]]/Tabela1[[#This Row],[Total_Mes]]</f>
        <v>0.7344632768361582</v>
      </c>
      <c r="AJ72" s="19">
        <f>COUNTIFS(Tabela1[Fase atual],"Recebido",Tabela1[Mês],Tabela1[[#This Row],[Mês]],Tabela1[Ano],Tabela1[[#This Row],[Ano]])/COUNTIF(Tabela1[Mês],Tabela1[[#This Row],[Mês]])</f>
        <v>0.7344632768361582</v>
      </c>
      <c r="AK72" s="20">
        <f>100%</f>
        <v>1</v>
      </c>
    </row>
    <row r="73" spans="1:37" ht="18" customHeight="1" x14ac:dyDescent="0.25">
      <c r="A73">
        <v>1246033454</v>
      </c>
      <c r="B73" t="s">
        <v>785</v>
      </c>
      <c r="C73" t="s">
        <v>786</v>
      </c>
      <c r="D73" t="s">
        <v>40</v>
      </c>
      <c r="E73" t="s">
        <v>31</v>
      </c>
      <c r="F73" s="2">
        <v>45958.544351863427</v>
      </c>
      <c r="AC73" s="24">
        <f t="shared" ca="1" si="3"/>
        <v>175.45564813657256</v>
      </c>
      <c r="AD73" s="25" t="str">
        <f t="shared" ca="1" si="4"/>
        <v>&gt;60 dias</v>
      </c>
      <c r="AE73" s="25">
        <f>MONTH(Tabela1[[#This Row],[Criado em]])</f>
        <v>10</v>
      </c>
      <c r="AF73" s="25">
        <f>YEAR(Tabela1[[#This Row],[Criado em]])</f>
        <v>2025</v>
      </c>
      <c r="AG73" s="25">
        <f>COUNTIFS(Tabela1[Mês],Tabela1[[#This Row],[Mês]])</f>
        <v>196</v>
      </c>
      <c r="AH73" s="25">
        <f>COUNTIFS(Tabela1[Mês],Tabela1[[#This Row],[Mês]],Tabela1[Fase atual],"Recebido")</f>
        <v>138</v>
      </c>
      <c r="AI73" s="26">
        <f>Tabela1[[#This Row],[Recebido_ Mes]]/Tabela1[[#This Row],[Total_Mes]]</f>
        <v>0.70408163265306123</v>
      </c>
      <c r="AJ73" s="19">
        <f>COUNTIFS(Tabela1[Fase atual],"Recebido",Tabela1[Mês],Tabela1[[#This Row],[Mês]],Tabela1[Ano],Tabela1[[#This Row],[Ano]])/COUNTIF(Tabela1[Mês],Tabela1[[#This Row],[Mês]])</f>
        <v>0.70408163265306123</v>
      </c>
      <c r="AK73" s="20">
        <f>100%</f>
        <v>1</v>
      </c>
    </row>
    <row r="74" spans="1:37" ht="18" customHeight="1" x14ac:dyDescent="0.25">
      <c r="A74">
        <v>1208428624</v>
      </c>
      <c r="B74" t="s">
        <v>787</v>
      </c>
      <c r="C74" t="s">
        <v>788</v>
      </c>
      <c r="D74" t="s">
        <v>784</v>
      </c>
      <c r="E74" t="s">
        <v>31</v>
      </c>
      <c r="F74" s="2">
        <v>45904.85236237268</v>
      </c>
      <c r="AC74" s="24">
        <f t="shared" ca="1" si="3"/>
        <v>229.14763762732036</v>
      </c>
      <c r="AD74" s="25" t="str">
        <f t="shared" ca="1" si="4"/>
        <v>&gt;60 dias</v>
      </c>
      <c r="AE74" s="25">
        <f>MONTH(Tabela1[[#This Row],[Criado em]])</f>
        <v>9</v>
      </c>
      <c r="AF74" s="25">
        <f>YEAR(Tabela1[[#This Row],[Criado em]])</f>
        <v>2025</v>
      </c>
      <c r="AG74" s="25">
        <f>COUNTIFS(Tabela1[Mês],Tabela1[[#This Row],[Mês]])</f>
        <v>197</v>
      </c>
      <c r="AH74" s="25">
        <f>COUNTIFS(Tabela1[Mês],Tabela1[[#This Row],[Mês]],Tabela1[Fase atual],"Recebido")</f>
        <v>152</v>
      </c>
      <c r="AI74" s="26">
        <f>Tabela1[[#This Row],[Recebido_ Mes]]/Tabela1[[#This Row],[Total_Mes]]</f>
        <v>0.77157360406091369</v>
      </c>
      <c r="AJ74" s="19">
        <f>COUNTIFS(Tabela1[Fase atual],"Recebido",Tabela1[Mês],Tabela1[[#This Row],[Mês]],Tabela1[Ano],Tabela1[[#This Row],[Ano]])/COUNTIF(Tabela1[Mês],Tabela1[[#This Row],[Mês]])</f>
        <v>0.77157360406091369</v>
      </c>
      <c r="AK74" s="20">
        <f>100%</f>
        <v>1</v>
      </c>
    </row>
    <row r="75" spans="1:37" ht="18" customHeight="1" x14ac:dyDescent="0.25">
      <c r="A75">
        <v>1280731490</v>
      </c>
      <c r="B75" t="s">
        <v>63</v>
      </c>
      <c r="C75" t="s">
        <v>64</v>
      </c>
      <c r="D75" t="s">
        <v>37</v>
      </c>
      <c r="E75" t="s">
        <v>31</v>
      </c>
      <c r="F75" s="2">
        <v>46034.920674537032</v>
      </c>
      <c r="AC75" s="24">
        <f t="shared" ca="1" si="3"/>
        <v>99.079325462967972</v>
      </c>
      <c r="AD75" s="25" t="str">
        <f t="shared" ca="1" si="4"/>
        <v>&gt;60 dias</v>
      </c>
      <c r="AE75" s="25">
        <f>MONTH(Tabela1[[#This Row],[Criado em]])</f>
        <v>1</v>
      </c>
      <c r="AF75" s="25">
        <f>YEAR(Tabela1[[#This Row],[Criado em]])</f>
        <v>2026</v>
      </c>
      <c r="AG75" s="25">
        <f>COUNTIFS(Tabela1[Mês],Tabela1[[#This Row],[Mês]])</f>
        <v>222</v>
      </c>
      <c r="AH75" s="25">
        <f>COUNTIFS(Tabela1[Mês],Tabela1[[#This Row],[Mês]],Tabela1[Fase atual],"Recebido")</f>
        <v>174</v>
      </c>
      <c r="AI75" s="26">
        <f>Tabela1[[#This Row],[Recebido_ Mes]]/Tabela1[[#This Row],[Total_Mes]]</f>
        <v>0.78378378378378377</v>
      </c>
      <c r="AJ75" s="19">
        <f>COUNTIFS(Tabela1[Fase atual],"Recebido",Tabela1[Mês],Tabela1[[#This Row],[Mês]],Tabela1[Ano],Tabela1[[#This Row],[Ano]])/COUNTIF(Tabela1[Mês],Tabela1[[#This Row],[Mês]])</f>
        <v>0.78378378378378377</v>
      </c>
      <c r="AK75" s="20">
        <f>100%</f>
        <v>1</v>
      </c>
    </row>
    <row r="76" spans="1:37" ht="18" customHeight="1" x14ac:dyDescent="0.25">
      <c r="A76">
        <v>1296527686</v>
      </c>
      <c r="B76" t="s">
        <v>65</v>
      </c>
      <c r="C76" t="s">
        <v>66</v>
      </c>
      <c r="D76" t="s">
        <v>37</v>
      </c>
      <c r="E76" t="s">
        <v>31</v>
      </c>
      <c r="F76" s="2">
        <v>46064.79546439815</v>
      </c>
      <c r="AC76" s="24">
        <f t="shared" ca="1" si="3"/>
        <v>69.204535601849784</v>
      </c>
      <c r="AD76" s="25" t="str">
        <f t="shared" ca="1" si="4"/>
        <v>&gt;60 dias</v>
      </c>
      <c r="AE76" s="25">
        <f>MONTH(Tabela1[[#This Row],[Criado em]])</f>
        <v>2</v>
      </c>
      <c r="AF76" s="25">
        <f>YEAR(Tabela1[[#This Row],[Criado em]])</f>
        <v>2026</v>
      </c>
      <c r="AG76" s="25">
        <f>COUNTIFS(Tabela1[Mês],Tabela1[[#This Row],[Mês]])</f>
        <v>197</v>
      </c>
      <c r="AH76" s="25">
        <f>COUNTIFS(Tabela1[Mês],Tabela1[[#This Row],[Mês]],Tabela1[Fase atual],"Recebido")</f>
        <v>124</v>
      </c>
      <c r="AI76" s="26">
        <f>Tabela1[[#This Row],[Recebido_ Mes]]/Tabela1[[#This Row],[Total_Mes]]</f>
        <v>0.62944162436548223</v>
      </c>
      <c r="AJ76" s="19">
        <f>COUNTIFS(Tabela1[Fase atual],"Recebido",Tabela1[Mês],Tabela1[[#This Row],[Mês]],Tabela1[Ano],Tabela1[[#This Row],[Ano]])/COUNTIF(Tabela1[Mês],Tabela1[[#This Row],[Mês]])</f>
        <v>0.62944162436548223</v>
      </c>
      <c r="AK76" s="20">
        <f>100%</f>
        <v>1</v>
      </c>
    </row>
    <row r="77" spans="1:37" ht="18" customHeight="1" x14ac:dyDescent="0.25">
      <c r="A77">
        <v>1270932003</v>
      </c>
      <c r="B77" t="s">
        <v>789</v>
      </c>
      <c r="C77" t="s">
        <v>790</v>
      </c>
      <c r="D77" t="s">
        <v>37</v>
      </c>
      <c r="E77" t="s">
        <v>31</v>
      </c>
      <c r="F77" s="2">
        <v>46011.491958634258</v>
      </c>
      <c r="AC77" s="24">
        <f t="shared" ca="1" si="3"/>
        <v>122.50804136574152</v>
      </c>
      <c r="AD77" s="25" t="str">
        <f t="shared" ca="1" si="4"/>
        <v>&gt;60 dias</v>
      </c>
      <c r="AE77" s="25">
        <f>MONTH(Tabela1[[#This Row],[Criado em]])</f>
        <v>12</v>
      </c>
      <c r="AF77" s="25">
        <f>YEAR(Tabela1[[#This Row],[Criado em]])</f>
        <v>2025</v>
      </c>
      <c r="AG77" s="25">
        <f>COUNTIFS(Tabela1[Mês],Tabela1[[#This Row],[Mês]])</f>
        <v>207</v>
      </c>
      <c r="AH77" s="25">
        <f>COUNTIFS(Tabela1[Mês],Tabela1[[#This Row],[Mês]],Tabela1[Fase atual],"Recebido")</f>
        <v>155</v>
      </c>
      <c r="AI77" s="26">
        <f>Tabela1[[#This Row],[Recebido_ Mes]]/Tabela1[[#This Row],[Total_Mes]]</f>
        <v>0.74879227053140096</v>
      </c>
      <c r="AJ77" s="19">
        <f>COUNTIFS(Tabela1[Fase atual],"Recebido",Tabela1[Mês],Tabela1[[#This Row],[Mês]],Tabela1[Ano],Tabela1[[#This Row],[Ano]])/COUNTIF(Tabela1[Mês],Tabela1[[#This Row],[Mês]])</f>
        <v>0.74879227053140096</v>
      </c>
      <c r="AK77" s="20">
        <f>100%</f>
        <v>1</v>
      </c>
    </row>
    <row r="78" spans="1:37" ht="18" customHeight="1" x14ac:dyDescent="0.25">
      <c r="A78">
        <v>1180440765</v>
      </c>
      <c r="B78" t="s">
        <v>791</v>
      </c>
      <c r="C78" t="s">
        <v>792</v>
      </c>
      <c r="D78" t="s">
        <v>37</v>
      </c>
      <c r="E78" t="s">
        <v>31</v>
      </c>
      <c r="F78" s="2">
        <v>45859.849981990737</v>
      </c>
      <c r="AC78" s="24">
        <f t="shared" ca="1" si="3"/>
        <v>274.15001800926257</v>
      </c>
      <c r="AD78" s="25" t="str">
        <f t="shared" ca="1" si="4"/>
        <v>&gt;60 dias</v>
      </c>
      <c r="AE78" s="25">
        <f>MONTH(Tabela1[[#This Row],[Criado em]])</f>
        <v>7</v>
      </c>
      <c r="AF78" s="25">
        <f>YEAR(Tabela1[[#This Row],[Criado em]])</f>
        <v>2025</v>
      </c>
      <c r="AG78" s="25">
        <f>COUNTIFS(Tabela1[Mês],Tabela1[[#This Row],[Mês]])</f>
        <v>177</v>
      </c>
      <c r="AH78" s="25">
        <f>COUNTIFS(Tabela1[Mês],Tabela1[[#This Row],[Mês]],Tabela1[Fase atual],"Recebido")</f>
        <v>130</v>
      </c>
      <c r="AI78" s="26">
        <f>Tabela1[[#This Row],[Recebido_ Mes]]/Tabela1[[#This Row],[Total_Mes]]</f>
        <v>0.7344632768361582</v>
      </c>
      <c r="AJ78" s="19">
        <f>COUNTIFS(Tabela1[Fase atual],"Recebido",Tabela1[Mês],Tabela1[[#This Row],[Mês]],Tabela1[Ano],Tabela1[[#This Row],[Ano]])/COUNTIF(Tabela1[Mês],Tabela1[[#This Row],[Mês]])</f>
        <v>0.7344632768361582</v>
      </c>
      <c r="AK78" s="20">
        <f>100%</f>
        <v>1</v>
      </c>
    </row>
    <row r="79" spans="1:37" ht="18" customHeight="1" x14ac:dyDescent="0.25">
      <c r="A79">
        <v>1200310992</v>
      </c>
      <c r="B79" t="s">
        <v>793</v>
      </c>
      <c r="C79" t="s">
        <v>794</v>
      </c>
      <c r="D79" t="s">
        <v>784</v>
      </c>
      <c r="E79" t="s">
        <v>31</v>
      </c>
      <c r="F79" s="2">
        <v>45891.851684247682</v>
      </c>
      <c r="AC79" s="24">
        <f t="shared" ca="1" si="3"/>
        <v>242.14831575231801</v>
      </c>
      <c r="AD79" s="25" t="str">
        <f t="shared" ca="1" si="4"/>
        <v>&gt;60 dias</v>
      </c>
      <c r="AE79" s="25">
        <f>MONTH(Tabela1[[#This Row],[Criado em]])</f>
        <v>8</v>
      </c>
      <c r="AF79" s="25">
        <f>YEAR(Tabela1[[#This Row],[Criado em]])</f>
        <v>2025</v>
      </c>
      <c r="AG79" s="25">
        <f>COUNTIFS(Tabela1[Mês],Tabela1[[#This Row],[Mês]])</f>
        <v>146</v>
      </c>
      <c r="AH79" s="25">
        <f>COUNTIFS(Tabela1[Mês],Tabela1[[#This Row],[Mês]],Tabela1[Fase atual],"Recebido")</f>
        <v>115</v>
      </c>
      <c r="AI79" s="26">
        <f>Tabela1[[#This Row],[Recebido_ Mes]]/Tabela1[[#This Row],[Total_Mes]]</f>
        <v>0.78767123287671237</v>
      </c>
      <c r="AJ79" s="19">
        <f>COUNTIFS(Tabela1[Fase atual],"Recebido",Tabela1[Mês],Tabela1[[#This Row],[Mês]],Tabela1[Ano],Tabela1[[#This Row],[Ano]])/COUNTIF(Tabela1[Mês],Tabela1[[#This Row],[Mês]])</f>
        <v>0.78767123287671237</v>
      </c>
      <c r="AK79" s="20">
        <f>100%</f>
        <v>1</v>
      </c>
    </row>
    <row r="80" spans="1:37" ht="18" customHeight="1" x14ac:dyDescent="0.25">
      <c r="A80">
        <v>1276528057</v>
      </c>
      <c r="B80" t="s">
        <v>67</v>
      </c>
      <c r="C80" t="s">
        <v>68</v>
      </c>
      <c r="D80" t="s">
        <v>37</v>
      </c>
      <c r="E80" t="s">
        <v>31</v>
      </c>
      <c r="F80" s="2">
        <v>46027.796607511569</v>
      </c>
      <c r="AC80" s="24">
        <f t="shared" ca="1" si="3"/>
        <v>106.20339248843084</v>
      </c>
      <c r="AD80" s="25" t="str">
        <f t="shared" ca="1" si="4"/>
        <v>&gt;60 dias</v>
      </c>
      <c r="AE80" s="25">
        <f>MONTH(Tabela1[[#This Row],[Criado em]])</f>
        <v>1</v>
      </c>
      <c r="AF80" s="25">
        <f>YEAR(Tabela1[[#This Row],[Criado em]])</f>
        <v>2026</v>
      </c>
      <c r="AG80" s="25">
        <f>COUNTIFS(Tabela1[Mês],Tabela1[[#This Row],[Mês]])</f>
        <v>222</v>
      </c>
      <c r="AH80" s="25">
        <f>COUNTIFS(Tabela1[Mês],Tabela1[[#This Row],[Mês]],Tabela1[Fase atual],"Recebido")</f>
        <v>174</v>
      </c>
      <c r="AI80" s="26">
        <f>Tabela1[[#This Row],[Recebido_ Mes]]/Tabela1[[#This Row],[Total_Mes]]</f>
        <v>0.78378378378378377</v>
      </c>
      <c r="AJ80" s="19">
        <f>COUNTIFS(Tabela1[Fase atual],"Recebido",Tabela1[Mês],Tabela1[[#This Row],[Mês]],Tabela1[Ano],Tabela1[[#This Row],[Ano]])/COUNTIF(Tabela1[Mês],Tabela1[[#This Row],[Mês]])</f>
        <v>0.78378378378378377</v>
      </c>
      <c r="AK80" s="20">
        <f>100%</f>
        <v>1</v>
      </c>
    </row>
    <row r="81" spans="1:37" ht="18" customHeight="1" x14ac:dyDescent="0.25">
      <c r="A81">
        <v>1281067045</v>
      </c>
      <c r="B81" t="s">
        <v>69</v>
      </c>
      <c r="C81" t="s">
        <v>70</v>
      </c>
      <c r="D81" t="s">
        <v>40</v>
      </c>
      <c r="E81" t="s">
        <v>31</v>
      </c>
      <c r="F81" s="2">
        <v>46035.628012581023</v>
      </c>
      <c r="AC81" s="24">
        <f t="shared" ca="1" si="3"/>
        <v>98.371987418977369</v>
      </c>
      <c r="AD81" s="25" t="str">
        <f t="shared" ca="1" si="4"/>
        <v>&gt;60 dias</v>
      </c>
      <c r="AE81" s="25">
        <f>MONTH(Tabela1[[#This Row],[Criado em]])</f>
        <v>1</v>
      </c>
      <c r="AF81" s="25">
        <f>YEAR(Tabela1[[#This Row],[Criado em]])</f>
        <v>2026</v>
      </c>
      <c r="AG81" s="25">
        <f>COUNTIFS(Tabela1[Mês],Tabela1[[#This Row],[Mês]])</f>
        <v>222</v>
      </c>
      <c r="AH81" s="25">
        <f>COUNTIFS(Tabela1[Mês],Tabela1[[#This Row],[Mês]],Tabela1[Fase atual],"Recebido")</f>
        <v>174</v>
      </c>
      <c r="AI81" s="26">
        <f>Tabela1[[#This Row],[Recebido_ Mes]]/Tabela1[[#This Row],[Total_Mes]]</f>
        <v>0.78378378378378377</v>
      </c>
      <c r="AJ81" s="19">
        <f>COUNTIFS(Tabela1[Fase atual],"Recebido",Tabela1[Mês],Tabela1[[#This Row],[Mês]],Tabela1[Ano],Tabela1[[#This Row],[Ano]])/COUNTIF(Tabela1[Mês],Tabela1[[#This Row],[Mês]])</f>
        <v>0.78378378378378377</v>
      </c>
      <c r="AK81" s="20">
        <f>100%</f>
        <v>1</v>
      </c>
    </row>
    <row r="82" spans="1:37" ht="18" customHeight="1" x14ac:dyDescent="0.25">
      <c r="A82">
        <v>1276525783</v>
      </c>
      <c r="B82" t="s">
        <v>71</v>
      </c>
      <c r="C82" t="s">
        <v>72</v>
      </c>
      <c r="D82" t="s">
        <v>37</v>
      </c>
      <c r="E82" t="s">
        <v>31</v>
      </c>
      <c r="F82" s="2">
        <v>46027.795148750003</v>
      </c>
      <c r="AC82" s="24">
        <f t="shared" ca="1" si="3"/>
        <v>106.20485124999686</v>
      </c>
      <c r="AD82" s="25" t="str">
        <f t="shared" ca="1" si="4"/>
        <v>&gt;60 dias</v>
      </c>
      <c r="AE82" s="25">
        <f>MONTH(Tabela1[[#This Row],[Criado em]])</f>
        <v>1</v>
      </c>
      <c r="AF82" s="25">
        <f>YEAR(Tabela1[[#This Row],[Criado em]])</f>
        <v>2026</v>
      </c>
      <c r="AG82" s="25">
        <f>COUNTIFS(Tabela1[Mês],Tabela1[[#This Row],[Mês]])</f>
        <v>222</v>
      </c>
      <c r="AH82" s="25">
        <f>COUNTIFS(Tabela1[Mês],Tabela1[[#This Row],[Mês]],Tabela1[Fase atual],"Recebido")</f>
        <v>174</v>
      </c>
      <c r="AI82" s="26">
        <f>Tabela1[[#This Row],[Recebido_ Mes]]/Tabela1[[#This Row],[Total_Mes]]</f>
        <v>0.78378378378378377</v>
      </c>
      <c r="AJ82" s="19">
        <f>COUNTIFS(Tabela1[Fase atual],"Recebido",Tabela1[Mês],Tabela1[[#This Row],[Mês]],Tabela1[Ano],Tabela1[[#This Row],[Ano]])/COUNTIF(Tabela1[Mês],Tabela1[[#This Row],[Mês]])</f>
        <v>0.78378378378378377</v>
      </c>
      <c r="AK82" s="20">
        <f>100%</f>
        <v>1</v>
      </c>
    </row>
    <row r="83" spans="1:37" ht="18" customHeight="1" x14ac:dyDescent="0.25">
      <c r="A83">
        <v>1289082589</v>
      </c>
      <c r="B83" t="s">
        <v>73</v>
      </c>
      <c r="C83" t="s">
        <v>74</v>
      </c>
      <c r="D83" t="s">
        <v>37</v>
      </c>
      <c r="E83" t="s">
        <v>31</v>
      </c>
      <c r="F83" s="2">
        <v>46049.919962210653</v>
      </c>
      <c r="AC83" s="24">
        <f t="shared" ca="1" si="3"/>
        <v>84.080037789346534</v>
      </c>
      <c r="AD83" s="25" t="str">
        <f t="shared" ca="1" si="4"/>
        <v>&gt;60 dias</v>
      </c>
      <c r="AE83" s="25">
        <f>MONTH(Tabela1[[#This Row],[Criado em]])</f>
        <v>1</v>
      </c>
      <c r="AF83" s="25">
        <f>YEAR(Tabela1[[#This Row],[Criado em]])</f>
        <v>2026</v>
      </c>
      <c r="AG83" s="25">
        <f>COUNTIFS(Tabela1[Mês],Tabela1[[#This Row],[Mês]])</f>
        <v>222</v>
      </c>
      <c r="AH83" s="25">
        <f>COUNTIFS(Tabela1[Mês],Tabela1[[#This Row],[Mês]],Tabela1[Fase atual],"Recebido")</f>
        <v>174</v>
      </c>
      <c r="AI83" s="26">
        <f>Tabela1[[#This Row],[Recebido_ Mes]]/Tabela1[[#This Row],[Total_Mes]]</f>
        <v>0.78378378378378377</v>
      </c>
      <c r="AJ83" s="19">
        <f>COUNTIFS(Tabela1[Fase atual],"Recebido",Tabela1[Mês],Tabela1[[#This Row],[Mês]],Tabela1[Ano],Tabela1[[#This Row],[Ano]])/COUNTIF(Tabela1[Mês],Tabela1[[#This Row],[Mês]])</f>
        <v>0.78378378378378377</v>
      </c>
      <c r="AK83" s="20">
        <f>100%</f>
        <v>1</v>
      </c>
    </row>
    <row r="84" spans="1:37" ht="18" customHeight="1" x14ac:dyDescent="0.25">
      <c r="A84">
        <v>1193297298</v>
      </c>
      <c r="B84" t="s">
        <v>795</v>
      </c>
      <c r="C84" t="s">
        <v>796</v>
      </c>
      <c r="D84" t="s">
        <v>37</v>
      </c>
      <c r="E84" t="s">
        <v>31</v>
      </c>
      <c r="F84" s="2">
        <v>45880.850159340283</v>
      </c>
      <c r="AC84" s="24">
        <f t="shared" ca="1" si="3"/>
        <v>253.14984065971657</v>
      </c>
      <c r="AD84" s="25" t="str">
        <f t="shared" ca="1" si="4"/>
        <v>&gt;60 dias</v>
      </c>
      <c r="AE84" s="25">
        <f>MONTH(Tabela1[[#This Row],[Criado em]])</f>
        <v>8</v>
      </c>
      <c r="AF84" s="25">
        <f>YEAR(Tabela1[[#This Row],[Criado em]])</f>
        <v>2025</v>
      </c>
      <c r="AG84" s="25">
        <f>COUNTIFS(Tabela1[Mês],Tabela1[[#This Row],[Mês]])</f>
        <v>146</v>
      </c>
      <c r="AH84" s="25">
        <f>COUNTIFS(Tabela1[Mês],Tabela1[[#This Row],[Mês]],Tabela1[Fase atual],"Recebido")</f>
        <v>115</v>
      </c>
      <c r="AI84" s="26">
        <f>Tabela1[[#This Row],[Recebido_ Mes]]/Tabela1[[#This Row],[Total_Mes]]</f>
        <v>0.78767123287671237</v>
      </c>
      <c r="AJ84" s="19">
        <f>COUNTIFS(Tabela1[Fase atual],"Recebido",Tabela1[Mês],Tabela1[[#This Row],[Mês]],Tabela1[Ano],Tabela1[[#This Row],[Ano]])/COUNTIF(Tabela1[Mês],Tabela1[[#This Row],[Mês]])</f>
        <v>0.78767123287671237</v>
      </c>
      <c r="AK84" s="20">
        <f>100%</f>
        <v>1</v>
      </c>
    </row>
    <row r="85" spans="1:37" ht="18" customHeight="1" x14ac:dyDescent="0.25">
      <c r="A85">
        <v>1173791016</v>
      </c>
      <c r="B85" t="s">
        <v>797</v>
      </c>
      <c r="C85" t="s">
        <v>798</v>
      </c>
      <c r="D85" t="s">
        <v>37</v>
      </c>
      <c r="E85" t="s">
        <v>31</v>
      </c>
      <c r="F85" s="2">
        <v>45847.851614189807</v>
      </c>
      <c r="AC85" s="24">
        <f t="shared" ca="1" si="3"/>
        <v>286.14838581019285</v>
      </c>
      <c r="AD85" s="25" t="str">
        <f t="shared" ca="1" si="4"/>
        <v>&gt;60 dias</v>
      </c>
      <c r="AE85" s="25">
        <f>MONTH(Tabela1[[#This Row],[Criado em]])</f>
        <v>7</v>
      </c>
      <c r="AF85" s="25">
        <f>YEAR(Tabela1[[#This Row],[Criado em]])</f>
        <v>2025</v>
      </c>
      <c r="AG85" s="25">
        <f>COUNTIFS(Tabela1[Mês],Tabela1[[#This Row],[Mês]])</f>
        <v>177</v>
      </c>
      <c r="AH85" s="25">
        <f>COUNTIFS(Tabela1[Mês],Tabela1[[#This Row],[Mês]],Tabela1[Fase atual],"Recebido")</f>
        <v>130</v>
      </c>
      <c r="AI85" s="26">
        <f>Tabela1[[#This Row],[Recebido_ Mes]]/Tabela1[[#This Row],[Total_Mes]]</f>
        <v>0.7344632768361582</v>
      </c>
      <c r="AJ85" s="19">
        <f>COUNTIFS(Tabela1[Fase atual],"Recebido",Tabela1[Mês],Tabela1[[#This Row],[Mês]],Tabela1[Ano],Tabela1[[#This Row],[Ano]])/COUNTIF(Tabela1[Mês],Tabela1[[#This Row],[Mês]])</f>
        <v>0.7344632768361582</v>
      </c>
      <c r="AK85" s="20">
        <f>100%</f>
        <v>1</v>
      </c>
    </row>
    <row r="86" spans="1:37" ht="18" customHeight="1" x14ac:dyDescent="0.25">
      <c r="A86">
        <v>1260053054</v>
      </c>
      <c r="B86" t="s">
        <v>797</v>
      </c>
      <c r="C86" t="s">
        <v>799</v>
      </c>
      <c r="D86" t="s">
        <v>37</v>
      </c>
      <c r="E86" t="s">
        <v>31</v>
      </c>
      <c r="F86" s="2">
        <v>45987.920110520827</v>
      </c>
      <c r="AC86" s="24">
        <f t="shared" ca="1" si="3"/>
        <v>146.07988947917329</v>
      </c>
      <c r="AD86" s="25" t="str">
        <f t="shared" ca="1" si="4"/>
        <v>&gt;60 dias</v>
      </c>
      <c r="AE86" s="25">
        <f>MONTH(Tabela1[[#This Row],[Criado em]])</f>
        <v>11</v>
      </c>
      <c r="AF86" s="25">
        <f>YEAR(Tabela1[[#This Row],[Criado em]])</f>
        <v>2025</v>
      </c>
      <c r="AG86" s="25">
        <f>COUNTIFS(Tabela1[Mês],Tabela1[[#This Row],[Mês]])</f>
        <v>130</v>
      </c>
      <c r="AH86" s="25">
        <f>COUNTIFS(Tabela1[Mês],Tabela1[[#This Row],[Mês]],Tabela1[Fase atual],"Recebido")</f>
        <v>100</v>
      </c>
      <c r="AI86" s="26">
        <f>Tabela1[[#This Row],[Recebido_ Mes]]/Tabela1[[#This Row],[Total_Mes]]</f>
        <v>0.76923076923076927</v>
      </c>
      <c r="AJ86" s="19">
        <f>COUNTIFS(Tabela1[Fase atual],"Recebido",Tabela1[Mês],Tabela1[[#This Row],[Mês]],Tabela1[Ano],Tabela1[[#This Row],[Ano]])/COUNTIF(Tabela1[Mês],Tabela1[[#This Row],[Mês]])</f>
        <v>0.76923076923076927</v>
      </c>
      <c r="AK86" s="20">
        <f>100%</f>
        <v>1</v>
      </c>
    </row>
    <row r="87" spans="1:37" ht="18" customHeight="1" x14ac:dyDescent="0.25">
      <c r="A87">
        <v>1276683496</v>
      </c>
      <c r="B87" t="s">
        <v>75</v>
      </c>
      <c r="C87" t="s">
        <v>76</v>
      </c>
      <c r="D87" t="s">
        <v>37</v>
      </c>
      <c r="E87" t="s">
        <v>31</v>
      </c>
      <c r="F87" s="2">
        <v>46027.921478240743</v>
      </c>
      <c r="AC87" s="24">
        <f t="shared" ca="1" si="3"/>
        <v>106.07852175925655</v>
      </c>
      <c r="AD87" s="25" t="str">
        <f t="shared" ca="1" si="4"/>
        <v>&gt;60 dias</v>
      </c>
      <c r="AE87" s="25">
        <f>MONTH(Tabela1[[#This Row],[Criado em]])</f>
        <v>1</v>
      </c>
      <c r="AF87" s="25">
        <f>YEAR(Tabela1[[#This Row],[Criado em]])</f>
        <v>2026</v>
      </c>
      <c r="AG87" s="25">
        <f>COUNTIFS(Tabela1[Mês],Tabela1[[#This Row],[Mês]])</f>
        <v>222</v>
      </c>
      <c r="AH87" s="25">
        <f>COUNTIFS(Tabela1[Mês],Tabela1[[#This Row],[Mês]],Tabela1[Fase atual],"Recebido")</f>
        <v>174</v>
      </c>
      <c r="AI87" s="26">
        <f>Tabela1[[#This Row],[Recebido_ Mes]]/Tabela1[[#This Row],[Total_Mes]]</f>
        <v>0.78378378378378377</v>
      </c>
      <c r="AJ87" s="19">
        <f>COUNTIFS(Tabela1[Fase atual],"Recebido",Tabela1[Mês],Tabela1[[#This Row],[Mês]],Tabela1[Ano],Tabela1[[#This Row],[Ano]])/COUNTIF(Tabela1[Mês],Tabela1[[#This Row],[Mês]])</f>
        <v>0.78378378378378377</v>
      </c>
      <c r="AK87" s="20">
        <f>100%</f>
        <v>1</v>
      </c>
    </row>
    <row r="88" spans="1:37" ht="18" customHeight="1" x14ac:dyDescent="0.25">
      <c r="A88">
        <v>1282564574</v>
      </c>
      <c r="B88" t="s">
        <v>75</v>
      </c>
      <c r="C88" t="s">
        <v>76</v>
      </c>
      <c r="D88" t="s">
        <v>37</v>
      </c>
      <c r="E88" t="s">
        <v>31</v>
      </c>
      <c r="F88" s="2">
        <v>46037.921624317118</v>
      </c>
      <c r="AC88" s="24">
        <f t="shared" ca="1" si="3"/>
        <v>96.078375682882324</v>
      </c>
      <c r="AD88" s="25" t="str">
        <f t="shared" ca="1" si="4"/>
        <v>&gt;60 dias</v>
      </c>
      <c r="AE88" s="25">
        <f>MONTH(Tabela1[[#This Row],[Criado em]])</f>
        <v>1</v>
      </c>
      <c r="AF88" s="25">
        <f>YEAR(Tabela1[[#This Row],[Criado em]])</f>
        <v>2026</v>
      </c>
      <c r="AG88" s="25">
        <f>COUNTIFS(Tabela1[Mês],Tabela1[[#This Row],[Mês]])</f>
        <v>222</v>
      </c>
      <c r="AH88" s="25">
        <f>COUNTIFS(Tabela1[Mês],Tabela1[[#This Row],[Mês]],Tabela1[Fase atual],"Recebido")</f>
        <v>174</v>
      </c>
      <c r="AI88" s="26">
        <f>Tabela1[[#This Row],[Recebido_ Mes]]/Tabela1[[#This Row],[Total_Mes]]</f>
        <v>0.78378378378378377</v>
      </c>
      <c r="AJ88" s="19">
        <f>COUNTIFS(Tabela1[Fase atual],"Recebido",Tabela1[Mês],Tabela1[[#This Row],[Mês]],Tabela1[Ano],Tabela1[[#This Row],[Ano]])/COUNTIF(Tabela1[Mês],Tabela1[[#This Row],[Mês]])</f>
        <v>0.78378378378378377</v>
      </c>
      <c r="AK88" s="20">
        <f>100%</f>
        <v>1</v>
      </c>
    </row>
    <row r="89" spans="1:37" ht="18" customHeight="1" x14ac:dyDescent="0.25">
      <c r="A89">
        <v>1283062067</v>
      </c>
      <c r="B89" t="s">
        <v>75</v>
      </c>
      <c r="C89" t="s">
        <v>76</v>
      </c>
      <c r="D89" t="s">
        <v>37</v>
      </c>
      <c r="E89" t="s">
        <v>31</v>
      </c>
      <c r="F89" s="2">
        <v>46038.91996086805</v>
      </c>
      <c r="AC89" s="24">
        <f t="shared" ca="1" si="3"/>
        <v>95.080039131949889</v>
      </c>
      <c r="AD89" s="25" t="str">
        <f t="shared" ca="1" si="4"/>
        <v>&gt;60 dias</v>
      </c>
      <c r="AE89" s="25">
        <f>MONTH(Tabela1[[#This Row],[Criado em]])</f>
        <v>1</v>
      </c>
      <c r="AF89" s="25">
        <f>YEAR(Tabela1[[#This Row],[Criado em]])</f>
        <v>2026</v>
      </c>
      <c r="AG89" s="25">
        <f>COUNTIFS(Tabela1[Mês],Tabela1[[#This Row],[Mês]])</f>
        <v>222</v>
      </c>
      <c r="AH89" s="25">
        <f>COUNTIFS(Tabela1[Mês],Tabela1[[#This Row],[Mês]],Tabela1[Fase atual],"Recebido")</f>
        <v>174</v>
      </c>
      <c r="AI89" s="26">
        <f>Tabela1[[#This Row],[Recebido_ Mes]]/Tabela1[[#This Row],[Total_Mes]]</f>
        <v>0.78378378378378377</v>
      </c>
      <c r="AJ89" s="19">
        <f>COUNTIFS(Tabela1[Fase atual],"Recebido",Tabela1[Mês],Tabela1[[#This Row],[Mês]],Tabela1[Ano],Tabela1[[#This Row],[Ano]])/COUNTIF(Tabela1[Mês],Tabela1[[#This Row],[Mês]])</f>
        <v>0.78378378378378377</v>
      </c>
      <c r="AK89" s="20">
        <f>100%</f>
        <v>1</v>
      </c>
    </row>
    <row r="90" spans="1:37" ht="18" customHeight="1" x14ac:dyDescent="0.25">
      <c r="A90">
        <v>1269008938</v>
      </c>
      <c r="B90" t="s">
        <v>800</v>
      </c>
      <c r="C90" t="s">
        <v>801</v>
      </c>
      <c r="D90" t="s">
        <v>37</v>
      </c>
      <c r="E90" t="s">
        <v>31</v>
      </c>
      <c r="F90" s="2">
        <v>46007.638473125</v>
      </c>
      <c r="AC90" s="24">
        <f t="shared" ca="1" si="3"/>
        <v>126.36152687499998</v>
      </c>
      <c r="AD90" s="25" t="str">
        <f t="shared" ca="1" si="4"/>
        <v>&gt;60 dias</v>
      </c>
      <c r="AE90" s="25">
        <f>MONTH(Tabela1[[#This Row],[Criado em]])</f>
        <v>12</v>
      </c>
      <c r="AF90" s="25">
        <f>YEAR(Tabela1[[#This Row],[Criado em]])</f>
        <v>2025</v>
      </c>
      <c r="AG90" s="25">
        <f>COUNTIFS(Tabela1[Mês],Tabela1[[#This Row],[Mês]])</f>
        <v>207</v>
      </c>
      <c r="AH90" s="25">
        <f>COUNTIFS(Tabela1[Mês],Tabela1[[#This Row],[Mês]],Tabela1[Fase atual],"Recebido")</f>
        <v>155</v>
      </c>
      <c r="AI90" s="26">
        <f>Tabela1[[#This Row],[Recebido_ Mes]]/Tabela1[[#This Row],[Total_Mes]]</f>
        <v>0.74879227053140096</v>
      </c>
      <c r="AJ90" s="19">
        <f>COUNTIFS(Tabela1[Fase atual],"Recebido",Tabela1[Mês],Tabela1[[#This Row],[Mês]],Tabela1[Ano],Tabela1[[#This Row],[Ano]])/COUNTIF(Tabela1[Mês],Tabela1[[#This Row],[Mês]])</f>
        <v>0.74879227053140096</v>
      </c>
      <c r="AK90" s="20">
        <f>100%</f>
        <v>1</v>
      </c>
    </row>
    <row r="91" spans="1:37" ht="18" customHeight="1" x14ac:dyDescent="0.25">
      <c r="A91">
        <v>1269009130</v>
      </c>
      <c r="B91" t="s">
        <v>800</v>
      </c>
      <c r="C91" t="s">
        <v>802</v>
      </c>
      <c r="D91" t="s">
        <v>37</v>
      </c>
      <c r="E91" t="s">
        <v>31</v>
      </c>
      <c r="F91" s="2">
        <v>46007.638714652778</v>
      </c>
      <c r="AC91" s="24">
        <f t="shared" ca="1" si="3"/>
        <v>126.36128534722229</v>
      </c>
      <c r="AD91" s="25" t="str">
        <f t="shared" ca="1" si="4"/>
        <v>&gt;60 dias</v>
      </c>
      <c r="AE91" s="25">
        <f>MONTH(Tabela1[[#This Row],[Criado em]])</f>
        <v>12</v>
      </c>
      <c r="AF91" s="25">
        <f>YEAR(Tabela1[[#This Row],[Criado em]])</f>
        <v>2025</v>
      </c>
      <c r="AG91" s="25">
        <f>COUNTIFS(Tabela1[Mês],Tabela1[[#This Row],[Mês]])</f>
        <v>207</v>
      </c>
      <c r="AH91" s="25">
        <f>COUNTIFS(Tabela1[Mês],Tabela1[[#This Row],[Mês]],Tabela1[Fase atual],"Recebido")</f>
        <v>155</v>
      </c>
      <c r="AI91" s="26">
        <f>Tabela1[[#This Row],[Recebido_ Mes]]/Tabela1[[#This Row],[Total_Mes]]</f>
        <v>0.74879227053140096</v>
      </c>
      <c r="AJ91" s="19">
        <f>COUNTIFS(Tabela1[Fase atual],"Recebido",Tabela1[Mês],Tabela1[[#This Row],[Mês]],Tabela1[Ano],Tabela1[[#This Row],[Ano]])/COUNTIF(Tabela1[Mês],Tabela1[[#This Row],[Mês]])</f>
        <v>0.74879227053140096</v>
      </c>
      <c r="AK91" s="20">
        <f>100%</f>
        <v>1</v>
      </c>
    </row>
    <row r="92" spans="1:37" ht="18" customHeight="1" x14ac:dyDescent="0.25">
      <c r="A92">
        <v>1270772637</v>
      </c>
      <c r="B92" t="s">
        <v>800</v>
      </c>
      <c r="C92" t="s">
        <v>803</v>
      </c>
      <c r="D92" t="s">
        <v>37</v>
      </c>
      <c r="E92" t="s">
        <v>31</v>
      </c>
      <c r="F92" s="2">
        <v>46010.812614907409</v>
      </c>
      <c r="AC92" s="24">
        <f t="shared" ca="1" si="3"/>
        <v>123.18738509259128</v>
      </c>
      <c r="AD92" s="25" t="str">
        <f t="shared" ca="1" si="4"/>
        <v>&gt;60 dias</v>
      </c>
      <c r="AE92" s="25">
        <f>MONTH(Tabela1[[#This Row],[Criado em]])</f>
        <v>12</v>
      </c>
      <c r="AF92" s="25">
        <f>YEAR(Tabela1[[#This Row],[Criado em]])</f>
        <v>2025</v>
      </c>
      <c r="AG92" s="25">
        <f>COUNTIFS(Tabela1[Mês],Tabela1[[#This Row],[Mês]])</f>
        <v>207</v>
      </c>
      <c r="AH92" s="25">
        <f>COUNTIFS(Tabela1[Mês],Tabela1[[#This Row],[Mês]],Tabela1[Fase atual],"Recebido")</f>
        <v>155</v>
      </c>
      <c r="AI92" s="26">
        <f>Tabela1[[#This Row],[Recebido_ Mes]]/Tabela1[[#This Row],[Total_Mes]]</f>
        <v>0.74879227053140096</v>
      </c>
      <c r="AJ92" s="19">
        <f>COUNTIFS(Tabela1[Fase atual],"Recebido",Tabela1[Mês],Tabela1[[#This Row],[Mês]],Tabela1[Ano],Tabela1[[#This Row],[Ano]])/COUNTIF(Tabela1[Mês],Tabela1[[#This Row],[Mês]])</f>
        <v>0.74879227053140096</v>
      </c>
      <c r="AK92" s="20">
        <f>100%</f>
        <v>1</v>
      </c>
    </row>
    <row r="93" spans="1:37" ht="18" customHeight="1" x14ac:dyDescent="0.25">
      <c r="A93">
        <v>1285963418</v>
      </c>
      <c r="B93" t="s">
        <v>77</v>
      </c>
      <c r="C93" t="s">
        <v>78</v>
      </c>
      <c r="D93" t="s">
        <v>37</v>
      </c>
      <c r="E93" t="s">
        <v>31</v>
      </c>
      <c r="F93" s="2">
        <v>46044.795458020832</v>
      </c>
      <c r="AC93" s="24">
        <f t="shared" ca="1" si="3"/>
        <v>89.204541979168425</v>
      </c>
      <c r="AD93" s="25" t="str">
        <f t="shared" ca="1" si="4"/>
        <v>&gt;60 dias</v>
      </c>
      <c r="AE93" s="25">
        <f>MONTH(Tabela1[[#This Row],[Criado em]])</f>
        <v>1</v>
      </c>
      <c r="AF93" s="25">
        <f>YEAR(Tabela1[[#This Row],[Criado em]])</f>
        <v>2026</v>
      </c>
      <c r="AG93" s="25">
        <f>COUNTIFS(Tabela1[Mês],Tabela1[[#This Row],[Mês]])</f>
        <v>222</v>
      </c>
      <c r="AH93" s="25">
        <f>COUNTIFS(Tabela1[Mês],Tabela1[[#This Row],[Mês]],Tabela1[Fase atual],"Recebido")</f>
        <v>174</v>
      </c>
      <c r="AI93" s="26">
        <f>Tabela1[[#This Row],[Recebido_ Mes]]/Tabela1[[#This Row],[Total_Mes]]</f>
        <v>0.78378378378378377</v>
      </c>
      <c r="AJ93" s="19">
        <f>COUNTIFS(Tabela1[Fase atual],"Recebido",Tabela1[Mês],Tabela1[[#This Row],[Mês]],Tabela1[Ano],Tabela1[[#This Row],[Ano]])/COUNTIF(Tabela1[Mês],Tabela1[[#This Row],[Mês]])</f>
        <v>0.78378378378378377</v>
      </c>
      <c r="AK93" s="20">
        <f>100%</f>
        <v>1</v>
      </c>
    </row>
    <row r="94" spans="1:37" ht="18" customHeight="1" x14ac:dyDescent="0.25">
      <c r="A94">
        <v>1280327402</v>
      </c>
      <c r="B94" t="s">
        <v>77</v>
      </c>
      <c r="C94" t="s">
        <v>78</v>
      </c>
      <c r="D94" t="s">
        <v>37</v>
      </c>
      <c r="E94" t="s">
        <v>31</v>
      </c>
      <c r="F94" s="2">
        <v>46034.546802534722</v>
      </c>
      <c r="AC94" s="24">
        <f t="shared" ca="1" si="3"/>
        <v>99.453197465278208</v>
      </c>
      <c r="AD94" s="25" t="str">
        <f t="shared" ca="1" si="4"/>
        <v>&gt;60 dias</v>
      </c>
      <c r="AE94" s="25">
        <f>MONTH(Tabela1[[#This Row],[Criado em]])</f>
        <v>1</v>
      </c>
      <c r="AF94" s="25">
        <f>YEAR(Tabela1[[#This Row],[Criado em]])</f>
        <v>2026</v>
      </c>
      <c r="AG94" s="25">
        <f>COUNTIFS(Tabela1[Mês],Tabela1[[#This Row],[Mês]])</f>
        <v>222</v>
      </c>
      <c r="AH94" s="25">
        <f>COUNTIFS(Tabela1[Mês],Tabela1[[#This Row],[Mês]],Tabela1[Fase atual],"Recebido")</f>
        <v>174</v>
      </c>
      <c r="AI94" s="26">
        <f>Tabela1[[#This Row],[Recebido_ Mes]]/Tabela1[[#This Row],[Total_Mes]]</f>
        <v>0.78378378378378377</v>
      </c>
      <c r="AJ94" s="19">
        <f>COUNTIFS(Tabela1[Fase atual],"Recebido",Tabela1[Mês],Tabela1[[#This Row],[Mês]],Tabela1[Ano],Tabela1[[#This Row],[Ano]])/COUNTIF(Tabela1[Mês],Tabela1[[#This Row],[Mês]])</f>
        <v>0.78378378378378377</v>
      </c>
      <c r="AK94" s="20">
        <f>100%</f>
        <v>1</v>
      </c>
    </row>
    <row r="95" spans="1:37" ht="18" customHeight="1" x14ac:dyDescent="0.25">
      <c r="A95">
        <v>1280487640</v>
      </c>
      <c r="B95" t="s">
        <v>79</v>
      </c>
      <c r="C95" t="s">
        <v>80</v>
      </c>
      <c r="D95" t="s">
        <v>37</v>
      </c>
      <c r="E95" t="s">
        <v>31</v>
      </c>
      <c r="F95" s="2">
        <v>46034.691802164351</v>
      </c>
      <c r="AC95" s="24">
        <f t="shared" ca="1" si="3"/>
        <v>99.30819783564948</v>
      </c>
      <c r="AD95" s="25" t="str">
        <f t="shared" ca="1" si="4"/>
        <v>&gt;60 dias</v>
      </c>
      <c r="AE95" s="25">
        <f>MONTH(Tabela1[[#This Row],[Criado em]])</f>
        <v>1</v>
      </c>
      <c r="AF95" s="25">
        <f>YEAR(Tabela1[[#This Row],[Criado em]])</f>
        <v>2026</v>
      </c>
      <c r="AG95" s="25">
        <f>COUNTIFS(Tabela1[Mês],Tabela1[[#This Row],[Mês]])</f>
        <v>222</v>
      </c>
      <c r="AH95" s="25">
        <f>COUNTIFS(Tabela1[Mês],Tabela1[[#This Row],[Mês]],Tabela1[Fase atual],"Recebido")</f>
        <v>174</v>
      </c>
      <c r="AI95" s="26">
        <f>Tabela1[[#This Row],[Recebido_ Mes]]/Tabela1[[#This Row],[Total_Mes]]</f>
        <v>0.78378378378378377</v>
      </c>
      <c r="AJ95" s="19">
        <f>COUNTIFS(Tabela1[Fase atual],"Recebido",Tabela1[Mês],Tabela1[[#This Row],[Mês]],Tabela1[Ano],Tabela1[[#This Row],[Ano]])/COUNTIF(Tabela1[Mês],Tabela1[[#This Row],[Mês]])</f>
        <v>0.78378378378378377</v>
      </c>
      <c r="AK95" s="20">
        <f>100%</f>
        <v>1</v>
      </c>
    </row>
    <row r="96" spans="1:37" ht="18" customHeight="1" x14ac:dyDescent="0.25">
      <c r="A96">
        <v>1210303820</v>
      </c>
      <c r="B96" t="s">
        <v>804</v>
      </c>
      <c r="C96" t="s">
        <v>805</v>
      </c>
      <c r="D96" t="s">
        <v>37</v>
      </c>
      <c r="E96" t="s">
        <v>31</v>
      </c>
      <c r="F96" s="2">
        <v>45908.643234328702</v>
      </c>
      <c r="AC96" s="24">
        <f t="shared" ca="1" si="3"/>
        <v>225.35676567129849</v>
      </c>
      <c r="AD96" s="25" t="str">
        <f t="shared" ca="1" si="4"/>
        <v>&gt;60 dias</v>
      </c>
      <c r="AE96" s="25">
        <f>MONTH(Tabela1[[#This Row],[Criado em]])</f>
        <v>9</v>
      </c>
      <c r="AF96" s="25">
        <f>YEAR(Tabela1[[#This Row],[Criado em]])</f>
        <v>2025</v>
      </c>
      <c r="AG96" s="25">
        <f>COUNTIFS(Tabela1[Mês],Tabela1[[#This Row],[Mês]])</f>
        <v>197</v>
      </c>
      <c r="AH96" s="25">
        <f>COUNTIFS(Tabela1[Mês],Tabela1[[#This Row],[Mês]],Tabela1[Fase atual],"Recebido")</f>
        <v>152</v>
      </c>
      <c r="AI96" s="26">
        <f>Tabela1[[#This Row],[Recebido_ Mes]]/Tabela1[[#This Row],[Total_Mes]]</f>
        <v>0.77157360406091369</v>
      </c>
      <c r="AJ96" s="19">
        <f>COUNTIFS(Tabela1[Fase atual],"Recebido",Tabela1[Mês],Tabela1[[#This Row],[Mês]],Tabela1[Ano],Tabela1[[#This Row],[Ano]])/COUNTIF(Tabela1[Mês],Tabela1[[#This Row],[Mês]])</f>
        <v>0.77157360406091369</v>
      </c>
      <c r="AK96" s="20">
        <f>100%</f>
        <v>1</v>
      </c>
    </row>
    <row r="97" spans="1:37" ht="18" customHeight="1" x14ac:dyDescent="0.25">
      <c r="A97">
        <v>1212890924</v>
      </c>
      <c r="B97" t="s">
        <v>806</v>
      </c>
      <c r="C97" t="s">
        <v>807</v>
      </c>
      <c r="D97" t="s">
        <v>37</v>
      </c>
      <c r="E97" t="s">
        <v>31</v>
      </c>
      <c r="F97" s="2">
        <v>45912.019141099539</v>
      </c>
      <c r="AC97" s="24">
        <f t="shared" ca="1" si="3"/>
        <v>221.98085890046059</v>
      </c>
      <c r="AD97" s="25" t="str">
        <f t="shared" ca="1" si="4"/>
        <v>&gt;60 dias</v>
      </c>
      <c r="AE97" s="25">
        <f>MONTH(Tabela1[[#This Row],[Criado em]])</f>
        <v>9</v>
      </c>
      <c r="AF97" s="25">
        <f>YEAR(Tabela1[[#This Row],[Criado em]])</f>
        <v>2025</v>
      </c>
      <c r="AG97" s="25">
        <f>COUNTIFS(Tabela1[Mês],Tabela1[[#This Row],[Mês]])</f>
        <v>197</v>
      </c>
      <c r="AH97" s="25">
        <f>COUNTIFS(Tabela1[Mês],Tabela1[[#This Row],[Mês]],Tabela1[Fase atual],"Recebido")</f>
        <v>152</v>
      </c>
      <c r="AI97" s="26">
        <f>Tabela1[[#This Row],[Recebido_ Mes]]/Tabela1[[#This Row],[Total_Mes]]</f>
        <v>0.77157360406091369</v>
      </c>
      <c r="AJ97" s="19">
        <f>COUNTIFS(Tabela1[Fase atual],"Recebido",Tabela1[Mês],Tabela1[[#This Row],[Mês]],Tabela1[Ano],Tabela1[[#This Row],[Ano]])/COUNTIF(Tabela1[Mês],Tabela1[[#This Row],[Mês]])</f>
        <v>0.77157360406091369</v>
      </c>
      <c r="AK97" s="20">
        <f>100%</f>
        <v>1</v>
      </c>
    </row>
    <row r="98" spans="1:37" ht="18" customHeight="1" x14ac:dyDescent="0.25">
      <c r="A98">
        <v>1219402089</v>
      </c>
      <c r="B98" t="s">
        <v>806</v>
      </c>
      <c r="C98" t="s">
        <v>807</v>
      </c>
      <c r="D98" t="s">
        <v>37</v>
      </c>
      <c r="E98" t="s">
        <v>31</v>
      </c>
      <c r="F98" s="2">
        <v>45922.851353287042</v>
      </c>
      <c r="AC98" s="24">
        <f t="shared" ca="1" si="3"/>
        <v>211.148646712958</v>
      </c>
      <c r="AD98" s="25" t="str">
        <f t="shared" ca="1" si="4"/>
        <v>&gt;60 dias</v>
      </c>
      <c r="AE98" s="25">
        <f>MONTH(Tabela1[[#This Row],[Criado em]])</f>
        <v>9</v>
      </c>
      <c r="AF98" s="25">
        <f>YEAR(Tabela1[[#This Row],[Criado em]])</f>
        <v>2025</v>
      </c>
      <c r="AG98" s="25">
        <f>COUNTIFS(Tabela1[Mês],Tabela1[[#This Row],[Mês]])</f>
        <v>197</v>
      </c>
      <c r="AH98" s="25">
        <f>COUNTIFS(Tabela1[Mês],Tabela1[[#This Row],[Mês]],Tabela1[Fase atual],"Recebido")</f>
        <v>152</v>
      </c>
      <c r="AI98" s="26">
        <f>Tabela1[[#This Row],[Recebido_ Mes]]/Tabela1[[#This Row],[Total_Mes]]</f>
        <v>0.77157360406091369</v>
      </c>
      <c r="AJ98" s="19">
        <f>COUNTIFS(Tabela1[Fase atual],"Recebido",Tabela1[Mês],Tabela1[[#This Row],[Mês]],Tabela1[Ano],Tabela1[[#This Row],[Ano]])/COUNTIF(Tabela1[Mês],Tabela1[[#This Row],[Mês]])</f>
        <v>0.77157360406091369</v>
      </c>
      <c r="AK98" s="20">
        <f>100%</f>
        <v>1</v>
      </c>
    </row>
    <row r="99" spans="1:37" ht="18" customHeight="1" x14ac:dyDescent="0.25">
      <c r="A99">
        <v>1210539830</v>
      </c>
      <c r="B99" t="s">
        <v>806</v>
      </c>
      <c r="C99" t="s">
        <v>807</v>
      </c>
      <c r="D99" t="s">
        <v>37</v>
      </c>
      <c r="E99" t="s">
        <v>31</v>
      </c>
      <c r="F99" s="2">
        <v>45908.851568923608</v>
      </c>
      <c r="AC99" s="24">
        <f t="shared" ca="1" si="3"/>
        <v>225.14843107639172</v>
      </c>
      <c r="AD99" s="25" t="str">
        <f t="shared" ca="1" si="4"/>
        <v>&gt;60 dias</v>
      </c>
      <c r="AE99" s="25">
        <f>MONTH(Tabela1[[#This Row],[Criado em]])</f>
        <v>9</v>
      </c>
      <c r="AF99" s="25">
        <f>YEAR(Tabela1[[#This Row],[Criado em]])</f>
        <v>2025</v>
      </c>
      <c r="AG99" s="25">
        <f>COUNTIFS(Tabela1[Mês],Tabela1[[#This Row],[Mês]])</f>
        <v>197</v>
      </c>
      <c r="AH99" s="25">
        <f>COUNTIFS(Tabela1[Mês],Tabela1[[#This Row],[Mês]],Tabela1[Fase atual],"Recebido")</f>
        <v>152</v>
      </c>
      <c r="AI99" s="26">
        <f>Tabela1[[#This Row],[Recebido_ Mes]]/Tabela1[[#This Row],[Total_Mes]]</f>
        <v>0.77157360406091369</v>
      </c>
      <c r="AJ99" s="19">
        <f>COUNTIFS(Tabela1[Fase atual],"Recebido",Tabela1[Mês],Tabela1[[#This Row],[Mês]],Tabela1[Ano],Tabela1[[#This Row],[Ano]])/COUNTIF(Tabela1[Mês],Tabela1[[#This Row],[Mês]])</f>
        <v>0.77157360406091369</v>
      </c>
      <c r="AK99" s="20">
        <f>100%</f>
        <v>1</v>
      </c>
    </row>
    <row r="100" spans="1:37" ht="18" customHeight="1" x14ac:dyDescent="0.25">
      <c r="A100">
        <v>1309288013</v>
      </c>
      <c r="B100" t="s">
        <v>812</v>
      </c>
      <c r="C100" t="s">
        <v>809</v>
      </c>
      <c r="D100" t="s">
        <v>2179</v>
      </c>
      <c r="E100" t="s">
        <v>31</v>
      </c>
      <c r="F100" s="2">
        <v>46085.79473966435</v>
      </c>
      <c r="AC100" s="24">
        <f t="shared" ca="1" si="3"/>
        <v>48.205260335649655</v>
      </c>
      <c r="AD100" s="25" t="str">
        <f t="shared" ca="1" si="4"/>
        <v>31-60 dias</v>
      </c>
      <c r="AE100" s="25">
        <f>MONTH(Tabela1[[#This Row],[Criado em]])</f>
        <v>3</v>
      </c>
      <c r="AF100" s="25">
        <f>YEAR(Tabela1[[#This Row],[Criado em]])</f>
        <v>2026</v>
      </c>
      <c r="AG100" s="25">
        <f>COUNTIFS(Tabela1[Mês],Tabela1[[#This Row],[Mês]])</f>
        <v>62</v>
      </c>
      <c r="AH100" s="25">
        <f>COUNTIFS(Tabela1[Mês],Tabela1[[#This Row],[Mês]],Tabela1[Fase atual],"Recebido")</f>
        <v>13</v>
      </c>
      <c r="AI100" s="26">
        <f>Tabela1[[#This Row],[Recebido_ Mes]]/Tabela1[[#This Row],[Total_Mes]]</f>
        <v>0.20967741935483872</v>
      </c>
      <c r="AJ100" s="19">
        <f>COUNTIFS(Tabela1[Fase atual],"Recebido",Tabela1[Mês],Tabela1[[#This Row],[Mês]],Tabela1[Ano],Tabela1[[#This Row],[Ano]])/COUNTIF(Tabela1[Mês],Tabela1[[#This Row],[Mês]])</f>
        <v>0.20967741935483872</v>
      </c>
      <c r="AK100" s="20">
        <f>100%</f>
        <v>1</v>
      </c>
    </row>
    <row r="101" spans="1:37" ht="18" customHeight="1" x14ac:dyDescent="0.25">
      <c r="A101">
        <v>1186589400</v>
      </c>
      <c r="B101" t="s">
        <v>808</v>
      </c>
      <c r="C101" t="s">
        <v>809</v>
      </c>
      <c r="D101" t="s">
        <v>784</v>
      </c>
      <c r="E101" t="s">
        <v>31</v>
      </c>
      <c r="F101" s="2">
        <v>45869.851782685189</v>
      </c>
      <c r="AC101" s="24">
        <f t="shared" ca="1" si="3"/>
        <v>264.14821731481061</v>
      </c>
      <c r="AD101" s="25" t="str">
        <f t="shared" ca="1" si="4"/>
        <v>&gt;60 dias</v>
      </c>
      <c r="AE101" s="25">
        <f>MONTH(Tabela1[[#This Row],[Criado em]])</f>
        <v>7</v>
      </c>
      <c r="AF101" s="25">
        <f>YEAR(Tabela1[[#This Row],[Criado em]])</f>
        <v>2025</v>
      </c>
      <c r="AG101" s="25">
        <f>COUNTIFS(Tabela1[Mês],Tabela1[[#This Row],[Mês]])</f>
        <v>177</v>
      </c>
      <c r="AH101" s="25">
        <f>COUNTIFS(Tabela1[Mês],Tabela1[[#This Row],[Mês]],Tabela1[Fase atual],"Recebido")</f>
        <v>130</v>
      </c>
      <c r="AI101" s="26">
        <f>Tabela1[[#This Row],[Recebido_ Mes]]/Tabela1[[#This Row],[Total_Mes]]</f>
        <v>0.7344632768361582</v>
      </c>
      <c r="AJ101" s="19">
        <f>COUNTIFS(Tabela1[Fase atual],"Recebido",Tabela1[Mês],Tabela1[[#This Row],[Mês]],Tabela1[Ano],Tabela1[[#This Row],[Ano]])/COUNTIF(Tabela1[Mês],Tabela1[[#This Row],[Mês]])</f>
        <v>0.7344632768361582</v>
      </c>
      <c r="AK101" s="20">
        <f>100%</f>
        <v>1</v>
      </c>
    </row>
    <row r="102" spans="1:37" ht="18" customHeight="1" x14ac:dyDescent="0.25">
      <c r="A102">
        <v>1285248472</v>
      </c>
      <c r="B102" t="s">
        <v>81</v>
      </c>
      <c r="C102" t="s">
        <v>82</v>
      </c>
      <c r="D102" t="s">
        <v>37</v>
      </c>
      <c r="E102" t="s">
        <v>31</v>
      </c>
      <c r="F102" s="2">
        <v>46043.795922083329</v>
      </c>
      <c r="AC102" s="24">
        <f t="shared" ca="1" si="3"/>
        <v>90.20407791667094</v>
      </c>
      <c r="AD102" s="25" t="str">
        <f t="shared" ca="1" si="4"/>
        <v>&gt;60 dias</v>
      </c>
      <c r="AE102" s="25">
        <f>MONTH(Tabela1[[#This Row],[Criado em]])</f>
        <v>1</v>
      </c>
      <c r="AF102" s="25">
        <f>YEAR(Tabela1[[#This Row],[Criado em]])</f>
        <v>2026</v>
      </c>
      <c r="AG102" s="25">
        <f>COUNTIFS(Tabela1[Mês],Tabela1[[#This Row],[Mês]])</f>
        <v>222</v>
      </c>
      <c r="AH102" s="25">
        <f>COUNTIFS(Tabela1[Mês],Tabela1[[#This Row],[Mês]],Tabela1[Fase atual],"Recebido")</f>
        <v>174</v>
      </c>
      <c r="AI102" s="26">
        <f>Tabela1[[#This Row],[Recebido_ Mes]]/Tabela1[[#This Row],[Total_Mes]]</f>
        <v>0.78378378378378377</v>
      </c>
      <c r="AJ102" s="19">
        <f>COUNTIFS(Tabela1[Fase atual],"Recebido",Tabela1[Mês],Tabela1[[#This Row],[Mês]],Tabela1[Ano],Tabela1[[#This Row],[Ano]])/COUNTIF(Tabela1[Mês],Tabela1[[#This Row],[Mês]])</f>
        <v>0.78378378378378377</v>
      </c>
      <c r="AK102" s="20">
        <f>100%</f>
        <v>1</v>
      </c>
    </row>
    <row r="103" spans="1:37" ht="18" customHeight="1" x14ac:dyDescent="0.25">
      <c r="A103">
        <v>1229667185</v>
      </c>
      <c r="B103" t="s">
        <v>810</v>
      </c>
      <c r="C103" t="s">
        <v>811</v>
      </c>
      <c r="D103" t="s">
        <v>37</v>
      </c>
      <c r="E103" t="s">
        <v>31</v>
      </c>
      <c r="F103" s="2">
        <v>45937.643341967589</v>
      </c>
      <c r="AC103" s="24">
        <f t="shared" ca="1" si="3"/>
        <v>196.35665803241136</v>
      </c>
      <c r="AD103" s="25" t="str">
        <f t="shared" ca="1" si="4"/>
        <v>&gt;60 dias</v>
      </c>
      <c r="AE103" s="25">
        <f>MONTH(Tabela1[[#This Row],[Criado em]])</f>
        <v>10</v>
      </c>
      <c r="AF103" s="25">
        <f>YEAR(Tabela1[[#This Row],[Criado em]])</f>
        <v>2025</v>
      </c>
      <c r="AG103" s="25">
        <f>COUNTIFS(Tabela1[Mês],Tabela1[[#This Row],[Mês]])</f>
        <v>196</v>
      </c>
      <c r="AH103" s="25">
        <f>COUNTIFS(Tabela1[Mês],Tabela1[[#This Row],[Mês]],Tabela1[Fase atual],"Recebido")</f>
        <v>138</v>
      </c>
      <c r="AI103" s="26">
        <f>Tabela1[[#This Row],[Recebido_ Mes]]/Tabela1[[#This Row],[Total_Mes]]</f>
        <v>0.70408163265306123</v>
      </c>
      <c r="AJ103" s="19">
        <f>COUNTIFS(Tabela1[Fase atual],"Recebido",Tabela1[Mês],Tabela1[[#This Row],[Mês]],Tabela1[Ano],Tabela1[[#This Row],[Ano]])/COUNTIF(Tabela1[Mês],Tabela1[[#This Row],[Mês]])</f>
        <v>0.70408163265306123</v>
      </c>
      <c r="AK103" s="20">
        <f>100%</f>
        <v>1</v>
      </c>
    </row>
    <row r="104" spans="1:37" ht="18" customHeight="1" x14ac:dyDescent="0.25">
      <c r="A104">
        <v>1180442384</v>
      </c>
      <c r="B104" t="s">
        <v>812</v>
      </c>
      <c r="C104" t="s">
        <v>813</v>
      </c>
      <c r="D104" t="s">
        <v>40</v>
      </c>
      <c r="E104" t="s">
        <v>31</v>
      </c>
      <c r="F104" s="2">
        <v>45859.851228506937</v>
      </c>
      <c r="AC104" s="24">
        <f t="shared" ca="1" si="3"/>
        <v>274.14877149306267</v>
      </c>
      <c r="AD104" s="25" t="str">
        <f t="shared" ca="1" si="4"/>
        <v>&gt;60 dias</v>
      </c>
      <c r="AE104" s="25">
        <f>MONTH(Tabela1[[#This Row],[Criado em]])</f>
        <v>7</v>
      </c>
      <c r="AF104" s="25">
        <f>YEAR(Tabela1[[#This Row],[Criado em]])</f>
        <v>2025</v>
      </c>
      <c r="AG104" s="25">
        <f>COUNTIFS(Tabela1[Mês],Tabela1[[#This Row],[Mês]])</f>
        <v>177</v>
      </c>
      <c r="AH104" s="25">
        <f>COUNTIFS(Tabela1[Mês],Tabela1[[#This Row],[Mês]],Tabela1[Fase atual],"Recebido")</f>
        <v>130</v>
      </c>
      <c r="AI104" s="26">
        <f>Tabela1[[#This Row],[Recebido_ Mes]]/Tabela1[[#This Row],[Total_Mes]]</f>
        <v>0.7344632768361582</v>
      </c>
      <c r="AJ104" s="19">
        <f>COUNTIFS(Tabela1[Fase atual],"Recebido",Tabela1[Mês],Tabela1[[#This Row],[Mês]],Tabela1[Ano],Tabela1[[#This Row],[Ano]])/COUNTIF(Tabela1[Mês],Tabela1[[#This Row],[Mês]])</f>
        <v>0.7344632768361582</v>
      </c>
      <c r="AK104" s="20">
        <f>100%</f>
        <v>1</v>
      </c>
    </row>
    <row r="105" spans="1:37" ht="18" customHeight="1" x14ac:dyDescent="0.25">
      <c r="A105">
        <v>1227482992</v>
      </c>
      <c r="B105" t="s">
        <v>814</v>
      </c>
      <c r="C105" t="s">
        <v>815</v>
      </c>
      <c r="D105" t="s">
        <v>37</v>
      </c>
      <c r="E105" t="s">
        <v>31</v>
      </c>
      <c r="F105" s="2">
        <v>45934.643012002307</v>
      </c>
      <c r="AC105" s="24">
        <f t="shared" ca="1" si="3"/>
        <v>199.35698799769307</v>
      </c>
      <c r="AD105" s="25" t="str">
        <f t="shared" ca="1" si="4"/>
        <v>&gt;60 dias</v>
      </c>
      <c r="AE105" s="25">
        <f>MONTH(Tabela1[[#This Row],[Criado em]])</f>
        <v>10</v>
      </c>
      <c r="AF105" s="25">
        <f>YEAR(Tabela1[[#This Row],[Criado em]])</f>
        <v>2025</v>
      </c>
      <c r="AG105" s="25">
        <f>COUNTIFS(Tabela1[Mês],Tabela1[[#This Row],[Mês]])</f>
        <v>196</v>
      </c>
      <c r="AH105" s="25">
        <f>COUNTIFS(Tabela1[Mês],Tabela1[[#This Row],[Mês]],Tabela1[Fase atual],"Recebido")</f>
        <v>138</v>
      </c>
      <c r="AI105" s="26">
        <f>Tabela1[[#This Row],[Recebido_ Mes]]/Tabela1[[#This Row],[Total_Mes]]</f>
        <v>0.70408163265306123</v>
      </c>
      <c r="AJ105" s="19">
        <f>COUNTIFS(Tabela1[Fase atual],"Recebido",Tabela1[Mês],Tabela1[[#This Row],[Mês]],Tabela1[Ano],Tabela1[[#This Row],[Ano]])/COUNTIF(Tabela1[Mês],Tabela1[[#This Row],[Mês]])</f>
        <v>0.70408163265306123</v>
      </c>
      <c r="AK105" s="20">
        <f>100%</f>
        <v>1</v>
      </c>
    </row>
    <row r="106" spans="1:37" ht="18" customHeight="1" x14ac:dyDescent="0.25">
      <c r="A106">
        <v>1294340376</v>
      </c>
      <c r="B106" t="s">
        <v>83</v>
      </c>
      <c r="C106" t="s">
        <v>84</v>
      </c>
      <c r="D106" t="s">
        <v>37</v>
      </c>
      <c r="E106" t="s">
        <v>31</v>
      </c>
      <c r="F106" s="2">
        <v>46059.628081898147</v>
      </c>
      <c r="AC106" s="24">
        <f t="shared" ca="1" si="3"/>
        <v>74.371918101853225</v>
      </c>
      <c r="AD106" s="25" t="str">
        <f t="shared" ca="1" si="4"/>
        <v>&gt;60 dias</v>
      </c>
      <c r="AE106" s="25">
        <f>MONTH(Tabela1[[#This Row],[Criado em]])</f>
        <v>2</v>
      </c>
      <c r="AF106" s="25">
        <f>YEAR(Tabela1[[#This Row],[Criado em]])</f>
        <v>2026</v>
      </c>
      <c r="AG106" s="25">
        <f>COUNTIFS(Tabela1[Mês],Tabela1[[#This Row],[Mês]])</f>
        <v>197</v>
      </c>
      <c r="AH106" s="25">
        <f>COUNTIFS(Tabela1[Mês],Tabela1[[#This Row],[Mês]],Tabela1[Fase atual],"Recebido")</f>
        <v>124</v>
      </c>
      <c r="AI106" s="26">
        <f>Tabela1[[#This Row],[Recebido_ Mes]]/Tabela1[[#This Row],[Total_Mes]]</f>
        <v>0.62944162436548223</v>
      </c>
      <c r="AJ106" s="19">
        <f>COUNTIFS(Tabela1[Fase atual],"Recebido",Tabela1[Mês],Tabela1[[#This Row],[Mês]],Tabela1[Ano],Tabela1[[#This Row],[Ano]])/COUNTIF(Tabela1[Mês],Tabela1[[#This Row],[Mês]])</f>
        <v>0.62944162436548223</v>
      </c>
      <c r="AK106" s="20">
        <f>100%</f>
        <v>1</v>
      </c>
    </row>
    <row r="107" spans="1:37" ht="18" customHeight="1" x14ac:dyDescent="0.25">
      <c r="A107">
        <v>1268644768</v>
      </c>
      <c r="B107" t="s">
        <v>816</v>
      </c>
      <c r="C107" t="s">
        <v>84</v>
      </c>
      <c r="D107" t="s">
        <v>37</v>
      </c>
      <c r="E107" t="s">
        <v>31</v>
      </c>
      <c r="F107" s="2">
        <v>46006.797600439822</v>
      </c>
      <c r="AC107" s="24">
        <f t="shared" ca="1" si="3"/>
        <v>127.20239956017758</v>
      </c>
      <c r="AD107" s="25" t="str">
        <f t="shared" ca="1" si="4"/>
        <v>&gt;60 dias</v>
      </c>
      <c r="AE107" s="25">
        <f>MONTH(Tabela1[[#This Row],[Criado em]])</f>
        <v>12</v>
      </c>
      <c r="AF107" s="25">
        <f>YEAR(Tabela1[[#This Row],[Criado em]])</f>
        <v>2025</v>
      </c>
      <c r="AG107" s="25">
        <f>COUNTIFS(Tabela1[Mês],Tabela1[[#This Row],[Mês]])</f>
        <v>207</v>
      </c>
      <c r="AH107" s="25">
        <f>COUNTIFS(Tabela1[Mês],Tabela1[[#This Row],[Mês]],Tabela1[Fase atual],"Recebido")</f>
        <v>155</v>
      </c>
      <c r="AI107" s="26">
        <f>Tabela1[[#This Row],[Recebido_ Mes]]/Tabela1[[#This Row],[Total_Mes]]</f>
        <v>0.74879227053140096</v>
      </c>
      <c r="AJ107" s="19">
        <f>COUNTIFS(Tabela1[Fase atual],"Recebido",Tabela1[Mês],Tabela1[[#This Row],[Mês]],Tabela1[Ano],Tabela1[[#This Row],[Ano]])/COUNTIF(Tabela1[Mês],Tabela1[[#This Row],[Mês]])</f>
        <v>0.74879227053140096</v>
      </c>
      <c r="AK107" s="20">
        <f>100%</f>
        <v>1</v>
      </c>
    </row>
    <row r="108" spans="1:37" ht="18" customHeight="1" x14ac:dyDescent="0.25">
      <c r="A108">
        <v>1224667509</v>
      </c>
      <c r="B108" t="s">
        <v>138</v>
      </c>
      <c r="C108" t="s">
        <v>817</v>
      </c>
      <c r="D108" t="s">
        <v>37</v>
      </c>
      <c r="E108" t="s">
        <v>31</v>
      </c>
      <c r="F108" s="2">
        <v>45930.831835474542</v>
      </c>
      <c r="AC108" s="24">
        <f t="shared" ca="1" si="3"/>
        <v>203.16816452545754</v>
      </c>
      <c r="AD108" s="25" t="str">
        <f t="shared" ca="1" si="4"/>
        <v>&gt;60 dias</v>
      </c>
      <c r="AE108" s="25">
        <f>MONTH(Tabela1[[#This Row],[Criado em]])</f>
        <v>9</v>
      </c>
      <c r="AF108" s="25">
        <f>YEAR(Tabela1[[#This Row],[Criado em]])</f>
        <v>2025</v>
      </c>
      <c r="AG108" s="25">
        <f>COUNTIFS(Tabela1[Mês],Tabela1[[#This Row],[Mês]])</f>
        <v>197</v>
      </c>
      <c r="AH108" s="25">
        <f>COUNTIFS(Tabela1[Mês],Tabela1[[#This Row],[Mês]],Tabela1[Fase atual],"Recebido")</f>
        <v>152</v>
      </c>
      <c r="AI108" s="26">
        <f>Tabela1[[#This Row],[Recebido_ Mes]]/Tabela1[[#This Row],[Total_Mes]]</f>
        <v>0.77157360406091369</v>
      </c>
      <c r="AJ108" s="19">
        <f>COUNTIFS(Tabela1[Fase atual],"Recebido",Tabela1[Mês],Tabela1[[#This Row],[Mês]],Tabela1[Ano],Tabela1[[#This Row],[Ano]])/COUNTIF(Tabela1[Mês],Tabela1[[#This Row],[Mês]])</f>
        <v>0.77157360406091369</v>
      </c>
      <c r="AK108" s="20">
        <f>100%</f>
        <v>1</v>
      </c>
    </row>
    <row r="109" spans="1:37" ht="18" customHeight="1" x14ac:dyDescent="0.25">
      <c r="A109">
        <v>1267727457</v>
      </c>
      <c r="B109" t="s">
        <v>818</v>
      </c>
      <c r="C109" t="s">
        <v>819</v>
      </c>
      <c r="D109" t="s">
        <v>37</v>
      </c>
      <c r="E109" t="s">
        <v>31</v>
      </c>
      <c r="F109" s="2">
        <v>46003.7969977662</v>
      </c>
      <c r="AC109" s="24">
        <f t="shared" ca="1" si="3"/>
        <v>130.20300223380036</v>
      </c>
      <c r="AD109" s="25" t="str">
        <f t="shared" ca="1" si="4"/>
        <v>&gt;60 dias</v>
      </c>
      <c r="AE109" s="25">
        <f>MONTH(Tabela1[[#This Row],[Criado em]])</f>
        <v>12</v>
      </c>
      <c r="AF109" s="25">
        <f>YEAR(Tabela1[[#This Row],[Criado em]])</f>
        <v>2025</v>
      </c>
      <c r="AG109" s="25">
        <f>COUNTIFS(Tabela1[Mês],Tabela1[[#This Row],[Mês]])</f>
        <v>207</v>
      </c>
      <c r="AH109" s="25">
        <f>COUNTIFS(Tabela1[Mês],Tabela1[[#This Row],[Mês]],Tabela1[Fase atual],"Recebido")</f>
        <v>155</v>
      </c>
      <c r="AI109" s="26">
        <f>Tabela1[[#This Row],[Recebido_ Mes]]/Tabela1[[#This Row],[Total_Mes]]</f>
        <v>0.74879227053140096</v>
      </c>
      <c r="AJ109" s="19">
        <f>COUNTIFS(Tabela1[Fase atual],"Recebido",Tabela1[Mês],Tabela1[[#This Row],[Mês]],Tabela1[Ano],Tabela1[[#This Row],[Ano]])/COUNTIF(Tabela1[Mês],Tabela1[[#This Row],[Mês]])</f>
        <v>0.74879227053140096</v>
      </c>
      <c r="AK109" s="20">
        <f>100%</f>
        <v>1</v>
      </c>
    </row>
    <row r="110" spans="1:37" ht="18" customHeight="1" x14ac:dyDescent="0.25">
      <c r="A110">
        <v>1172781629</v>
      </c>
      <c r="B110" t="s">
        <v>820</v>
      </c>
      <c r="C110" t="s">
        <v>821</v>
      </c>
      <c r="D110" t="s">
        <v>37</v>
      </c>
      <c r="E110" t="s">
        <v>31</v>
      </c>
      <c r="F110" s="2">
        <v>45845.851824525467</v>
      </c>
      <c r="AC110" s="24">
        <f t="shared" ca="1" si="3"/>
        <v>288.14817547453276</v>
      </c>
      <c r="AD110" s="25" t="str">
        <f t="shared" ca="1" si="4"/>
        <v>&gt;60 dias</v>
      </c>
      <c r="AE110" s="25">
        <f>MONTH(Tabela1[[#This Row],[Criado em]])</f>
        <v>7</v>
      </c>
      <c r="AF110" s="25">
        <f>YEAR(Tabela1[[#This Row],[Criado em]])</f>
        <v>2025</v>
      </c>
      <c r="AG110" s="25">
        <f>COUNTIFS(Tabela1[Mês],Tabela1[[#This Row],[Mês]])</f>
        <v>177</v>
      </c>
      <c r="AH110" s="25">
        <f>COUNTIFS(Tabela1[Mês],Tabela1[[#This Row],[Mês]],Tabela1[Fase atual],"Recebido")</f>
        <v>130</v>
      </c>
      <c r="AI110" s="26">
        <f>Tabela1[[#This Row],[Recebido_ Mes]]/Tabela1[[#This Row],[Total_Mes]]</f>
        <v>0.7344632768361582</v>
      </c>
      <c r="AJ110" s="19">
        <f>COUNTIFS(Tabela1[Fase atual],"Recebido",Tabela1[Mês],Tabela1[[#This Row],[Mês]],Tabela1[Ano],Tabela1[[#This Row],[Ano]])/COUNTIF(Tabela1[Mês],Tabela1[[#This Row],[Mês]])</f>
        <v>0.7344632768361582</v>
      </c>
      <c r="AK110" s="20">
        <f>100%</f>
        <v>1</v>
      </c>
    </row>
    <row r="111" spans="1:37" ht="18" customHeight="1" x14ac:dyDescent="0.25">
      <c r="A111">
        <v>1185318169</v>
      </c>
      <c r="B111" t="s">
        <v>822</v>
      </c>
      <c r="C111" t="s">
        <v>823</v>
      </c>
      <c r="D111" t="s">
        <v>37</v>
      </c>
      <c r="E111" t="s">
        <v>31</v>
      </c>
      <c r="F111" s="2">
        <v>45867.807268819437</v>
      </c>
      <c r="AC111" s="24">
        <f t="shared" ca="1" si="3"/>
        <v>266.19273118056299</v>
      </c>
      <c r="AD111" s="25" t="str">
        <f t="shared" ca="1" si="4"/>
        <v>&gt;60 dias</v>
      </c>
      <c r="AE111" s="25">
        <f>MONTH(Tabela1[[#This Row],[Criado em]])</f>
        <v>7</v>
      </c>
      <c r="AF111" s="25">
        <f>YEAR(Tabela1[[#This Row],[Criado em]])</f>
        <v>2025</v>
      </c>
      <c r="AG111" s="25">
        <f>COUNTIFS(Tabela1[Mês],Tabela1[[#This Row],[Mês]])</f>
        <v>177</v>
      </c>
      <c r="AH111" s="25">
        <f>COUNTIFS(Tabela1[Mês],Tabela1[[#This Row],[Mês]],Tabela1[Fase atual],"Recebido")</f>
        <v>130</v>
      </c>
      <c r="AI111" s="26">
        <f>Tabela1[[#This Row],[Recebido_ Mes]]/Tabela1[[#This Row],[Total_Mes]]</f>
        <v>0.7344632768361582</v>
      </c>
      <c r="AJ111" s="19">
        <f>COUNTIFS(Tabela1[Fase atual],"Recebido",Tabela1[Mês],Tabela1[[#This Row],[Mês]],Tabela1[Ano],Tabela1[[#This Row],[Ano]])/COUNTIF(Tabela1[Mês],Tabela1[[#This Row],[Mês]])</f>
        <v>0.7344632768361582</v>
      </c>
      <c r="AK111" s="20">
        <f>100%</f>
        <v>1</v>
      </c>
    </row>
    <row r="112" spans="1:37" ht="18" customHeight="1" x14ac:dyDescent="0.25">
      <c r="A112">
        <v>1202316795</v>
      </c>
      <c r="B112" t="s">
        <v>824</v>
      </c>
      <c r="C112" t="s">
        <v>825</v>
      </c>
      <c r="D112" t="s">
        <v>784</v>
      </c>
      <c r="E112" t="s">
        <v>31</v>
      </c>
      <c r="F112" s="2">
        <v>45895.641193067131</v>
      </c>
      <c r="AC112" s="24">
        <f t="shared" ca="1" si="3"/>
        <v>238.3588069328689</v>
      </c>
      <c r="AD112" s="25" t="str">
        <f t="shared" ca="1" si="4"/>
        <v>&gt;60 dias</v>
      </c>
      <c r="AE112" s="25">
        <f>MONTH(Tabela1[[#This Row],[Criado em]])</f>
        <v>8</v>
      </c>
      <c r="AF112" s="25">
        <f>YEAR(Tabela1[[#This Row],[Criado em]])</f>
        <v>2025</v>
      </c>
      <c r="AG112" s="25">
        <f>COUNTIFS(Tabela1[Mês],Tabela1[[#This Row],[Mês]])</f>
        <v>146</v>
      </c>
      <c r="AH112" s="25">
        <f>COUNTIFS(Tabela1[Mês],Tabela1[[#This Row],[Mês]],Tabela1[Fase atual],"Recebido")</f>
        <v>115</v>
      </c>
      <c r="AI112" s="26">
        <f>Tabela1[[#This Row],[Recebido_ Mes]]/Tabela1[[#This Row],[Total_Mes]]</f>
        <v>0.78767123287671237</v>
      </c>
      <c r="AJ112" s="19">
        <f>COUNTIFS(Tabela1[Fase atual],"Recebido",Tabela1[Mês],Tabela1[[#This Row],[Mês]],Tabela1[Ano],Tabela1[[#This Row],[Ano]])/COUNTIF(Tabela1[Mês],Tabela1[[#This Row],[Mês]])</f>
        <v>0.78767123287671237</v>
      </c>
      <c r="AK112" s="20">
        <f>100%</f>
        <v>1</v>
      </c>
    </row>
    <row r="113" spans="1:37" ht="18" customHeight="1" x14ac:dyDescent="0.25">
      <c r="A113">
        <v>1194684038</v>
      </c>
      <c r="B113" t="s">
        <v>824</v>
      </c>
      <c r="C113" t="s">
        <v>826</v>
      </c>
      <c r="D113" t="s">
        <v>784</v>
      </c>
      <c r="E113" t="s">
        <v>31</v>
      </c>
      <c r="F113" s="2">
        <v>45882.849962812499</v>
      </c>
      <c r="AC113" s="24">
        <f t="shared" ca="1" si="3"/>
        <v>251.15003718750086</v>
      </c>
      <c r="AD113" s="25" t="str">
        <f t="shared" ca="1" si="4"/>
        <v>&gt;60 dias</v>
      </c>
      <c r="AE113" s="25">
        <f>MONTH(Tabela1[[#This Row],[Criado em]])</f>
        <v>8</v>
      </c>
      <c r="AF113" s="25">
        <f>YEAR(Tabela1[[#This Row],[Criado em]])</f>
        <v>2025</v>
      </c>
      <c r="AG113" s="25">
        <f>COUNTIFS(Tabela1[Mês],Tabela1[[#This Row],[Mês]])</f>
        <v>146</v>
      </c>
      <c r="AH113" s="25">
        <f>COUNTIFS(Tabela1[Mês],Tabela1[[#This Row],[Mês]],Tabela1[Fase atual],"Recebido")</f>
        <v>115</v>
      </c>
      <c r="AI113" s="26">
        <f>Tabela1[[#This Row],[Recebido_ Mes]]/Tabela1[[#This Row],[Total_Mes]]</f>
        <v>0.78767123287671237</v>
      </c>
      <c r="AJ113" s="19">
        <f>COUNTIFS(Tabela1[Fase atual],"Recebido",Tabela1[Mês],Tabela1[[#This Row],[Mês]],Tabela1[Ano],Tabela1[[#This Row],[Ano]])/COUNTIF(Tabela1[Mês],Tabela1[[#This Row],[Mês]])</f>
        <v>0.78767123287671237</v>
      </c>
      <c r="AK113" s="20">
        <f>100%</f>
        <v>1</v>
      </c>
    </row>
    <row r="114" spans="1:37" ht="18" customHeight="1" x14ac:dyDescent="0.25">
      <c r="A114">
        <v>1270839017</v>
      </c>
      <c r="B114" t="s">
        <v>827</v>
      </c>
      <c r="C114" t="s">
        <v>828</v>
      </c>
      <c r="D114" t="s">
        <v>202</v>
      </c>
      <c r="E114" t="s">
        <v>31</v>
      </c>
      <c r="F114" s="2">
        <v>46010.921317361113</v>
      </c>
      <c r="AC114" s="24">
        <f t="shared" ca="1" si="3"/>
        <v>123.07868263888668</v>
      </c>
      <c r="AD114" s="25" t="str">
        <f t="shared" ca="1" si="4"/>
        <v>&gt;60 dias</v>
      </c>
      <c r="AE114" s="25">
        <f>MONTH(Tabela1[[#This Row],[Criado em]])</f>
        <v>12</v>
      </c>
      <c r="AF114" s="25">
        <f>YEAR(Tabela1[[#This Row],[Criado em]])</f>
        <v>2025</v>
      </c>
      <c r="AG114" s="25">
        <f>COUNTIFS(Tabela1[Mês],Tabela1[[#This Row],[Mês]])</f>
        <v>207</v>
      </c>
      <c r="AH114" s="25">
        <f>COUNTIFS(Tabela1[Mês],Tabela1[[#This Row],[Mês]],Tabela1[Fase atual],"Recebido")</f>
        <v>155</v>
      </c>
      <c r="AI114" s="26">
        <f>Tabela1[[#This Row],[Recebido_ Mes]]/Tabela1[[#This Row],[Total_Mes]]</f>
        <v>0.74879227053140096</v>
      </c>
      <c r="AJ114" s="19">
        <f>COUNTIFS(Tabela1[Fase atual],"Recebido",Tabela1[Mês],Tabela1[[#This Row],[Mês]],Tabela1[Ano],Tabela1[[#This Row],[Ano]])/COUNTIF(Tabela1[Mês],Tabela1[[#This Row],[Mês]])</f>
        <v>0.74879227053140096</v>
      </c>
      <c r="AK114" s="20">
        <f>100%</f>
        <v>1</v>
      </c>
    </row>
    <row r="115" spans="1:37" ht="18" customHeight="1" x14ac:dyDescent="0.25">
      <c r="A115">
        <v>1181214585</v>
      </c>
      <c r="B115" t="s">
        <v>829</v>
      </c>
      <c r="C115" t="s">
        <v>830</v>
      </c>
      <c r="D115" t="s">
        <v>37</v>
      </c>
      <c r="E115" t="s">
        <v>31</v>
      </c>
      <c r="F115" s="2">
        <v>45860.807147094907</v>
      </c>
      <c r="AC115" s="24">
        <f t="shared" ca="1" si="3"/>
        <v>273.19285290509288</v>
      </c>
      <c r="AD115" s="25" t="str">
        <f t="shared" ca="1" si="4"/>
        <v>&gt;60 dias</v>
      </c>
      <c r="AE115" s="25">
        <f>MONTH(Tabela1[[#This Row],[Criado em]])</f>
        <v>7</v>
      </c>
      <c r="AF115" s="25">
        <f>YEAR(Tabela1[[#This Row],[Criado em]])</f>
        <v>2025</v>
      </c>
      <c r="AG115" s="25">
        <f>COUNTIFS(Tabela1[Mês],Tabela1[[#This Row],[Mês]])</f>
        <v>177</v>
      </c>
      <c r="AH115" s="25">
        <f>COUNTIFS(Tabela1[Mês],Tabela1[[#This Row],[Mês]],Tabela1[Fase atual],"Recebido")</f>
        <v>130</v>
      </c>
      <c r="AI115" s="26">
        <f>Tabela1[[#This Row],[Recebido_ Mes]]/Tabela1[[#This Row],[Total_Mes]]</f>
        <v>0.7344632768361582</v>
      </c>
      <c r="AJ115" s="19">
        <f>COUNTIFS(Tabela1[Fase atual],"Recebido",Tabela1[Mês],Tabela1[[#This Row],[Mês]],Tabela1[Ano],Tabela1[[#This Row],[Ano]])/COUNTIF(Tabela1[Mês],Tabela1[[#This Row],[Mês]])</f>
        <v>0.7344632768361582</v>
      </c>
      <c r="AK115" s="20">
        <f>100%</f>
        <v>1</v>
      </c>
    </row>
    <row r="116" spans="1:37" ht="18" customHeight="1" x14ac:dyDescent="0.25">
      <c r="A116">
        <v>1252885665</v>
      </c>
      <c r="B116" t="s">
        <v>831</v>
      </c>
      <c r="C116" t="s">
        <v>832</v>
      </c>
      <c r="D116" t="s">
        <v>40</v>
      </c>
      <c r="E116" t="s">
        <v>31</v>
      </c>
      <c r="F116" s="2">
        <v>45971.795829861112</v>
      </c>
      <c r="AC116" s="24">
        <f t="shared" ca="1" si="3"/>
        <v>162.204170138888</v>
      </c>
      <c r="AD116" s="25" t="str">
        <f t="shared" ca="1" si="4"/>
        <v>&gt;60 dias</v>
      </c>
      <c r="AE116" s="25">
        <f>MONTH(Tabela1[[#This Row],[Criado em]])</f>
        <v>11</v>
      </c>
      <c r="AF116" s="25">
        <f>YEAR(Tabela1[[#This Row],[Criado em]])</f>
        <v>2025</v>
      </c>
      <c r="AG116" s="25">
        <f>COUNTIFS(Tabela1[Mês],Tabela1[[#This Row],[Mês]])</f>
        <v>130</v>
      </c>
      <c r="AH116" s="25">
        <f>COUNTIFS(Tabela1[Mês],Tabela1[[#This Row],[Mês]],Tabela1[Fase atual],"Recebido")</f>
        <v>100</v>
      </c>
      <c r="AI116" s="26">
        <f>Tabela1[[#This Row],[Recebido_ Mes]]/Tabela1[[#This Row],[Total_Mes]]</f>
        <v>0.76923076923076927</v>
      </c>
      <c r="AJ116" s="19">
        <f>COUNTIFS(Tabela1[Fase atual],"Recebido",Tabela1[Mês],Tabela1[[#This Row],[Mês]],Tabela1[Ano],Tabela1[[#This Row],[Ano]])/COUNTIF(Tabela1[Mês],Tabela1[[#This Row],[Mês]])</f>
        <v>0.76923076923076927</v>
      </c>
      <c r="AK116" s="20">
        <f>100%</f>
        <v>1</v>
      </c>
    </row>
    <row r="117" spans="1:37" ht="18" customHeight="1" x14ac:dyDescent="0.25">
      <c r="A117">
        <v>1225455154</v>
      </c>
      <c r="B117" t="s">
        <v>831</v>
      </c>
      <c r="C117" t="s">
        <v>832</v>
      </c>
      <c r="D117" t="s">
        <v>37</v>
      </c>
      <c r="E117" t="s">
        <v>31</v>
      </c>
      <c r="F117" s="2">
        <v>45931.850701284733</v>
      </c>
      <c r="AC117" s="24">
        <f t="shared" ca="1" si="3"/>
        <v>202.14929871526692</v>
      </c>
      <c r="AD117" s="25" t="str">
        <f t="shared" ca="1" si="4"/>
        <v>&gt;60 dias</v>
      </c>
      <c r="AE117" s="25">
        <f>MONTH(Tabela1[[#This Row],[Criado em]])</f>
        <v>10</v>
      </c>
      <c r="AF117" s="25">
        <f>YEAR(Tabela1[[#This Row],[Criado em]])</f>
        <v>2025</v>
      </c>
      <c r="AG117" s="25">
        <f>COUNTIFS(Tabela1[Mês],Tabela1[[#This Row],[Mês]])</f>
        <v>196</v>
      </c>
      <c r="AH117" s="25">
        <f>COUNTIFS(Tabela1[Mês],Tabela1[[#This Row],[Mês]],Tabela1[Fase atual],"Recebido")</f>
        <v>138</v>
      </c>
      <c r="AI117" s="26">
        <f>Tabela1[[#This Row],[Recebido_ Mes]]/Tabela1[[#This Row],[Total_Mes]]</f>
        <v>0.70408163265306123</v>
      </c>
      <c r="AJ117" s="19">
        <f>COUNTIFS(Tabela1[Fase atual],"Recebido",Tabela1[Mês],Tabela1[[#This Row],[Mês]],Tabela1[Ano],Tabela1[[#This Row],[Ano]])/COUNTIF(Tabela1[Mês],Tabela1[[#This Row],[Mês]])</f>
        <v>0.70408163265306123</v>
      </c>
      <c r="AK117" s="20">
        <f>100%</f>
        <v>1</v>
      </c>
    </row>
    <row r="118" spans="1:37" ht="18" customHeight="1" x14ac:dyDescent="0.25">
      <c r="A118">
        <v>1216798710</v>
      </c>
      <c r="C118" t="s">
        <v>833</v>
      </c>
      <c r="D118" t="s">
        <v>37</v>
      </c>
      <c r="E118" t="s">
        <v>31</v>
      </c>
      <c r="F118" s="2">
        <v>45918.82850369213</v>
      </c>
      <c r="AC118" s="24">
        <f t="shared" ca="1" si="3"/>
        <v>215.17149630787026</v>
      </c>
      <c r="AD118" s="25" t="str">
        <f t="shared" ca="1" si="4"/>
        <v>&gt;60 dias</v>
      </c>
      <c r="AE118" s="25">
        <f>MONTH(Tabela1[[#This Row],[Criado em]])</f>
        <v>9</v>
      </c>
      <c r="AF118" s="25">
        <f>YEAR(Tabela1[[#This Row],[Criado em]])</f>
        <v>2025</v>
      </c>
      <c r="AG118" s="25">
        <f>COUNTIFS(Tabela1[Mês],Tabela1[[#This Row],[Mês]])</f>
        <v>197</v>
      </c>
      <c r="AH118" s="25">
        <f>COUNTIFS(Tabela1[Mês],Tabela1[[#This Row],[Mês]],Tabela1[Fase atual],"Recebido")</f>
        <v>152</v>
      </c>
      <c r="AI118" s="26">
        <f>Tabela1[[#This Row],[Recebido_ Mes]]/Tabela1[[#This Row],[Total_Mes]]</f>
        <v>0.77157360406091369</v>
      </c>
      <c r="AJ118" s="19">
        <f>COUNTIFS(Tabela1[Fase atual],"Recebido",Tabela1[Mês],Tabela1[[#This Row],[Mês]],Tabela1[Ano],Tabela1[[#This Row],[Ano]])/COUNTIF(Tabela1[Mês],Tabela1[[#This Row],[Mês]])</f>
        <v>0.77157360406091369</v>
      </c>
      <c r="AK118" s="20">
        <f>100%</f>
        <v>1</v>
      </c>
    </row>
    <row r="119" spans="1:37" ht="18" customHeight="1" x14ac:dyDescent="0.25">
      <c r="A119">
        <v>1256538057</v>
      </c>
      <c r="B119" t="s">
        <v>834</v>
      </c>
      <c r="C119" t="s">
        <v>835</v>
      </c>
      <c r="D119" t="s">
        <v>37</v>
      </c>
      <c r="E119" t="s">
        <v>31</v>
      </c>
      <c r="F119" s="2">
        <v>45979.845273634259</v>
      </c>
      <c r="AC119" s="24">
        <f t="shared" ca="1" si="3"/>
        <v>154.15472636574123</v>
      </c>
      <c r="AD119" s="25" t="str">
        <f t="shared" ca="1" si="4"/>
        <v>&gt;60 dias</v>
      </c>
      <c r="AE119" s="25">
        <f>MONTH(Tabela1[[#This Row],[Criado em]])</f>
        <v>11</v>
      </c>
      <c r="AF119" s="25">
        <f>YEAR(Tabela1[[#This Row],[Criado em]])</f>
        <v>2025</v>
      </c>
      <c r="AG119" s="25">
        <f>COUNTIFS(Tabela1[Mês],Tabela1[[#This Row],[Mês]])</f>
        <v>130</v>
      </c>
      <c r="AH119" s="25">
        <f>COUNTIFS(Tabela1[Mês],Tabela1[[#This Row],[Mês]],Tabela1[Fase atual],"Recebido")</f>
        <v>100</v>
      </c>
      <c r="AI119" s="26">
        <f>Tabela1[[#This Row],[Recebido_ Mes]]/Tabela1[[#This Row],[Total_Mes]]</f>
        <v>0.76923076923076927</v>
      </c>
      <c r="AJ119" s="19">
        <f>COUNTIFS(Tabela1[Fase atual],"Recebido",Tabela1[Mês],Tabela1[[#This Row],[Mês]],Tabela1[Ano],Tabela1[[#This Row],[Ano]])/COUNTIF(Tabela1[Mês],Tabela1[[#This Row],[Mês]])</f>
        <v>0.76923076923076927</v>
      </c>
      <c r="AK119" s="20">
        <f>100%</f>
        <v>1</v>
      </c>
    </row>
    <row r="120" spans="1:37" ht="18" customHeight="1" x14ac:dyDescent="0.25">
      <c r="A120">
        <v>1276527914</v>
      </c>
      <c r="B120" t="s">
        <v>85</v>
      </c>
      <c r="C120" t="s">
        <v>86</v>
      </c>
      <c r="D120" t="s">
        <v>37</v>
      </c>
      <c r="E120" t="s">
        <v>31</v>
      </c>
      <c r="F120" s="2">
        <v>46027.796497256953</v>
      </c>
      <c r="AC120" s="24">
        <f t="shared" ca="1" si="3"/>
        <v>106.20350274304656</v>
      </c>
      <c r="AD120" s="25" t="str">
        <f t="shared" ca="1" si="4"/>
        <v>&gt;60 dias</v>
      </c>
      <c r="AE120" s="25">
        <f>MONTH(Tabela1[[#This Row],[Criado em]])</f>
        <v>1</v>
      </c>
      <c r="AF120" s="25">
        <f>YEAR(Tabela1[[#This Row],[Criado em]])</f>
        <v>2026</v>
      </c>
      <c r="AG120" s="25">
        <f>COUNTIFS(Tabela1[Mês],Tabela1[[#This Row],[Mês]])</f>
        <v>222</v>
      </c>
      <c r="AH120" s="25">
        <f>COUNTIFS(Tabela1[Mês],Tabela1[[#This Row],[Mês]],Tabela1[Fase atual],"Recebido")</f>
        <v>174</v>
      </c>
      <c r="AI120" s="26">
        <f>Tabela1[[#This Row],[Recebido_ Mes]]/Tabela1[[#This Row],[Total_Mes]]</f>
        <v>0.78378378378378377</v>
      </c>
      <c r="AJ120" s="19">
        <f>COUNTIFS(Tabela1[Fase atual],"Recebido",Tabela1[Mês],Tabela1[[#This Row],[Mês]],Tabela1[Ano],Tabela1[[#This Row],[Ano]])/COUNTIF(Tabela1[Mês],Tabela1[[#This Row],[Mês]])</f>
        <v>0.78378378378378377</v>
      </c>
      <c r="AK120" s="20">
        <f>100%</f>
        <v>1</v>
      </c>
    </row>
    <row r="121" spans="1:37" ht="18" customHeight="1" x14ac:dyDescent="0.25">
      <c r="A121">
        <v>1210539490</v>
      </c>
      <c r="B121" t="s">
        <v>812</v>
      </c>
      <c r="C121" t="s">
        <v>836</v>
      </c>
      <c r="D121" t="s">
        <v>784</v>
      </c>
      <c r="E121" t="s">
        <v>31</v>
      </c>
      <c r="F121" s="2">
        <v>45908.851161446757</v>
      </c>
      <c r="AC121" s="24">
        <f t="shared" ca="1" si="3"/>
        <v>225.14883855324297</v>
      </c>
      <c r="AD121" s="25" t="str">
        <f t="shared" ca="1" si="4"/>
        <v>&gt;60 dias</v>
      </c>
      <c r="AE121" s="25">
        <f>MONTH(Tabela1[[#This Row],[Criado em]])</f>
        <v>9</v>
      </c>
      <c r="AF121" s="25">
        <f>YEAR(Tabela1[[#This Row],[Criado em]])</f>
        <v>2025</v>
      </c>
      <c r="AG121" s="25">
        <f>COUNTIFS(Tabela1[Mês],Tabela1[[#This Row],[Mês]])</f>
        <v>197</v>
      </c>
      <c r="AH121" s="25">
        <f>COUNTIFS(Tabela1[Mês],Tabela1[[#This Row],[Mês]],Tabela1[Fase atual],"Recebido")</f>
        <v>152</v>
      </c>
      <c r="AI121" s="26">
        <f>Tabela1[[#This Row],[Recebido_ Mes]]/Tabela1[[#This Row],[Total_Mes]]</f>
        <v>0.77157360406091369</v>
      </c>
      <c r="AJ121" s="19">
        <f>COUNTIFS(Tabela1[Fase atual],"Recebido",Tabela1[Mês],Tabela1[[#This Row],[Mês]],Tabela1[Ano],Tabela1[[#This Row],[Ano]])/COUNTIF(Tabela1[Mês],Tabela1[[#This Row],[Mês]])</f>
        <v>0.77157360406091369</v>
      </c>
      <c r="AK121" s="20">
        <f>100%</f>
        <v>1</v>
      </c>
    </row>
    <row r="122" spans="1:37" ht="18" customHeight="1" x14ac:dyDescent="0.25">
      <c r="A122">
        <v>1183423970</v>
      </c>
      <c r="B122" t="s">
        <v>837</v>
      </c>
      <c r="C122" t="s">
        <v>838</v>
      </c>
      <c r="D122" t="s">
        <v>37</v>
      </c>
      <c r="E122" t="s">
        <v>31</v>
      </c>
      <c r="F122" s="2">
        <v>45863.851911585647</v>
      </c>
      <c r="AC122" s="24">
        <f t="shared" ca="1" si="3"/>
        <v>270.14808841435297</v>
      </c>
      <c r="AD122" s="25" t="str">
        <f t="shared" ca="1" si="4"/>
        <v>&gt;60 dias</v>
      </c>
      <c r="AE122" s="25">
        <f>MONTH(Tabela1[[#This Row],[Criado em]])</f>
        <v>7</v>
      </c>
      <c r="AF122" s="25">
        <f>YEAR(Tabela1[[#This Row],[Criado em]])</f>
        <v>2025</v>
      </c>
      <c r="AG122" s="25">
        <f>COUNTIFS(Tabela1[Mês],Tabela1[[#This Row],[Mês]])</f>
        <v>177</v>
      </c>
      <c r="AH122" s="25">
        <f>COUNTIFS(Tabela1[Mês],Tabela1[[#This Row],[Mês]],Tabela1[Fase atual],"Recebido")</f>
        <v>130</v>
      </c>
      <c r="AI122" s="26">
        <f>Tabela1[[#This Row],[Recebido_ Mes]]/Tabela1[[#This Row],[Total_Mes]]</f>
        <v>0.7344632768361582</v>
      </c>
      <c r="AJ122" s="19">
        <f>COUNTIFS(Tabela1[Fase atual],"Recebido",Tabela1[Mês],Tabela1[[#This Row],[Mês]],Tabela1[Ano],Tabela1[[#This Row],[Ano]])/COUNTIF(Tabela1[Mês],Tabela1[[#This Row],[Mês]])</f>
        <v>0.7344632768361582</v>
      </c>
      <c r="AK122" s="20">
        <f>100%</f>
        <v>1</v>
      </c>
    </row>
    <row r="123" spans="1:37" ht="18" customHeight="1" x14ac:dyDescent="0.25">
      <c r="A123">
        <v>1189844874</v>
      </c>
      <c r="B123" t="s">
        <v>839</v>
      </c>
      <c r="C123" t="s">
        <v>840</v>
      </c>
      <c r="D123" t="s">
        <v>37</v>
      </c>
      <c r="E123" t="s">
        <v>31</v>
      </c>
      <c r="F123" s="2">
        <v>45875.850466805547</v>
      </c>
      <c r="AC123" s="24">
        <f t="shared" ca="1" si="3"/>
        <v>258.1495331944534</v>
      </c>
      <c r="AD123" s="25" t="str">
        <f t="shared" ca="1" si="4"/>
        <v>&gt;60 dias</v>
      </c>
      <c r="AE123" s="25">
        <f>MONTH(Tabela1[[#This Row],[Criado em]])</f>
        <v>8</v>
      </c>
      <c r="AF123" s="25">
        <f>YEAR(Tabela1[[#This Row],[Criado em]])</f>
        <v>2025</v>
      </c>
      <c r="AG123" s="25">
        <f>COUNTIFS(Tabela1[Mês],Tabela1[[#This Row],[Mês]])</f>
        <v>146</v>
      </c>
      <c r="AH123" s="25">
        <f>COUNTIFS(Tabela1[Mês],Tabela1[[#This Row],[Mês]],Tabela1[Fase atual],"Recebido")</f>
        <v>115</v>
      </c>
      <c r="AI123" s="26">
        <f>Tabela1[[#This Row],[Recebido_ Mes]]/Tabela1[[#This Row],[Total_Mes]]</f>
        <v>0.78767123287671237</v>
      </c>
      <c r="AJ123" s="19">
        <f>COUNTIFS(Tabela1[Fase atual],"Recebido",Tabela1[Mês],Tabela1[[#This Row],[Mês]],Tabela1[Ano],Tabela1[[#This Row],[Ano]])/COUNTIF(Tabela1[Mês],Tabela1[[#This Row],[Mês]])</f>
        <v>0.78767123287671237</v>
      </c>
      <c r="AK123" s="20">
        <f>100%</f>
        <v>1</v>
      </c>
    </row>
    <row r="124" spans="1:37" ht="18" customHeight="1" x14ac:dyDescent="0.25">
      <c r="A124">
        <v>1290454217</v>
      </c>
      <c r="B124" t="s">
        <v>87</v>
      </c>
      <c r="C124" t="s">
        <v>2283</v>
      </c>
      <c r="D124" t="s">
        <v>34</v>
      </c>
      <c r="E124" t="s">
        <v>31</v>
      </c>
      <c r="F124" s="2">
        <v>46051.705938749998</v>
      </c>
      <c r="AC124" s="24">
        <f t="shared" ca="1" si="3"/>
        <v>82.294061250002414</v>
      </c>
      <c r="AD124" s="25" t="str">
        <f t="shared" ca="1" si="4"/>
        <v>&gt;60 dias</v>
      </c>
      <c r="AE124" s="25">
        <f>MONTH(Tabela1[[#This Row],[Criado em]])</f>
        <v>1</v>
      </c>
      <c r="AF124" s="25">
        <f>YEAR(Tabela1[[#This Row],[Criado em]])</f>
        <v>2026</v>
      </c>
      <c r="AG124" s="25">
        <f>COUNTIFS(Tabela1[Mês],Tabela1[[#This Row],[Mês]])</f>
        <v>222</v>
      </c>
      <c r="AH124" s="25">
        <f>COUNTIFS(Tabela1[Mês],Tabela1[[#This Row],[Mês]],Tabela1[Fase atual],"Recebido")</f>
        <v>174</v>
      </c>
      <c r="AI124" s="26">
        <f>Tabela1[[#This Row],[Recebido_ Mes]]/Tabela1[[#This Row],[Total_Mes]]</f>
        <v>0.78378378378378377</v>
      </c>
      <c r="AJ124" s="19">
        <f>COUNTIFS(Tabela1[Fase atual],"Recebido",Tabela1[Mês],Tabela1[[#This Row],[Mês]],Tabela1[Ano],Tabela1[[#This Row],[Ano]])/COUNTIF(Tabela1[Mês],Tabela1[[#This Row],[Mês]])</f>
        <v>0.78378378378378377</v>
      </c>
      <c r="AK124" s="20">
        <f>100%</f>
        <v>1</v>
      </c>
    </row>
    <row r="125" spans="1:37" ht="18" customHeight="1" x14ac:dyDescent="0.25">
      <c r="A125">
        <v>1208428500</v>
      </c>
      <c r="B125" t="s">
        <v>841</v>
      </c>
      <c r="C125" t="s">
        <v>842</v>
      </c>
      <c r="D125" t="s">
        <v>37</v>
      </c>
      <c r="E125" t="s">
        <v>31</v>
      </c>
      <c r="F125" s="2">
        <v>45904.85231076389</v>
      </c>
      <c r="AC125" s="24">
        <f t="shared" ca="1" si="3"/>
        <v>229.14768923610973</v>
      </c>
      <c r="AD125" s="25" t="str">
        <f t="shared" ca="1" si="4"/>
        <v>&gt;60 dias</v>
      </c>
      <c r="AE125" s="25">
        <f>MONTH(Tabela1[[#This Row],[Criado em]])</f>
        <v>9</v>
      </c>
      <c r="AF125" s="25">
        <f>YEAR(Tabela1[[#This Row],[Criado em]])</f>
        <v>2025</v>
      </c>
      <c r="AG125" s="25">
        <f>COUNTIFS(Tabela1[Mês],Tabela1[[#This Row],[Mês]])</f>
        <v>197</v>
      </c>
      <c r="AH125" s="25">
        <f>COUNTIFS(Tabela1[Mês],Tabela1[[#This Row],[Mês]],Tabela1[Fase atual],"Recebido")</f>
        <v>152</v>
      </c>
      <c r="AI125" s="26">
        <f>Tabela1[[#This Row],[Recebido_ Mes]]/Tabela1[[#This Row],[Total_Mes]]</f>
        <v>0.77157360406091369</v>
      </c>
      <c r="AJ125" s="19">
        <f>COUNTIFS(Tabela1[Fase atual],"Recebido",Tabela1[Mês],Tabela1[[#This Row],[Mês]],Tabela1[Ano],Tabela1[[#This Row],[Ano]])/COUNTIF(Tabela1[Mês],Tabela1[[#This Row],[Mês]])</f>
        <v>0.77157360406091369</v>
      </c>
      <c r="AK125" s="20">
        <f>100%</f>
        <v>1</v>
      </c>
    </row>
    <row r="126" spans="1:37" ht="18" customHeight="1" x14ac:dyDescent="0.25">
      <c r="A126">
        <v>1197063091</v>
      </c>
      <c r="B126" t="s">
        <v>843</v>
      </c>
      <c r="C126" t="s">
        <v>844</v>
      </c>
      <c r="D126" t="s">
        <v>202</v>
      </c>
      <c r="E126" t="s">
        <v>31</v>
      </c>
      <c r="F126" s="2">
        <v>45887.642680902783</v>
      </c>
      <c r="AC126" s="24">
        <f t="shared" ca="1" si="3"/>
        <v>246.35731909721653</v>
      </c>
      <c r="AD126" s="25" t="str">
        <f t="shared" ca="1" si="4"/>
        <v>&gt;60 dias</v>
      </c>
      <c r="AE126" s="25">
        <f>MONTH(Tabela1[[#This Row],[Criado em]])</f>
        <v>8</v>
      </c>
      <c r="AF126" s="25">
        <f>YEAR(Tabela1[[#This Row],[Criado em]])</f>
        <v>2025</v>
      </c>
      <c r="AG126" s="25">
        <f>COUNTIFS(Tabela1[Mês],Tabela1[[#This Row],[Mês]])</f>
        <v>146</v>
      </c>
      <c r="AH126" s="25">
        <f>COUNTIFS(Tabela1[Mês],Tabela1[[#This Row],[Mês]],Tabela1[Fase atual],"Recebido")</f>
        <v>115</v>
      </c>
      <c r="AI126" s="26">
        <f>Tabela1[[#This Row],[Recebido_ Mes]]/Tabela1[[#This Row],[Total_Mes]]</f>
        <v>0.78767123287671237</v>
      </c>
      <c r="AJ126" s="19">
        <f>COUNTIFS(Tabela1[Fase atual],"Recebido",Tabela1[Mês],Tabela1[[#This Row],[Mês]],Tabela1[Ano],Tabela1[[#This Row],[Ano]])/COUNTIF(Tabela1[Mês],Tabela1[[#This Row],[Mês]])</f>
        <v>0.78767123287671237</v>
      </c>
      <c r="AK126" s="20">
        <f>100%</f>
        <v>1</v>
      </c>
    </row>
    <row r="127" spans="1:37" ht="18" customHeight="1" x14ac:dyDescent="0.25">
      <c r="A127">
        <v>1171347266</v>
      </c>
      <c r="B127" t="s">
        <v>845</v>
      </c>
      <c r="C127" t="s">
        <v>846</v>
      </c>
      <c r="D127" t="s">
        <v>37</v>
      </c>
      <c r="E127" t="s">
        <v>31</v>
      </c>
      <c r="F127" s="2">
        <v>45841.863057361123</v>
      </c>
      <c r="AC127" s="24">
        <f t="shared" ca="1" si="3"/>
        <v>292.13694263887737</v>
      </c>
      <c r="AD127" s="25" t="str">
        <f t="shared" ca="1" si="4"/>
        <v>&gt;60 dias</v>
      </c>
      <c r="AE127" s="25">
        <f>MONTH(Tabela1[[#This Row],[Criado em]])</f>
        <v>7</v>
      </c>
      <c r="AF127" s="25">
        <f>YEAR(Tabela1[[#This Row],[Criado em]])</f>
        <v>2025</v>
      </c>
      <c r="AG127" s="25">
        <f>COUNTIFS(Tabela1[Mês],Tabela1[[#This Row],[Mês]])</f>
        <v>177</v>
      </c>
      <c r="AH127" s="25">
        <f>COUNTIFS(Tabela1[Mês],Tabela1[[#This Row],[Mês]],Tabela1[Fase atual],"Recebido")</f>
        <v>130</v>
      </c>
      <c r="AI127" s="26">
        <f>Tabela1[[#This Row],[Recebido_ Mes]]/Tabela1[[#This Row],[Total_Mes]]</f>
        <v>0.7344632768361582</v>
      </c>
      <c r="AJ127" s="19">
        <f>COUNTIFS(Tabela1[Fase atual],"Recebido",Tabela1[Mês],Tabela1[[#This Row],[Mês]],Tabela1[Ano],Tabela1[[#This Row],[Ano]])/COUNTIF(Tabela1[Mês],Tabela1[[#This Row],[Mês]])</f>
        <v>0.7344632768361582</v>
      </c>
      <c r="AK127" s="20">
        <f>100%</f>
        <v>1</v>
      </c>
    </row>
    <row r="128" spans="1:37" ht="18" customHeight="1" x14ac:dyDescent="0.25">
      <c r="A128">
        <v>1303445318</v>
      </c>
      <c r="B128" t="s">
        <v>88</v>
      </c>
      <c r="C128" t="s">
        <v>89</v>
      </c>
      <c r="D128" t="s">
        <v>37</v>
      </c>
      <c r="E128" t="s">
        <v>31</v>
      </c>
      <c r="F128" s="2">
        <v>46077.919023900467</v>
      </c>
      <c r="AC128" s="24">
        <f t="shared" ca="1" si="3"/>
        <v>56.080976099532563</v>
      </c>
      <c r="AD128" s="25" t="str">
        <f t="shared" ca="1" si="4"/>
        <v>31-60 dias</v>
      </c>
      <c r="AE128" s="25">
        <f>MONTH(Tabela1[[#This Row],[Criado em]])</f>
        <v>2</v>
      </c>
      <c r="AF128" s="25">
        <f>YEAR(Tabela1[[#This Row],[Criado em]])</f>
        <v>2026</v>
      </c>
      <c r="AG128" s="25">
        <f>COUNTIFS(Tabela1[Mês],Tabela1[[#This Row],[Mês]])</f>
        <v>197</v>
      </c>
      <c r="AH128" s="25">
        <f>COUNTIFS(Tabela1[Mês],Tabela1[[#This Row],[Mês]],Tabela1[Fase atual],"Recebido")</f>
        <v>124</v>
      </c>
      <c r="AI128" s="26">
        <f>Tabela1[[#This Row],[Recebido_ Mes]]/Tabela1[[#This Row],[Total_Mes]]</f>
        <v>0.62944162436548223</v>
      </c>
      <c r="AJ128" s="19">
        <f>COUNTIFS(Tabela1[Fase atual],"Recebido",Tabela1[Mês],Tabela1[[#This Row],[Mês]],Tabela1[Ano],Tabela1[[#This Row],[Ano]])/COUNTIF(Tabela1[Mês],Tabela1[[#This Row],[Mês]])</f>
        <v>0.62944162436548223</v>
      </c>
      <c r="AK128" s="20">
        <f>100%</f>
        <v>1</v>
      </c>
    </row>
    <row r="129" spans="1:37" ht="18" customHeight="1" x14ac:dyDescent="0.25">
      <c r="A129">
        <v>1267754449</v>
      </c>
      <c r="B129" t="s">
        <v>847</v>
      </c>
      <c r="C129" t="s">
        <v>848</v>
      </c>
      <c r="D129" t="s">
        <v>37</v>
      </c>
      <c r="E129" t="s">
        <v>31</v>
      </c>
      <c r="F129" s="2">
        <v>46003.828170914348</v>
      </c>
      <c r="AC129" s="24">
        <f t="shared" ca="1" si="3"/>
        <v>130.17182908565155</v>
      </c>
      <c r="AD129" s="25" t="str">
        <f t="shared" ca="1" si="4"/>
        <v>&gt;60 dias</v>
      </c>
      <c r="AE129" s="25">
        <f>MONTH(Tabela1[[#This Row],[Criado em]])</f>
        <v>12</v>
      </c>
      <c r="AF129" s="25">
        <f>YEAR(Tabela1[[#This Row],[Criado em]])</f>
        <v>2025</v>
      </c>
      <c r="AG129" s="25">
        <f>COUNTIFS(Tabela1[Mês],Tabela1[[#This Row],[Mês]])</f>
        <v>207</v>
      </c>
      <c r="AH129" s="25">
        <f>COUNTIFS(Tabela1[Mês],Tabela1[[#This Row],[Mês]],Tabela1[Fase atual],"Recebido")</f>
        <v>155</v>
      </c>
      <c r="AI129" s="26">
        <f>Tabela1[[#This Row],[Recebido_ Mes]]/Tabela1[[#This Row],[Total_Mes]]</f>
        <v>0.74879227053140096</v>
      </c>
      <c r="AJ129" s="19">
        <f>COUNTIFS(Tabela1[Fase atual],"Recebido",Tabela1[Mês],Tabela1[[#This Row],[Mês]],Tabela1[Ano],Tabela1[[#This Row],[Ano]])/COUNTIF(Tabela1[Mês],Tabela1[[#This Row],[Mês]])</f>
        <v>0.74879227053140096</v>
      </c>
      <c r="AK129" s="20">
        <f>100%</f>
        <v>1</v>
      </c>
    </row>
    <row r="130" spans="1:37" ht="18" customHeight="1" x14ac:dyDescent="0.25">
      <c r="A130">
        <v>1307008802</v>
      </c>
      <c r="B130" t="s">
        <v>2185</v>
      </c>
      <c r="C130" t="s">
        <v>2186</v>
      </c>
      <c r="D130" t="s">
        <v>2179</v>
      </c>
      <c r="E130" t="s">
        <v>31</v>
      </c>
      <c r="F130" s="2">
        <v>46083.544651053242</v>
      </c>
      <c r="AC130" s="24">
        <f t="shared" ca="1" si="3"/>
        <v>50.455348946758022</v>
      </c>
      <c r="AD130" s="25" t="str">
        <f t="shared" ca="1" si="4"/>
        <v>31-60 dias</v>
      </c>
      <c r="AE130" s="25">
        <f>MONTH(Tabela1[[#This Row],[Criado em]])</f>
        <v>3</v>
      </c>
      <c r="AF130" s="25">
        <f>YEAR(Tabela1[[#This Row],[Criado em]])</f>
        <v>2026</v>
      </c>
      <c r="AG130" s="25">
        <f>COUNTIFS(Tabela1[Mês],Tabela1[[#This Row],[Mês]])</f>
        <v>62</v>
      </c>
      <c r="AH130" s="25">
        <f>COUNTIFS(Tabela1[Mês],Tabela1[[#This Row],[Mês]],Tabela1[Fase atual],"Recebido")</f>
        <v>13</v>
      </c>
      <c r="AI130" s="26">
        <f>Tabela1[[#This Row],[Recebido_ Mes]]/Tabela1[[#This Row],[Total_Mes]]</f>
        <v>0.20967741935483872</v>
      </c>
      <c r="AJ130" s="19">
        <f>COUNTIFS(Tabela1[Fase atual],"Recebido",Tabela1[Mês],Tabela1[[#This Row],[Mês]],Tabela1[Ano],Tabela1[[#This Row],[Ano]])/COUNTIF(Tabela1[Mês],Tabela1[[#This Row],[Mês]])</f>
        <v>0.20967741935483872</v>
      </c>
      <c r="AK130" s="20">
        <f>100%</f>
        <v>1</v>
      </c>
    </row>
    <row r="131" spans="1:37" ht="18" customHeight="1" x14ac:dyDescent="0.25">
      <c r="A131">
        <v>1174283080</v>
      </c>
      <c r="B131" t="s">
        <v>849</v>
      </c>
      <c r="C131" t="s">
        <v>850</v>
      </c>
      <c r="D131" t="s">
        <v>37</v>
      </c>
      <c r="E131" t="s">
        <v>31</v>
      </c>
      <c r="F131" s="2">
        <v>45848.851278240742</v>
      </c>
      <c r="AC131" s="24">
        <f t="shared" ref="AC131:AC194" ca="1" si="5">TODAY() - F131</f>
        <v>285.14872175925848</v>
      </c>
      <c r="AD131" s="25" t="str">
        <f t="shared" ref="AD131:AD194" ca="1" si="6">IF(AC131&lt;=14,"0-14 dias",
IF(AC131&lt;=19,"15-19 dias",
IF(AC131&lt;=24,"20-24 dias",
IF(AC131&lt;=30,"25-30 dias",
IF(AC131&lt;=60,"31-60 dias",
"&gt;60 dias")))))</f>
        <v>&gt;60 dias</v>
      </c>
      <c r="AE131" s="25">
        <f>MONTH(Tabela1[[#This Row],[Criado em]])</f>
        <v>7</v>
      </c>
      <c r="AF131" s="25">
        <f>YEAR(Tabela1[[#This Row],[Criado em]])</f>
        <v>2025</v>
      </c>
      <c r="AG131" s="25">
        <f>COUNTIFS(Tabela1[Mês],Tabela1[[#This Row],[Mês]])</f>
        <v>177</v>
      </c>
      <c r="AH131" s="25">
        <f>COUNTIFS(Tabela1[Mês],Tabela1[[#This Row],[Mês]],Tabela1[Fase atual],"Recebido")</f>
        <v>130</v>
      </c>
      <c r="AI131" s="26">
        <f>Tabela1[[#This Row],[Recebido_ Mes]]/Tabela1[[#This Row],[Total_Mes]]</f>
        <v>0.7344632768361582</v>
      </c>
      <c r="AJ131" s="19">
        <f>COUNTIFS(Tabela1[Fase atual],"Recebido",Tabela1[Mês],Tabela1[[#This Row],[Mês]],Tabela1[Ano],Tabela1[[#This Row],[Ano]])/COUNTIF(Tabela1[Mês],Tabela1[[#This Row],[Mês]])</f>
        <v>0.7344632768361582</v>
      </c>
      <c r="AK131" s="20">
        <f>100%</f>
        <v>1</v>
      </c>
    </row>
    <row r="132" spans="1:37" ht="18" customHeight="1" x14ac:dyDescent="0.25">
      <c r="A132">
        <v>1279406517</v>
      </c>
      <c r="B132" t="s">
        <v>90</v>
      </c>
      <c r="C132" t="s">
        <v>91</v>
      </c>
      <c r="D132" t="s">
        <v>37</v>
      </c>
      <c r="E132" t="s">
        <v>31</v>
      </c>
      <c r="F132" s="2">
        <v>46031.581861388877</v>
      </c>
      <c r="AC132" s="24">
        <f t="shared" ca="1" si="5"/>
        <v>102.41813861112314</v>
      </c>
      <c r="AD132" s="25" t="str">
        <f t="shared" ca="1" si="6"/>
        <v>&gt;60 dias</v>
      </c>
      <c r="AE132" s="25">
        <f>MONTH(Tabela1[[#This Row],[Criado em]])</f>
        <v>1</v>
      </c>
      <c r="AF132" s="25">
        <f>YEAR(Tabela1[[#This Row],[Criado em]])</f>
        <v>2026</v>
      </c>
      <c r="AG132" s="25">
        <f>COUNTIFS(Tabela1[Mês],Tabela1[[#This Row],[Mês]])</f>
        <v>222</v>
      </c>
      <c r="AH132" s="25">
        <f>COUNTIFS(Tabela1[Mês],Tabela1[[#This Row],[Mês]],Tabela1[Fase atual],"Recebido")</f>
        <v>174</v>
      </c>
      <c r="AI132" s="26">
        <f>Tabela1[[#This Row],[Recebido_ Mes]]/Tabela1[[#This Row],[Total_Mes]]</f>
        <v>0.78378378378378377</v>
      </c>
      <c r="AJ132" s="19">
        <f>COUNTIFS(Tabela1[Fase atual],"Recebido",Tabela1[Mês],Tabela1[[#This Row],[Mês]],Tabela1[Ano],Tabela1[[#This Row],[Ano]])/COUNTIF(Tabela1[Mês],Tabela1[[#This Row],[Mês]])</f>
        <v>0.78378378378378377</v>
      </c>
      <c r="AK132" s="20">
        <f>100%</f>
        <v>1</v>
      </c>
    </row>
    <row r="133" spans="1:37" ht="18" customHeight="1" x14ac:dyDescent="0.25">
      <c r="A133">
        <v>1240865106</v>
      </c>
      <c r="B133" t="s">
        <v>851</v>
      </c>
      <c r="C133" t="s">
        <v>852</v>
      </c>
      <c r="D133" t="s">
        <v>37</v>
      </c>
      <c r="E133" t="s">
        <v>31</v>
      </c>
      <c r="F133" s="2">
        <v>45951.920787430558</v>
      </c>
      <c r="AC133" s="24">
        <f t="shared" ca="1" si="5"/>
        <v>182.07921256944246</v>
      </c>
      <c r="AD133" s="25" t="str">
        <f t="shared" ca="1" si="6"/>
        <v>&gt;60 dias</v>
      </c>
      <c r="AE133" s="25">
        <f>MONTH(Tabela1[[#This Row],[Criado em]])</f>
        <v>10</v>
      </c>
      <c r="AF133" s="25">
        <f>YEAR(Tabela1[[#This Row],[Criado em]])</f>
        <v>2025</v>
      </c>
      <c r="AG133" s="25">
        <f>COUNTIFS(Tabela1[Mês],Tabela1[[#This Row],[Mês]])</f>
        <v>196</v>
      </c>
      <c r="AH133" s="25">
        <f>COUNTIFS(Tabela1[Mês],Tabela1[[#This Row],[Mês]],Tabela1[Fase atual],"Recebido")</f>
        <v>138</v>
      </c>
      <c r="AI133" s="26">
        <f>Tabela1[[#This Row],[Recebido_ Mes]]/Tabela1[[#This Row],[Total_Mes]]</f>
        <v>0.70408163265306123</v>
      </c>
      <c r="AJ133" s="19">
        <f>COUNTIFS(Tabela1[Fase atual],"Recebido",Tabela1[Mês],Tabela1[[#This Row],[Mês]],Tabela1[Ano],Tabela1[[#This Row],[Ano]])/COUNTIF(Tabela1[Mês],Tabela1[[#This Row],[Mês]])</f>
        <v>0.70408163265306123</v>
      </c>
      <c r="AK133" s="20">
        <f>100%</f>
        <v>1</v>
      </c>
    </row>
    <row r="134" spans="1:37" ht="18" customHeight="1" x14ac:dyDescent="0.25">
      <c r="A134">
        <v>1173353690</v>
      </c>
      <c r="B134" t="s">
        <v>853</v>
      </c>
      <c r="C134" t="s">
        <v>854</v>
      </c>
      <c r="D134" t="s">
        <v>37</v>
      </c>
      <c r="E134" t="s">
        <v>31</v>
      </c>
      <c r="F134" s="2">
        <v>45846.851508842592</v>
      </c>
      <c r="AC134" s="24">
        <f t="shared" ca="1" si="5"/>
        <v>287.14849115740799</v>
      </c>
      <c r="AD134" s="25" t="str">
        <f t="shared" ca="1" si="6"/>
        <v>&gt;60 dias</v>
      </c>
      <c r="AE134" s="25">
        <f>MONTH(Tabela1[[#This Row],[Criado em]])</f>
        <v>7</v>
      </c>
      <c r="AF134" s="25">
        <f>YEAR(Tabela1[[#This Row],[Criado em]])</f>
        <v>2025</v>
      </c>
      <c r="AG134" s="25">
        <f>COUNTIFS(Tabela1[Mês],Tabela1[[#This Row],[Mês]])</f>
        <v>177</v>
      </c>
      <c r="AH134" s="25">
        <f>COUNTIFS(Tabela1[Mês],Tabela1[[#This Row],[Mês]],Tabela1[Fase atual],"Recebido")</f>
        <v>130</v>
      </c>
      <c r="AI134" s="26">
        <f>Tabela1[[#This Row],[Recebido_ Mes]]/Tabela1[[#This Row],[Total_Mes]]</f>
        <v>0.7344632768361582</v>
      </c>
      <c r="AJ134" s="19">
        <f>COUNTIFS(Tabela1[Fase atual],"Recebido",Tabela1[Mês],Tabela1[[#This Row],[Mês]],Tabela1[Ano],Tabela1[[#This Row],[Ano]])/COUNTIF(Tabela1[Mês],Tabela1[[#This Row],[Mês]])</f>
        <v>0.7344632768361582</v>
      </c>
      <c r="AK134" s="20">
        <f>100%</f>
        <v>1</v>
      </c>
    </row>
    <row r="135" spans="1:37" ht="18" customHeight="1" x14ac:dyDescent="0.25">
      <c r="A135">
        <v>1296528447</v>
      </c>
      <c r="B135" t="s">
        <v>92</v>
      </c>
      <c r="C135" t="s">
        <v>93</v>
      </c>
      <c r="D135" t="s">
        <v>37</v>
      </c>
      <c r="E135" t="s">
        <v>31</v>
      </c>
      <c r="F135" s="2">
        <v>46064.796239791671</v>
      </c>
      <c r="AC135" s="24">
        <f t="shared" ca="1" si="5"/>
        <v>69.203760208329186</v>
      </c>
      <c r="AD135" s="25" t="str">
        <f t="shared" ca="1" si="6"/>
        <v>&gt;60 dias</v>
      </c>
      <c r="AE135" s="25">
        <f>MONTH(Tabela1[[#This Row],[Criado em]])</f>
        <v>2</v>
      </c>
      <c r="AF135" s="25">
        <f>YEAR(Tabela1[[#This Row],[Criado em]])</f>
        <v>2026</v>
      </c>
      <c r="AG135" s="25">
        <f>COUNTIFS(Tabela1[Mês],Tabela1[[#This Row],[Mês]])</f>
        <v>197</v>
      </c>
      <c r="AH135" s="25">
        <f>COUNTIFS(Tabela1[Mês],Tabela1[[#This Row],[Mês]],Tabela1[Fase atual],"Recebido")</f>
        <v>124</v>
      </c>
      <c r="AI135" s="26">
        <f>Tabela1[[#This Row],[Recebido_ Mes]]/Tabela1[[#This Row],[Total_Mes]]</f>
        <v>0.62944162436548223</v>
      </c>
      <c r="AJ135" s="19">
        <f>COUNTIFS(Tabela1[Fase atual],"Recebido",Tabela1[Mês],Tabela1[[#This Row],[Mês]],Tabela1[Ano],Tabela1[[#This Row],[Ano]])/COUNTIF(Tabela1[Mês],Tabela1[[#This Row],[Mês]])</f>
        <v>0.62944162436548223</v>
      </c>
      <c r="AK135" s="20">
        <f>100%</f>
        <v>1</v>
      </c>
    </row>
    <row r="136" spans="1:37" ht="18" customHeight="1" x14ac:dyDescent="0.25">
      <c r="A136">
        <v>1251348812</v>
      </c>
      <c r="B136" t="s">
        <v>701</v>
      </c>
      <c r="C136" t="s">
        <v>855</v>
      </c>
      <c r="D136" t="s">
        <v>40</v>
      </c>
      <c r="E136" t="s">
        <v>31</v>
      </c>
      <c r="F136" s="2">
        <v>45967.919492175934</v>
      </c>
      <c r="AC136" s="24">
        <f t="shared" ca="1" si="5"/>
        <v>166.08050782406644</v>
      </c>
      <c r="AD136" s="25" t="str">
        <f t="shared" ca="1" si="6"/>
        <v>&gt;60 dias</v>
      </c>
      <c r="AE136" s="25">
        <f>MONTH(Tabela1[[#This Row],[Criado em]])</f>
        <v>11</v>
      </c>
      <c r="AF136" s="25">
        <f>YEAR(Tabela1[[#This Row],[Criado em]])</f>
        <v>2025</v>
      </c>
      <c r="AG136" s="25">
        <f>COUNTIFS(Tabela1[Mês],Tabela1[[#This Row],[Mês]])</f>
        <v>130</v>
      </c>
      <c r="AH136" s="25">
        <f>COUNTIFS(Tabela1[Mês],Tabela1[[#This Row],[Mês]],Tabela1[Fase atual],"Recebido")</f>
        <v>100</v>
      </c>
      <c r="AI136" s="26">
        <f>Tabela1[[#This Row],[Recebido_ Mes]]/Tabela1[[#This Row],[Total_Mes]]</f>
        <v>0.76923076923076927</v>
      </c>
      <c r="AJ136" s="19">
        <f>COUNTIFS(Tabela1[Fase atual],"Recebido",Tabela1[Mês],Tabela1[[#This Row],[Mês]],Tabela1[Ano],Tabela1[[#This Row],[Ano]])/COUNTIF(Tabela1[Mês],Tabela1[[#This Row],[Mês]])</f>
        <v>0.76923076923076927</v>
      </c>
      <c r="AK136" s="20">
        <f>100%</f>
        <v>1</v>
      </c>
    </row>
    <row r="137" spans="1:37" ht="18" customHeight="1" x14ac:dyDescent="0.25">
      <c r="A137">
        <v>1226165124</v>
      </c>
      <c r="B137" t="s">
        <v>701</v>
      </c>
      <c r="C137" t="s">
        <v>855</v>
      </c>
      <c r="D137" t="s">
        <v>37</v>
      </c>
      <c r="E137" t="s">
        <v>31</v>
      </c>
      <c r="F137" s="2">
        <v>45932.77867738426</v>
      </c>
      <c r="AC137" s="24">
        <f t="shared" ca="1" si="5"/>
        <v>201.22132261574006</v>
      </c>
      <c r="AD137" s="25" t="str">
        <f t="shared" ca="1" si="6"/>
        <v>&gt;60 dias</v>
      </c>
      <c r="AE137" s="25">
        <f>MONTH(Tabela1[[#This Row],[Criado em]])</f>
        <v>10</v>
      </c>
      <c r="AF137" s="25">
        <f>YEAR(Tabela1[[#This Row],[Criado em]])</f>
        <v>2025</v>
      </c>
      <c r="AG137" s="25">
        <f>COUNTIFS(Tabela1[Mês],Tabela1[[#This Row],[Mês]])</f>
        <v>196</v>
      </c>
      <c r="AH137" s="25">
        <f>COUNTIFS(Tabela1[Mês],Tabela1[[#This Row],[Mês]],Tabela1[Fase atual],"Recebido")</f>
        <v>138</v>
      </c>
      <c r="AI137" s="26">
        <f>Tabela1[[#This Row],[Recebido_ Mes]]/Tabela1[[#This Row],[Total_Mes]]</f>
        <v>0.70408163265306123</v>
      </c>
      <c r="AJ137" s="19">
        <f>COUNTIFS(Tabela1[Fase atual],"Recebido",Tabela1[Mês],Tabela1[[#This Row],[Mês]],Tabela1[Ano],Tabela1[[#This Row],[Ano]])/COUNTIF(Tabela1[Mês],Tabela1[[#This Row],[Mês]])</f>
        <v>0.70408163265306123</v>
      </c>
      <c r="AK137" s="20">
        <f>100%</f>
        <v>1</v>
      </c>
    </row>
    <row r="138" spans="1:37" ht="18" customHeight="1" x14ac:dyDescent="0.25">
      <c r="A138">
        <v>1187232159</v>
      </c>
      <c r="B138" t="s">
        <v>701</v>
      </c>
      <c r="C138" t="s">
        <v>856</v>
      </c>
      <c r="D138" t="s">
        <v>37</v>
      </c>
      <c r="E138" t="s">
        <v>31</v>
      </c>
      <c r="F138" s="2">
        <v>45870.851270127307</v>
      </c>
      <c r="AC138" s="24">
        <f t="shared" ca="1" si="5"/>
        <v>263.14872987269337</v>
      </c>
      <c r="AD138" s="25" t="str">
        <f t="shared" ca="1" si="6"/>
        <v>&gt;60 dias</v>
      </c>
      <c r="AE138" s="25">
        <f>MONTH(Tabela1[[#This Row],[Criado em]])</f>
        <v>8</v>
      </c>
      <c r="AF138" s="25">
        <f>YEAR(Tabela1[[#This Row],[Criado em]])</f>
        <v>2025</v>
      </c>
      <c r="AG138" s="25">
        <f>COUNTIFS(Tabela1[Mês],Tabela1[[#This Row],[Mês]])</f>
        <v>146</v>
      </c>
      <c r="AH138" s="25">
        <f>COUNTIFS(Tabela1[Mês],Tabela1[[#This Row],[Mês]],Tabela1[Fase atual],"Recebido")</f>
        <v>115</v>
      </c>
      <c r="AI138" s="26">
        <f>Tabela1[[#This Row],[Recebido_ Mes]]/Tabela1[[#This Row],[Total_Mes]]</f>
        <v>0.78767123287671237</v>
      </c>
      <c r="AJ138" s="19">
        <f>COUNTIFS(Tabela1[Fase atual],"Recebido",Tabela1[Mês],Tabela1[[#This Row],[Mês]],Tabela1[Ano],Tabela1[[#This Row],[Ano]])/COUNTIF(Tabela1[Mês],Tabela1[[#This Row],[Mês]])</f>
        <v>0.78767123287671237</v>
      </c>
      <c r="AK138" s="20">
        <f>100%</f>
        <v>1</v>
      </c>
    </row>
    <row r="139" spans="1:37" ht="18" customHeight="1" x14ac:dyDescent="0.25">
      <c r="A139">
        <v>1301740671</v>
      </c>
      <c r="B139" t="s">
        <v>94</v>
      </c>
      <c r="C139" t="s">
        <v>95</v>
      </c>
      <c r="D139" t="s">
        <v>37</v>
      </c>
      <c r="E139" t="s">
        <v>31</v>
      </c>
      <c r="F139" s="2">
        <v>46076.793550057868</v>
      </c>
      <c r="AC139" s="24">
        <f t="shared" ca="1" si="5"/>
        <v>57.206449942132167</v>
      </c>
      <c r="AD139" s="25" t="str">
        <f t="shared" ca="1" si="6"/>
        <v>31-60 dias</v>
      </c>
      <c r="AE139" s="25">
        <f>MONTH(Tabela1[[#This Row],[Criado em]])</f>
        <v>2</v>
      </c>
      <c r="AF139" s="25">
        <f>YEAR(Tabela1[[#This Row],[Criado em]])</f>
        <v>2026</v>
      </c>
      <c r="AG139" s="25">
        <f>COUNTIFS(Tabela1[Mês],Tabela1[[#This Row],[Mês]])</f>
        <v>197</v>
      </c>
      <c r="AH139" s="25">
        <f>COUNTIFS(Tabela1[Mês],Tabela1[[#This Row],[Mês]],Tabela1[Fase atual],"Recebido")</f>
        <v>124</v>
      </c>
      <c r="AI139" s="26">
        <f>Tabela1[[#This Row],[Recebido_ Mes]]/Tabela1[[#This Row],[Total_Mes]]</f>
        <v>0.62944162436548223</v>
      </c>
      <c r="AJ139" s="19">
        <f>COUNTIFS(Tabela1[Fase atual],"Recebido",Tabela1[Mês],Tabela1[[#This Row],[Mês]],Tabela1[Ano],Tabela1[[#This Row],[Ano]])/COUNTIF(Tabela1[Mês],Tabela1[[#This Row],[Mês]])</f>
        <v>0.62944162436548223</v>
      </c>
      <c r="AK139" s="20">
        <f>100%</f>
        <v>1</v>
      </c>
    </row>
    <row r="140" spans="1:37" ht="18" customHeight="1" x14ac:dyDescent="0.25">
      <c r="A140">
        <v>1275292242</v>
      </c>
      <c r="B140" t="s">
        <v>96</v>
      </c>
      <c r="C140" t="s">
        <v>857</v>
      </c>
      <c r="D140" t="s">
        <v>37</v>
      </c>
      <c r="E140" t="s">
        <v>31</v>
      </c>
      <c r="F140" s="2">
        <v>46022.796239293981</v>
      </c>
      <c r="AC140" s="24">
        <f t="shared" ca="1" si="5"/>
        <v>111.20376070601924</v>
      </c>
      <c r="AD140" s="25" t="str">
        <f t="shared" ca="1" si="6"/>
        <v>&gt;60 dias</v>
      </c>
      <c r="AE140" s="25">
        <f>MONTH(Tabela1[[#This Row],[Criado em]])</f>
        <v>12</v>
      </c>
      <c r="AF140" s="25">
        <f>YEAR(Tabela1[[#This Row],[Criado em]])</f>
        <v>2025</v>
      </c>
      <c r="AG140" s="25">
        <f>COUNTIFS(Tabela1[Mês],Tabela1[[#This Row],[Mês]])</f>
        <v>207</v>
      </c>
      <c r="AH140" s="25">
        <f>COUNTIFS(Tabela1[Mês],Tabela1[[#This Row],[Mês]],Tabela1[Fase atual],"Recebido")</f>
        <v>155</v>
      </c>
      <c r="AI140" s="26">
        <f>Tabela1[[#This Row],[Recebido_ Mes]]/Tabela1[[#This Row],[Total_Mes]]</f>
        <v>0.74879227053140096</v>
      </c>
      <c r="AJ140" s="19">
        <f>COUNTIFS(Tabela1[Fase atual],"Recebido",Tabela1[Mês],Tabela1[[#This Row],[Mês]],Tabela1[Ano],Tabela1[[#This Row],[Ano]])/COUNTIF(Tabela1[Mês],Tabela1[[#This Row],[Mês]])</f>
        <v>0.74879227053140096</v>
      </c>
      <c r="AK140" s="20">
        <f>100%</f>
        <v>1</v>
      </c>
    </row>
    <row r="141" spans="1:37" ht="18" customHeight="1" x14ac:dyDescent="0.25">
      <c r="A141">
        <v>1290210831</v>
      </c>
      <c r="B141" t="s">
        <v>96</v>
      </c>
      <c r="C141" t="s">
        <v>97</v>
      </c>
      <c r="D141" t="s">
        <v>37</v>
      </c>
      <c r="E141" t="s">
        <v>31</v>
      </c>
      <c r="F141" s="2">
        <v>46051.544780856479</v>
      </c>
      <c r="AC141" s="24">
        <f t="shared" ca="1" si="5"/>
        <v>82.45521914352139</v>
      </c>
      <c r="AD141" s="25" t="str">
        <f t="shared" ca="1" si="6"/>
        <v>&gt;60 dias</v>
      </c>
      <c r="AE141" s="25">
        <f>MONTH(Tabela1[[#This Row],[Criado em]])</f>
        <v>1</v>
      </c>
      <c r="AF141" s="25">
        <f>YEAR(Tabela1[[#This Row],[Criado em]])</f>
        <v>2026</v>
      </c>
      <c r="AG141" s="25">
        <f>COUNTIFS(Tabela1[Mês],Tabela1[[#This Row],[Mês]])</f>
        <v>222</v>
      </c>
      <c r="AH141" s="25">
        <f>COUNTIFS(Tabela1[Mês],Tabela1[[#This Row],[Mês]],Tabela1[Fase atual],"Recebido")</f>
        <v>174</v>
      </c>
      <c r="AI141" s="26">
        <f>Tabela1[[#This Row],[Recebido_ Mes]]/Tabela1[[#This Row],[Total_Mes]]</f>
        <v>0.78378378378378377</v>
      </c>
      <c r="AJ141" s="19">
        <f>COUNTIFS(Tabela1[Fase atual],"Recebido",Tabela1[Mês],Tabela1[[#This Row],[Mês]],Tabela1[Ano],Tabela1[[#This Row],[Ano]])/COUNTIF(Tabela1[Mês],Tabela1[[#This Row],[Mês]])</f>
        <v>0.78378378378378377</v>
      </c>
      <c r="AK141" s="20">
        <f>100%</f>
        <v>1</v>
      </c>
    </row>
    <row r="142" spans="1:37" ht="18" customHeight="1" x14ac:dyDescent="0.25">
      <c r="A142">
        <v>1282563289</v>
      </c>
      <c r="B142" t="s">
        <v>96</v>
      </c>
      <c r="C142" t="s">
        <v>97</v>
      </c>
      <c r="D142" t="s">
        <v>37</v>
      </c>
      <c r="E142" t="s">
        <v>31</v>
      </c>
      <c r="F142" s="2">
        <v>46037.919510868058</v>
      </c>
      <c r="AC142" s="24">
        <f t="shared" ca="1" si="5"/>
        <v>96.080489131942159</v>
      </c>
      <c r="AD142" s="25" t="str">
        <f t="shared" ca="1" si="6"/>
        <v>&gt;60 dias</v>
      </c>
      <c r="AE142" s="25">
        <f>MONTH(Tabela1[[#This Row],[Criado em]])</f>
        <v>1</v>
      </c>
      <c r="AF142" s="25">
        <f>YEAR(Tabela1[[#This Row],[Criado em]])</f>
        <v>2026</v>
      </c>
      <c r="AG142" s="25">
        <f>COUNTIFS(Tabela1[Mês],Tabela1[[#This Row],[Mês]])</f>
        <v>222</v>
      </c>
      <c r="AH142" s="25">
        <f>COUNTIFS(Tabela1[Mês],Tabela1[[#This Row],[Mês]],Tabela1[Fase atual],"Recebido")</f>
        <v>174</v>
      </c>
      <c r="AI142" s="26">
        <f>Tabela1[[#This Row],[Recebido_ Mes]]/Tabela1[[#This Row],[Total_Mes]]</f>
        <v>0.78378378378378377</v>
      </c>
      <c r="AJ142" s="19">
        <f>COUNTIFS(Tabela1[Fase atual],"Recebido",Tabela1[Mês],Tabela1[[#This Row],[Mês]],Tabela1[Ano],Tabela1[[#This Row],[Ano]])/COUNTIF(Tabela1[Mês],Tabela1[[#This Row],[Mês]])</f>
        <v>0.78378378378378377</v>
      </c>
      <c r="AK142" s="20">
        <f>100%</f>
        <v>1</v>
      </c>
    </row>
    <row r="143" spans="1:37" ht="18" customHeight="1" x14ac:dyDescent="0.25">
      <c r="A143">
        <v>1204687271</v>
      </c>
      <c r="B143" t="s">
        <v>858</v>
      </c>
      <c r="C143" t="s">
        <v>859</v>
      </c>
      <c r="D143" t="s">
        <v>34</v>
      </c>
      <c r="E143" t="s">
        <v>31</v>
      </c>
      <c r="F143" s="2">
        <v>45898.784705972233</v>
      </c>
      <c r="AC143" s="24">
        <f t="shared" ca="1" si="5"/>
        <v>235.2152940277665</v>
      </c>
      <c r="AD143" s="25" t="str">
        <f t="shared" ca="1" si="6"/>
        <v>&gt;60 dias</v>
      </c>
      <c r="AE143" s="25">
        <f>MONTH(Tabela1[[#This Row],[Criado em]])</f>
        <v>8</v>
      </c>
      <c r="AF143" s="25">
        <f>YEAR(Tabela1[[#This Row],[Criado em]])</f>
        <v>2025</v>
      </c>
      <c r="AG143" s="25">
        <f>COUNTIFS(Tabela1[Mês],Tabela1[[#This Row],[Mês]])</f>
        <v>146</v>
      </c>
      <c r="AH143" s="25">
        <f>COUNTIFS(Tabela1[Mês],Tabela1[[#This Row],[Mês]],Tabela1[Fase atual],"Recebido")</f>
        <v>115</v>
      </c>
      <c r="AI143" s="26">
        <f>Tabela1[[#This Row],[Recebido_ Mes]]/Tabela1[[#This Row],[Total_Mes]]</f>
        <v>0.78767123287671237</v>
      </c>
      <c r="AJ143" s="19">
        <f>COUNTIFS(Tabela1[Fase atual],"Recebido",Tabela1[Mês],Tabela1[[#This Row],[Mês]],Tabela1[Ano],Tabela1[[#This Row],[Ano]])/COUNTIF(Tabela1[Mês],Tabela1[[#This Row],[Mês]])</f>
        <v>0.78767123287671237</v>
      </c>
      <c r="AK143" s="20">
        <f>100%</f>
        <v>1</v>
      </c>
    </row>
    <row r="144" spans="1:37" ht="18" customHeight="1" x14ac:dyDescent="0.25">
      <c r="A144">
        <v>1245632676</v>
      </c>
      <c r="B144" t="s">
        <v>858</v>
      </c>
      <c r="C144" t="s">
        <v>860</v>
      </c>
      <c r="D144" t="s">
        <v>37</v>
      </c>
      <c r="E144" t="s">
        <v>31</v>
      </c>
      <c r="F144" s="2">
        <v>45957.795642303237</v>
      </c>
      <c r="AC144" s="24">
        <f t="shared" ca="1" si="5"/>
        <v>176.2043576967626</v>
      </c>
      <c r="AD144" s="25" t="str">
        <f t="shared" ca="1" si="6"/>
        <v>&gt;60 dias</v>
      </c>
      <c r="AE144" s="25">
        <f>MONTH(Tabela1[[#This Row],[Criado em]])</f>
        <v>10</v>
      </c>
      <c r="AF144" s="25">
        <f>YEAR(Tabela1[[#This Row],[Criado em]])</f>
        <v>2025</v>
      </c>
      <c r="AG144" s="25">
        <f>COUNTIFS(Tabela1[Mês],Tabela1[[#This Row],[Mês]])</f>
        <v>196</v>
      </c>
      <c r="AH144" s="25">
        <f>COUNTIFS(Tabela1[Mês],Tabela1[[#This Row],[Mês]],Tabela1[Fase atual],"Recebido")</f>
        <v>138</v>
      </c>
      <c r="AI144" s="26">
        <f>Tabela1[[#This Row],[Recebido_ Mes]]/Tabela1[[#This Row],[Total_Mes]]</f>
        <v>0.70408163265306123</v>
      </c>
      <c r="AJ144" s="19">
        <f>COUNTIFS(Tabela1[Fase atual],"Recebido",Tabela1[Mês],Tabela1[[#This Row],[Mês]],Tabela1[Ano],Tabela1[[#This Row],[Ano]])/COUNTIF(Tabela1[Mês],Tabela1[[#This Row],[Mês]])</f>
        <v>0.70408163265306123</v>
      </c>
      <c r="AK144" s="20">
        <f>100%</f>
        <v>1</v>
      </c>
    </row>
    <row r="145" spans="1:37" ht="18" customHeight="1" x14ac:dyDescent="0.25">
      <c r="A145">
        <v>1227028054</v>
      </c>
      <c r="B145" t="s">
        <v>853</v>
      </c>
      <c r="C145" t="s">
        <v>861</v>
      </c>
      <c r="D145" t="s">
        <v>37</v>
      </c>
      <c r="E145" t="s">
        <v>31</v>
      </c>
      <c r="F145" s="2">
        <v>45933.850774328697</v>
      </c>
      <c r="AC145" s="24">
        <f t="shared" ca="1" si="5"/>
        <v>200.1492256713027</v>
      </c>
      <c r="AD145" s="25" t="str">
        <f t="shared" ca="1" si="6"/>
        <v>&gt;60 dias</v>
      </c>
      <c r="AE145" s="25">
        <f>MONTH(Tabela1[[#This Row],[Criado em]])</f>
        <v>10</v>
      </c>
      <c r="AF145" s="25">
        <f>YEAR(Tabela1[[#This Row],[Criado em]])</f>
        <v>2025</v>
      </c>
      <c r="AG145" s="25">
        <f>COUNTIFS(Tabela1[Mês],Tabela1[[#This Row],[Mês]])</f>
        <v>196</v>
      </c>
      <c r="AH145" s="25">
        <f>COUNTIFS(Tabela1[Mês],Tabela1[[#This Row],[Mês]],Tabela1[Fase atual],"Recebido")</f>
        <v>138</v>
      </c>
      <c r="AI145" s="26">
        <f>Tabela1[[#This Row],[Recebido_ Mes]]/Tabela1[[#This Row],[Total_Mes]]</f>
        <v>0.70408163265306123</v>
      </c>
      <c r="AJ145" s="19">
        <f>COUNTIFS(Tabela1[Fase atual],"Recebido",Tabela1[Mês],Tabela1[[#This Row],[Mês]],Tabela1[Ano],Tabela1[[#This Row],[Ano]])/COUNTIF(Tabela1[Mês],Tabela1[[#This Row],[Mês]])</f>
        <v>0.70408163265306123</v>
      </c>
      <c r="AK145" s="20">
        <f>100%</f>
        <v>1</v>
      </c>
    </row>
    <row r="146" spans="1:37" ht="18" customHeight="1" x14ac:dyDescent="0.25">
      <c r="A146">
        <v>1261830954</v>
      </c>
      <c r="B146" t="s">
        <v>862</v>
      </c>
      <c r="C146" t="s">
        <v>863</v>
      </c>
      <c r="D146" t="s">
        <v>40</v>
      </c>
      <c r="E146" t="s">
        <v>31</v>
      </c>
      <c r="F146" s="2">
        <v>45992.62992028935</v>
      </c>
      <c r="AC146" s="24">
        <f t="shared" ca="1" si="5"/>
        <v>141.37007971065032</v>
      </c>
      <c r="AD146" s="25" t="str">
        <f t="shared" ca="1" si="6"/>
        <v>&gt;60 dias</v>
      </c>
      <c r="AE146" s="25">
        <f>MONTH(Tabela1[[#This Row],[Criado em]])</f>
        <v>12</v>
      </c>
      <c r="AF146" s="25">
        <f>YEAR(Tabela1[[#This Row],[Criado em]])</f>
        <v>2025</v>
      </c>
      <c r="AG146" s="25">
        <f>COUNTIFS(Tabela1[Mês],Tabela1[[#This Row],[Mês]])</f>
        <v>207</v>
      </c>
      <c r="AH146" s="25">
        <f>COUNTIFS(Tabela1[Mês],Tabela1[[#This Row],[Mês]],Tabela1[Fase atual],"Recebido")</f>
        <v>155</v>
      </c>
      <c r="AI146" s="26">
        <f>Tabela1[[#This Row],[Recebido_ Mes]]/Tabela1[[#This Row],[Total_Mes]]</f>
        <v>0.74879227053140096</v>
      </c>
      <c r="AJ146" s="19">
        <f>COUNTIFS(Tabela1[Fase atual],"Recebido",Tabela1[Mês],Tabela1[[#This Row],[Mês]],Tabela1[Ano],Tabela1[[#This Row],[Ano]])/COUNTIF(Tabela1[Mês],Tabela1[[#This Row],[Mês]])</f>
        <v>0.74879227053140096</v>
      </c>
      <c r="AK146" s="20">
        <f>100%</f>
        <v>1</v>
      </c>
    </row>
    <row r="147" spans="1:37" ht="18" customHeight="1" x14ac:dyDescent="0.25">
      <c r="A147">
        <v>1249086428</v>
      </c>
      <c r="B147" t="s">
        <v>864</v>
      </c>
      <c r="C147" t="s">
        <v>865</v>
      </c>
      <c r="D147" t="s">
        <v>37</v>
      </c>
      <c r="E147" t="s">
        <v>31</v>
      </c>
      <c r="F147" s="2">
        <v>45964.795083900462</v>
      </c>
      <c r="AC147" s="24">
        <f t="shared" ca="1" si="5"/>
        <v>169.20491609953751</v>
      </c>
      <c r="AD147" s="25" t="str">
        <f t="shared" ca="1" si="6"/>
        <v>&gt;60 dias</v>
      </c>
      <c r="AE147" s="25">
        <f>MONTH(Tabela1[[#This Row],[Criado em]])</f>
        <v>11</v>
      </c>
      <c r="AF147" s="25">
        <f>YEAR(Tabela1[[#This Row],[Criado em]])</f>
        <v>2025</v>
      </c>
      <c r="AG147" s="25">
        <f>COUNTIFS(Tabela1[Mês],Tabela1[[#This Row],[Mês]])</f>
        <v>130</v>
      </c>
      <c r="AH147" s="25">
        <f>COUNTIFS(Tabela1[Mês],Tabela1[[#This Row],[Mês]],Tabela1[Fase atual],"Recebido")</f>
        <v>100</v>
      </c>
      <c r="AI147" s="26">
        <f>Tabela1[[#This Row],[Recebido_ Mes]]/Tabela1[[#This Row],[Total_Mes]]</f>
        <v>0.76923076923076927</v>
      </c>
      <c r="AJ147" s="19">
        <f>COUNTIFS(Tabela1[Fase atual],"Recebido",Tabela1[Mês],Tabela1[[#This Row],[Mês]],Tabela1[Ano],Tabela1[[#This Row],[Ano]])/COUNTIF(Tabela1[Mês],Tabela1[[#This Row],[Mês]])</f>
        <v>0.76923076923076927</v>
      </c>
      <c r="AK147" s="20">
        <f>100%</f>
        <v>1</v>
      </c>
    </row>
    <row r="148" spans="1:37" ht="18" customHeight="1" x14ac:dyDescent="0.25">
      <c r="A148">
        <v>1185127728</v>
      </c>
      <c r="B148" t="s">
        <v>866</v>
      </c>
      <c r="C148" t="s">
        <v>867</v>
      </c>
      <c r="D148" t="s">
        <v>784</v>
      </c>
      <c r="E148" t="s">
        <v>31</v>
      </c>
      <c r="F148" s="2">
        <v>45867.617916377319</v>
      </c>
      <c r="AC148" s="24">
        <f t="shared" ca="1" si="5"/>
        <v>266.38208362268051</v>
      </c>
      <c r="AD148" s="25" t="str">
        <f t="shared" ca="1" si="6"/>
        <v>&gt;60 dias</v>
      </c>
      <c r="AE148" s="25">
        <f>MONTH(Tabela1[[#This Row],[Criado em]])</f>
        <v>7</v>
      </c>
      <c r="AF148" s="25">
        <f>YEAR(Tabela1[[#This Row],[Criado em]])</f>
        <v>2025</v>
      </c>
      <c r="AG148" s="25">
        <f>COUNTIFS(Tabela1[Mês],Tabela1[[#This Row],[Mês]])</f>
        <v>177</v>
      </c>
      <c r="AH148" s="25">
        <f>COUNTIFS(Tabela1[Mês],Tabela1[[#This Row],[Mês]],Tabela1[Fase atual],"Recebido")</f>
        <v>130</v>
      </c>
      <c r="AI148" s="26">
        <f>Tabela1[[#This Row],[Recebido_ Mes]]/Tabela1[[#This Row],[Total_Mes]]</f>
        <v>0.7344632768361582</v>
      </c>
      <c r="AJ148" s="19">
        <f>COUNTIFS(Tabela1[Fase atual],"Recebido",Tabela1[Mês],Tabela1[[#This Row],[Mês]],Tabela1[Ano],Tabela1[[#This Row],[Ano]])/COUNTIF(Tabela1[Mês],Tabela1[[#This Row],[Mês]])</f>
        <v>0.7344632768361582</v>
      </c>
      <c r="AK148" s="20">
        <f>100%</f>
        <v>1</v>
      </c>
    </row>
    <row r="149" spans="1:37" ht="18" customHeight="1" x14ac:dyDescent="0.25">
      <c r="A149">
        <v>1211286148</v>
      </c>
      <c r="B149" t="s">
        <v>853</v>
      </c>
      <c r="C149" t="s">
        <v>868</v>
      </c>
      <c r="D149" t="s">
        <v>37</v>
      </c>
      <c r="E149" t="s">
        <v>31</v>
      </c>
      <c r="F149" s="2">
        <v>45909.851676365739</v>
      </c>
      <c r="AC149" s="24">
        <f t="shared" ca="1" si="5"/>
        <v>224.14832363426103</v>
      </c>
      <c r="AD149" s="25" t="str">
        <f t="shared" ca="1" si="6"/>
        <v>&gt;60 dias</v>
      </c>
      <c r="AE149" s="25">
        <f>MONTH(Tabela1[[#This Row],[Criado em]])</f>
        <v>9</v>
      </c>
      <c r="AF149" s="25">
        <f>YEAR(Tabela1[[#This Row],[Criado em]])</f>
        <v>2025</v>
      </c>
      <c r="AG149" s="25">
        <f>COUNTIFS(Tabela1[Mês],Tabela1[[#This Row],[Mês]])</f>
        <v>197</v>
      </c>
      <c r="AH149" s="25">
        <f>COUNTIFS(Tabela1[Mês],Tabela1[[#This Row],[Mês]],Tabela1[Fase atual],"Recebido")</f>
        <v>152</v>
      </c>
      <c r="AI149" s="26">
        <f>Tabela1[[#This Row],[Recebido_ Mes]]/Tabela1[[#This Row],[Total_Mes]]</f>
        <v>0.77157360406091369</v>
      </c>
      <c r="AJ149" s="19">
        <f>COUNTIFS(Tabela1[Fase atual],"Recebido",Tabela1[Mês],Tabela1[[#This Row],[Mês]],Tabela1[Ano],Tabela1[[#This Row],[Ano]])/COUNTIF(Tabela1[Mês],Tabela1[[#This Row],[Mês]])</f>
        <v>0.77157360406091369</v>
      </c>
      <c r="AK149" s="20">
        <f>100%</f>
        <v>1</v>
      </c>
    </row>
    <row r="150" spans="1:37" ht="18" customHeight="1" x14ac:dyDescent="0.25">
      <c r="A150">
        <v>1267210022</v>
      </c>
      <c r="B150" t="s">
        <v>869</v>
      </c>
      <c r="C150" t="s">
        <v>870</v>
      </c>
      <c r="D150" t="s">
        <v>40</v>
      </c>
      <c r="E150" t="s">
        <v>31</v>
      </c>
      <c r="F150" s="2">
        <v>46002.797411979162</v>
      </c>
      <c r="AC150" s="24">
        <f t="shared" ca="1" si="5"/>
        <v>131.20258802083845</v>
      </c>
      <c r="AD150" s="25" t="str">
        <f t="shared" ca="1" si="6"/>
        <v>&gt;60 dias</v>
      </c>
      <c r="AE150" s="25">
        <f>MONTH(Tabela1[[#This Row],[Criado em]])</f>
        <v>12</v>
      </c>
      <c r="AF150" s="25">
        <f>YEAR(Tabela1[[#This Row],[Criado em]])</f>
        <v>2025</v>
      </c>
      <c r="AG150" s="25">
        <f>COUNTIFS(Tabela1[Mês],Tabela1[[#This Row],[Mês]])</f>
        <v>207</v>
      </c>
      <c r="AH150" s="25">
        <f>COUNTIFS(Tabela1[Mês],Tabela1[[#This Row],[Mês]],Tabela1[Fase atual],"Recebido")</f>
        <v>155</v>
      </c>
      <c r="AI150" s="26">
        <f>Tabela1[[#This Row],[Recebido_ Mes]]/Tabela1[[#This Row],[Total_Mes]]</f>
        <v>0.74879227053140096</v>
      </c>
      <c r="AJ150" s="19">
        <f>COUNTIFS(Tabela1[Fase atual],"Recebido",Tabela1[Mês],Tabela1[[#This Row],[Mês]],Tabela1[Ano],Tabela1[[#This Row],[Ano]])/COUNTIF(Tabela1[Mês],Tabela1[[#This Row],[Mês]])</f>
        <v>0.74879227053140096</v>
      </c>
      <c r="AK150" s="20">
        <f>100%</f>
        <v>1</v>
      </c>
    </row>
    <row r="151" spans="1:37" ht="18" customHeight="1" x14ac:dyDescent="0.25">
      <c r="A151">
        <v>1285275328</v>
      </c>
      <c r="B151" t="s">
        <v>98</v>
      </c>
      <c r="C151" t="s">
        <v>99</v>
      </c>
      <c r="D151" t="s">
        <v>37</v>
      </c>
      <c r="E151" t="s">
        <v>31</v>
      </c>
      <c r="F151" s="2">
        <v>46043.821542083329</v>
      </c>
      <c r="AC151" s="24">
        <f t="shared" ca="1" si="5"/>
        <v>90.178457916670595</v>
      </c>
      <c r="AD151" s="25" t="str">
        <f t="shared" ca="1" si="6"/>
        <v>&gt;60 dias</v>
      </c>
      <c r="AE151" s="25">
        <f>MONTH(Tabela1[[#This Row],[Criado em]])</f>
        <v>1</v>
      </c>
      <c r="AF151" s="25">
        <f>YEAR(Tabela1[[#This Row],[Criado em]])</f>
        <v>2026</v>
      </c>
      <c r="AG151" s="25">
        <f>COUNTIFS(Tabela1[Mês],Tabela1[[#This Row],[Mês]])</f>
        <v>222</v>
      </c>
      <c r="AH151" s="25">
        <f>COUNTIFS(Tabela1[Mês],Tabela1[[#This Row],[Mês]],Tabela1[Fase atual],"Recebido")</f>
        <v>174</v>
      </c>
      <c r="AI151" s="26">
        <f>Tabela1[[#This Row],[Recebido_ Mes]]/Tabela1[[#This Row],[Total_Mes]]</f>
        <v>0.78378378378378377</v>
      </c>
      <c r="AJ151" s="19">
        <f>COUNTIFS(Tabela1[Fase atual],"Recebido",Tabela1[Mês],Tabela1[[#This Row],[Mês]],Tabela1[Ano],Tabela1[[#This Row],[Ano]])/COUNTIF(Tabela1[Mês],Tabela1[[#This Row],[Mês]])</f>
        <v>0.78378378378378377</v>
      </c>
      <c r="AK151" s="20">
        <f>100%</f>
        <v>1</v>
      </c>
    </row>
    <row r="152" spans="1:37" ht="18" customHeight="1" x14ac:dyDescent="0.25">
      <c r="A152">
        <v>1227028845</v>
      </c>
      <c r="B152" t="s">
        <v>98</v>
      </c>
      <c r="C152" t="s">
        <v>871</v>
      </c>
      <c r="D152" t="s">
        <v>37</v>
      </c>
      <c r="E152" t="s">
        <v>31</v>
      </c>
      <c r="F152" s="2">
        <v>45933.851470196758</v>
      </c>
      <c r="AC152" s="24">
        <f t="shared" ca="1" si="5"/>
        <v>200.14852980324213</v>
      </c>
      <c r="AD152" s="25" t="str">
        <f t="shared" ca="1" si="6"/>
        <v>&gt;60 dias</v>
      </c>
      <c r="AE152" s="25">
        <f>MONTH(Tabela1[[#This Row],[Criado em]])</f>
        <v>10</v>
      </c>
      <c r="AF152" s="25">
        <f>YEAR(Tabela1[[#This Row],[Criado em]])</f>
        <v>2025</v>
      </c>
      <c r="AG152" s="25">
        <f>COUNTIFS(Tabela1[Mês],Tabela1[[#This Row],[Mês]])</f>
        <v>196</v>
      </c>
      <c r="AH152" s="25">
        <f>COUNTIFS(Tabela1[Mês],Tabela1[[#This Row],[Mês]],Tabela1[Fase atual],"Recebido")</f>
        <v>138</v>
      </c>
      <c r="AI152" s="26">
        <f>Tabela1[[#This Row],[Recebido_ Mes]]/Tabela1[[#This Row],[Total_Mes]]</f>
        <v>0.70408163265306123</v>
      </c>
      <c r="AJ152" s="19">
        <f>COUNTIFS(Tabela1[Fase atual],"Recebido",Tabela1[Mês],Tabela1[[#This Row],[Mês]],Tabela1[Ano],Tabela1[[#This Row],[Ano]])/COUNTIF(Tabela1[Mês],Tabela1[[#This Row],[Mês]])</f>
        <v>0.70408163265306123</v>
      </c>
      <c r="AK152" s="20">
        <f>100%</f>
        <v>1</v>
      </c>
    </row>
    <row r="153" spans="1:37" ht="18" customHeight="1" x14ac:dyDescent="0.25">
      <c r="A153">
        <v>1266405566</v>
      </c>
      <c r="B153" t="s">
        <v>872</v>
      </c>
      <c r="C153" t="s">
        <v>873</v>
      </c>
      <c r="D153" t="s">
        <v>37</v>
      </c>
      <c r="E153" t="s">
        <v>31</v>
      </c>
      <c r="F153" s="2">
        <v>46001.518073564817</v>
      </c>
      <c r="AC153" s="24">
        <f t="shared" ca="1" si="5"/>
        <v>132.48192643518269</v>
      </c>
      <c r="AD153" s="25" t="str">
        <f t="shared" ca="1" si="6"/>
        <v>&gt;60 dias</v>
      </c>
      <c r="AE153" s="25">
        <f>MONTH(Tabela1[[#This Row],[Criado em]])</f>
        <v>12</v>
      </c>
      <c r="AF153" s="25">
        <f>YEAR(Tabela1[[#This Row],[Criado em]])</f>
        <v>2025</v>
      </c>
      <c r="AG153" s="25">
        <f>COUNTIFS(Tabela1[Mês],Tabela1[[#This Row],[Mês]])</f>
        <v>207</v>
      </c>
      <c r="AH153" s="25">
        <f>COUNTIFS(Tabela1[Mês],Tabela1[[#This Row],[Mês]],Tabela1[Fase atual],"Recebido")</f>
        <v>155</v>
      </c>
      <c r="AI153" s="26">
        <f>Tabela1[[#This Row],[Recebido_ Mes]]/Tabela1[[#This Row],[Total_Mes]]</f>
        <v>0.74879227053140096</v>
      </c>
      <c r="AJ153" s="19">
        <f>COUNTIFS(Tabela1[Fase atual],"Recebido",Tabela1[Mês],Tabela1[[#This Row],[Mês]],Tabela1[Ano],Tabela1[[#This Row],[Ano]])/COUNTIF(Tabela1[Mês],Tabela1[[#This Row],[Mês]])</f>
        <v>0.74879227053140096</v>
      </c>
      <c r="AK153" s="20">
        <f>100%</f>
        <v>1</v>
      </c>
    </row>
    <row r="154" spans="1:37" ht="18" customHeight="1" x14ac:dyDescent="0.25">
      <c r="A154">
        <v>1308191123</v>
      </c>
      <c r="B154" t="s">
        <v>2187</v>
      </c>
      <c r="C154" t="s">
        <v>2188</v>
      </c>
      <c r="D154" t="s">
        <v>2179</v>
      </c>
      <c r="E154" t="s">
        <v>31</v>
      </c>
      <c r="F154" s="2">
        <v>46084.627149837957</v>
      </c>
      <c r="AC154" s="24">
        <f t="shared" ca="1" si="5"/>
        <v>49.372850162042596</v>
      </c>
      <c r="AD154" s="25" t="str">
        <f t="shared" ca="1" si="6"/>
        <v>31-60 dias</v>
      </c>
      <c r="AE154" s="25">
        <f>MONTH(Tabela1[[#This Row],[Criado em]])</f>
        <v>3</v>
      </c>
      <c r="AF154" s="25">
        <f>YEAR(Tabela1[[#This Row],[Criado em]])</f>
        <v>2026</v>
      </c>
      <c r="AG154" s="25">
        <f>COUNTIFS(Tabela1[Mês],Tabela1[[#This Row],[Mês]])</f>
        <v>62</v>
      </c>
      <c r="AH154" s="25">
        <f>COUNTIFS(Tabela1[Mês],Tabela1[[#This Row],[Mês]],Tabela1[Fase atual],"Recebido")</f>
        <v>13</v>
      </c>
      <c r="AI154" s="26">
        <f>Tabela1[[#This Row],[Recebido_ Mes]]/Tabela1[[#This Row],[Total_Mes]]</f>
        <v>0.20967741935483872</v>
      </c>
      <c r="AJ154" s="19">
        <f>COUNTIFS(Tabela1[Fase atual],"Recebido",Tabela1[Mês],Tabela1[[#This Row],[Mês]],Tabela1[Ano],Tabela1[[#This Row],[Ano]])/COUNTIF(Tabela1[Mês],Tabela1[[#This Row],[Mês]])</f>
        <v>0.20967741935483872</v>
      </c>
      <c r="AK154" s="20">
        <f>100%</f>
        <v>1</v>
      </c>
    </row>
    <row r="155" spans="1:37" ht="18" customHeight="1" x14ac:dyDescent="0.25">
      <c r="A155">
        <v>1177541608</v>
      </c>
      <c r="B155" t="s">
        <v>874</v>
      </c>
      <c r="C155" t="s">
        <v>875</v>
      </c>
      <c r="D155" t="s">
        <v>37</v>
      </c>
      <c r="E155" t="s">
        <v>31</v>
      </c>
      <c r="F155" s="2">
        <v>45854.849569606478</v>
      </c>
      <c r="AC155" s="24">
        <f t="shared" ca="1" si="5"/>
        <v>279.15043039352167</v>
      </c>
      <c r="AD155" s="25" t="str">
        <f t="shared" ca="1" si="6"/>
        <v>&gt;60 dias</v>
      </c>
      <c r="AE155" s="25">
        <f>MONTH(Tabela1[[#This Row],[Criado em]])</f>
        <v>7</v>
      </c>
      <c r="AF155" s="25">
        <f>YEAR(Tabela1[[#This Row],[Criado em]])</f>
        <v>2025</v>
      </c>
      <c r="AG155" s="25">
        <f>COUNTIFS(Tabela1[Mês],Tabela1[[#This Row],[Mês]])</f>
        <v>177</v>
      </c>
      <c r="AH155" s="25">
        <f>COUNTIFS(Tabela1[Mês],Tabela1[[#This Row],[Mês]],Tabela1[Fase atual],"Recebido")</f>
        <v>130</v>
      </c>
      <c r="AI155" s="26">
        <f>Tabela1[[#This Row],[Recebido_ Mes]]/Tabela1[[#This Row],[Total_Mes]]</f>
        <v>0.7344632768361582</v>
      </c>
      <c r="AJ155" s="19">
        <f>COUNTIFS(Tabela1[Fase atual],"Recebido",Tabela1[Mês],Tabela1[[#This Row],[Mês]],Tabela1[Ano],Tabela1[[#This Row],[Ano]])/COUNTIF(Tabela1[Mês],Tabela1[[#This Row],[Mês]])</f>
        <v>0.7344632768361582</v>
      </c>
      <c r="AK155" s="20">
        <f>100%</f>
        <v>1</v>
      </c>
    </row>
    <row r="156" spans="1:37" ht="18" customHeight="1" x14ac:dyDescent="0.25">
      <c r="A156">
        <v>1278476787</v>
      </c>
      <c r="B156" t="s">
        <v>100</v>
      </c>
      <c r="C156" t="s">
        <v>101</v>
      </c>
      <c r="D156" t="s">
        <v>37</v>
      </c>
      <c r="E156" t="s">
        <v>31</v>
      </c>
      <c r="F156" s="2">
        <v>46029.921226828708</v>
      </c>
      <c r="AC156" s="24">
        <f t="shared" ca="1" si="5"/>
        <v>104.07877317129169</v>
      </c>
      <c r="AD156" s="25" t="str">
        <f t="shared" ca="1" si="6"/>
        <v>&gt;60 dias</v>
      </c>
      <c r="AE156" s="25">
        <f>MONTH(Tabela1[[#This Row],[Criado em]])</f>
        <v>1</v>
      </c>
      <c r="AF156" s="25">
        <f>YEAR(Tabela1[[#This Row],[Criado em]])</f>
        <v>2026</v>
      </c>
      <c r="AG156" s="25">
        <f>COUNTIFS(Tabela1[Mês],Tabela1[[#This Row],[Mês]])</f>
        <v>222</v>
      </c>
      <c r="AH156" s="25">
        <f>COUNTIFS(Tabela1[Mês],Tabela1[[#This Row],[Mês]],Tabela1[Fase atual],"Recebido")</f>
        <v>174</v>
      </c>
      <c r="AI156" s="26">
        <f>Tabela1[[#This Row],[Recebido_ Mes]]/Tabela1[[#This Row],[Total_Mes]]</f>
        <v>0.78378378378378377</v>
      </c>
      <c r="AJ156" s="19">
        <f>COUNTIFS(Tabela1[Fase atual],"Recebido",Tabela1[Mês],Tabela1[[#This Row],[Mês]],Tabela1[Ano],Tabela1[[#This Row],[Ano]])/COUNTIF(Tabela1[Mês],Tabela1[[#This Row],[Mês]])</f>
        <v>0.78378378378378377</v>
      </c>
      <c r="AK156" s="20">
        <f>100%</f>
        <v>1</v>
      </c>
    </row>
    <row r="157" spans="1:37" ht="18" customHeight="1" x14ac:dyDescent="0.25">
      <c r="A157">
        <v>1271629166</v>
      </c>
      <c r="B157" t="s">
        <v>876</v>
      </c>
      <c r="C157" t="s">
        <v>877</v>
      </c>
      <c r="D157" t="s">
        <v>37</v>
      </c>
      <c r="E157" t="s">
        <v>31</v>
      </c>
      <c r="F157" s="2">
        <v>46013.923492083333</v>
      </c>
      <c r="AC157" s="24">
        <f t="shared" ca="1" si="5"/>
        <v>120.07650791666674</v>
      </c>
      <c r="AD157" s="25" t="str">
        <f t="shared" ca="1" si="6"/>
        <v>&gt;60 dias</v>
      </c>
      <c r="AE157" s="25">
        <f>MONTH(Tabela1[[#This Row],[Criado em]])</f>
        <v>12</v>
      </c>
      <c r="AF157" s="25">
        <f>YEAR(Tabela1[[#This Row],[Criado em]])</f>
        <v>2025</v>
      </c>
      <c r="AG157" s="25">
        <f>COUNTIFS(Tabela1[Mês],Tabela1[[#This Row],[Mês]])</f>
        <v>207</v>
      </c>
      <c r="AH157" s="25">
        <f>COUNTIFS(Tabela1[Mês],Tabela1[[#This Row],[Mês]],Tabela1[Fase atual],"Recebido")</f>
        <v>155</v>
      </c>
      <c r="AI157" s="26">
        <f>Tabela1[[#This Row],[Recebido_ Mes]]/Tabela1[[#This Row],[Total_Mes]]</f>
        <v>0.74879227053140096</v>
      </c>
      <c r="AJ157" s="19">
        <f>COUNTIFS(Tabela1[Fase atual],"Recebido",Tabela1[Mês],Tabela1[[#This Row],[Mês]],Tabela1[Ano],Tabela1[[#This Row],[Ano]])/COUNTIF(Tabela1[Mês],Tabela1[[#This Row],[Mês]])</f>
        <v>0.74879227053140096</v>
      </c>
      <c r="AK157" s="20">
        <f>100%</f>
        <v>1</v>
      </c>
    </row>
    <row r="158" spans="1:37" ht="18" customHeight="1" x14ac:dyDescent="0.25">
      <c r="A158">
        <v>1259474121</v>
      </c>
      <c r="B158" t="s">
        <v>878</v>
      </c>
      <c r="C158" t="s">
        <v>879</v>
      </c>
      <c r="D158" t="s">
        <v>202</v>
      </c>
      <c r="E158" t="s">
        <v>31</v>
      </c>
      <c r="F158" s="2">
        <v>45986.792499930547</v>
      </c>
      <c r="AC158" s="24">
        <f t="shared" ca="1" si="5"/>
        <v>147.20750006945309</v>
      </c>
      <c r="AD158" s="25" t="str">
        <f t="shared" ca="1" si="6"/>
        <v>&gt;60 dias</v>
      </c>
      <c r="AE158" s="25">
        <f>MONTH(Tabela1[[#This Row],[Criado em]])</f>
        <v>11</v>
      </c>
      <c r="AF158" s="25">
        <f>YEAR(Tabela1[[#This Row],[Criado em]])</f>
        <v>2025</v>
      </c>
      <c r="AG158" s="25">
        <f>COUNTIFS(Tabela1[Mês],Tabela1[[#This Row],[Mês]])</f>
        <v>130</v>
      </c>
      <c r="AH158" s="25">
        <f>COUNTIFS(Tabela1[Mês],Tabela1[[#This Row],[Mês]],Tabela1[Fase atual],"Recebido")</f>
        <v>100</v>
      </c>
      <c r="AI158" s="26">
        <f>Tabela1[[#This Row],[Recebido_ Mes]]/Tabela1[[#This Row],[Total_Mes]]</f>
        <v>0.76923076923076927</v>
      </c>
      <c r="AJ158" s="19">
        <f>COUNTIFS(Tabela1[Fase atual],"Recebido",Tabela1[Mês],Tabela1[[#This Row],[Mês]],Tabela1[Ano],Tabela1[[#This Row],[Ano]])/COUNTIF(Tabela1[Mês],Tabela1[[#This Row],[Mês]])</f>
        <v>0.76923076923076927</v>
      </c>
      <c r="AK158" s="20">
        <f>100%</f>
        <v>1</v>
      </c>
    </row>
    <row r="159" spans="1:37" ht="18" customHeight="1" x14ac:dyDescent="0.25">
      <c r="A159">
        <v>1178245019</v>
      </c>
      <c r="B159" t="s">
        <v>880</v>
      </c>
      <c r="C159" t="s">
        <v>881</v>
      </c>
      <c r="D159" t="s">
        <v>784</v>
      </c>
      <c r="E159" t="s">
        <v>31</v>
      </c>
      <c r="F159" s="2">
        <v>45855.850899317127</v>
      </c>
      <c r="AC159" s="24">
        <f t="shared" ca="1" si="5"/>
        <v>278.14910068287281</v>
      </c>
      <c r="AD159" s="25" t="str">
        <f t="shared" ca="1" si="6"/>
        <v>&gt;60 dias</v>
      </c>
      <c r="AE159" s="25">
        <f>MONTH(Tabela1[[#This Row],[Criado em]])</f>
        <v>7</v>
      </c>
      <c r="AF159" s="25">
        <f>YEAR(Tabela1[[#This Row],[Criado em]])</f>
        <v>2025</v>
      </c>
      <c r="AG159" s="25">
        <f>COUNTIFS(Tabela1[Mês],Tabela1[[#This Row],[Mês]])</f>
        <v>177</v>
      </c>
      <c r="AH159" s="25">
        <f>COUNTIFS(Tabela1[Mês],Tabela1[[#This Row],[Mês]],Tabela1[Fase atual],"Recebido")</f>
        <v>130</v>
      </c>
      <c r="AI159" s="26">
        <f>Tabela1[[#This Row],[Recebido_ Mes]]/Tabela1[[#This Row],[Total_Mes]]</f>
        <v>0.7344632768361582</v>
      </c>
      <c r="AJ159" s="19">
        <f>COUNTIFS(Tabela1[Fase atual],"Recebido",Tabela1[Mês],Tabela1[[#This Row],[Mês]],Tabela1[Ano],Tabela1[[#This Row],[Ano]])/COUNTIF(Tabela1[Mês],Tabela1[[#This Row],[Mês]])</f>
        <v>0.7344632768361582</v>
      </c>
      <c r="AK159" s="20">
        <f>100%</f>
        <v>1</v>
      </c>
    </row>
    <row r="160" spans="1:37" ht="18" customHeight="1" x14ac:dyDescent="0.25">
      <c r="A160">
        <v>1194684965</v>
      </c>
      <c r="B160" t="s">
        <v>882</v>
      </c>
      <c r="C160" t="s">
        <v>883</v>
      </c>
      <c r="D160" t="s">
        <v>40</v>
      </c>
      <c r="E160" t="s">
        <v>31</v>
      </c>
      <c r="F160" s="2">
        <v>45882.850672083339</v>
      </c>
      <c r="AC160" s="24">
        <f t="shared" ca="1" si="5"/>
        <v>251.1493279166607</v>
      </c>
      <c r="AD160" s="25" t="str">
        <f t="shared" ca="1" si="6"/>
        <v>&gt;60 dias</v>
      </c>
      <c r="AE160" s="25">
        <f>MONTH(Tabela1[[#This Row],[Criado em]])</f>
        <v>8</v>
      </c>
      <c r="AF160" s="25">
        <f>YEAR(Tabela1[[#This Row],[Criado em]])</f>
        <v>2025</v>
      </c>
      <c r="AG160" s="25">
        <f>COUNTIFS(Tabela1[Mês],Tabela1[[#This Row],[Mês]])</f>
        <v>146</v>
      </c>
      <c r="AH160" s="25">
        <f>COUNTIFS(Tabela1[Mês],Tabela1[[#This Row],[Mês]],Tabela1[Fase atual],"Recebido")</f>
        <v>115</v>
      </c>
      <c r="AI160" s="26">
        <f>Tabela1[[#This Row],[Recebido_ Mes]]/Tabela1[[#This Row],[Total_Mes]]</f>
        <v>0.78767123287671237</v>
      </c>
      <c r="AJ160" s="19">
        <f>COUNTIFS(Tabela1[Fase atual],"Recebido",Tabela1[Mês],Tabela1[[#This Row],[Mês]],Tabela1[Ano],Tabela1[[#This Row],[Ano]])/COUNTIF(Tabela1[Mês],Tabela1[[#This Row],[Mês]])</f>
        <v>0.78767123287671237</v>
      </c>
      <c r="AK160" s="20">
        <f>100%</f>
        <v>1</v>
      </c>
    </row>
    <row r="161" spans="1:37" ht="18" customHeight="1" x14ac:dyDescent="0.25">
      <c r="A161">
        <v>1273200916</v>
      </c>
      <c r="B161" t="s">
        <v>884</v>
      </c>
      <c r="C161" t="s">
        <v>885</v>
      </c>
      <c r="D161" t="s">
        <v>37</v>
      </c>
      <c r="E161" t="s">
        <v>31</v>
      </c>
      <c r="F161" s="2">
        <v>46017.630012465277</v>
      </c>
      <c r="AC161" s="24">
        <f t="shared" ca="1" si="5"/>
        <v>116.3699875347229</v>
      </c>
      <c r="AD161" s="25" t="str">
        <f t="shared" ca="1" si="6"/>
        <v>&gt;60 dias</v>
      </c>
      <c r="AE161" s="25">
        <f>MONTH(Tabela1[[#This Row],[Criado em]])</f>
        <v>12</v>
      </c>
      <c r="AF161" s="25">
        <f>YEAR(Tabela1[[#This Row],[Criado em]])</f>
        <v>2025</v>
      </c>
      <c r="AG161" s="25">
        <f>COUNTIFS(Tabela1[Mês],Tabela1[[#This Row],[Mês]])</f>
        <v>207</v>
      </c>
      <c r="AH161" s="25">
        <f>COUNTIFS(Tabela1[Mês],Tabela1[[#This Row],[Mês]],Tabela1[Fase atual],"Recebido")</f>
        <v>155</v>
      </c>
      <c r="AI161" s="26">
        <f>Tabela1[[#This Row],[Recebido_ Mes]]/Tabela1[[#This Row],[Total_Mes]]</f>
        <v>0.74879227053140096</v>
      </c>
      <c r="AJ161" s="19">
        <f>COUNTIFS(Tabela1[Fase atual],"Recebido",Tabela1[Mês],Tabela1[[#This Row],[Mês]],Tabela1[Ano],Tabela1[[#This Row],[Ano]])/COUNTIF(Tabela1[Mês],Tabela1[[#This Row],[Mês]])</f>
        <v>0.74879227053140096</v>
      </c>
      <c r="AK161" s="20">
        <f>100%</f>
        <v>1</v>
      </c>
    </row>
    <row r="162" spans="1:37" ht="18" customHeight="1" x14ac:dyDescent="0.25">
      <c r="A162">
        <v>1299196864</v>
      </c>
      <c r="B162" t="s">
        <v>102</v>
      </c>
      <c r="C162" t="s">
        <v>103</v>
      </c>
      <c r="D162" t="s">
        <v>40</v>
      </c>
      <c r="E162" t="s">
        <v>31</v>
      </c>
      <c r="F162" s="2">
        <v>46071.920800856467</v>
      </c>
      <c r="AC162" s="24">
        <f t="shared" ca="1" si="5"/>
        <v>62.079199143532605</v>
      </c>
      <c r="AD162" s="25" t="str">
        <f t="shared" ca="1" si="6"/>
        <v>&gt;60 dias</v>
      </c>
      <c r="AE162" s="25">
        <f>MONTH(Tabela1[[#This Row],[Criado em]])</f>
        <v>2</v>
      </c>
      <c r="AF162" s="25">
        <f>YEAR(Tabela1[[#This Row],[Criado em]])</f>
        <v>2026</v>
      </c>
      <c r="AG162" s="25">
        <f>COUNTIFS(Tabela1[Mês],Tabela1[[#This Row],[Mês]])</f>
        <v>197</v>
      </c>
      <c r="AH162" s="25">
        <f>COUNTIFS(Tabela1[Mês],Tabela1[[#This Row],[Mês]],Tabela1[Fase atual],"Recebido")</f>
        <v>124</v>
      </c>
      <c r="AI162" s="26">
        <f>Tabela1[[#This Row],[Recebido_ Mes]]/Tabela1[[#This Row],[Total_Mes]]</f>
        <v>0.62944162436548223</v>
      </c>
      <c r="AJ162" s="19">
        <f>COUNTIFS(Tabela1[Fase atual],"Recebido",Tabela1[Mês],Tabela1[[#This Row],[Mês]],Tabela1[Ano],Tabela1[[#This Row],[Ano]])/COUNTIF(Tabela1[Mês],Tabela1[[#This Row],[Mês]])</f>
        <v>0.62944162436548223</v>
      </c>
      <c r="AK162" s="20">
        <f>100%</f>
        <v>1</v>
      </c>
    </row>
    <row r="163" spans="1:37" ht="18" customHeight="1" x14ac:dyDescent="0.25">
      <c r="A163">
        <v>1230592237</v>
      </c>
      <c r="B163" t="s">
        <v>886</v>
      </c>
      <c r="C163" t="s">
        <v>887</v>
      </c>
      <c r="D163" t="s">
        <v>37</v>
      </c>
      <c r="E163" t="s">
        <v>31</v>
      </c>
      <c r="F163" s="2">
        <v>45938.851735324068</v>
      </c>
      <c r="AC163" s="24">
        <f t="shared" ca="1" si="5"/>
        <v>195.1482646759323</v>
      </c>
      <c r="AD163" s="25" t="str">
        <f t="shared" ca="1" si="6"/>
        <v>&gt;60 dias</v>
      </c>
      <c r="AE163" s="25">
        <f>MONTH(Tabela1[[#This Row],[Criado em]])</f>
        <v>10</v>
      </c>
      <c r="AF163" s="25">
        <f>YEAR(Tabela1[[#This Row],[Criado em]])</f>
        <v>2025</v>
      </c>
      <c r="AG163" s="25">
        <f>COUNTIFS(Tabela1[Mês],Tabela1[[#This Row],[Mês]])</f>
        <v>196</v>
      </c>
      <c r="AH163" s="25">
        <f>COUNTIFS(Tabela1[Mês],Tabela1[[#This Row],[Mês]],Tabela1[Fase atual],"Recebido")</f>
        <v>138</v>
      </c>
      <c r="AI163" s="26">
        <f>Tabela1[[#This Row],[Recebido_ Mes]]/Tabela1[[#This Row],[Total_Mes]]</f>
        <v>0.70408163265306123</v>
      </c>
      <c r="AJ163" s="19">
        <f>COUNTIFS(Tabela1[Fase atual],"Recebido",Tabela1[Mês],Tabela1[[#This Row],[Mês]],Tabela1[Ano],Tabela1[[#This Row],[Ano]])/COUNTIF(Tabela1[Mês],Tabela1[[#This Row],[Mês]])</f>
        <v>0.70408163265306123</v>
      </c>
      <c r="AK163" s="20">
        <f>100%</f>
        <v>1</v>
      </c>
    </row>
    <row r="164" spans="1:37" ht="18" customHeight="1" x14ac:dyDescent="0.25">
      <c r="A164">
        <v>1241258284</v>
      </c>
      <c r="B164" t="s">
        <v>888</v>
      </c>
      <c r="C164" t="s">
        <v>889</v>
      </c>
      <c r="D164" t="s">
        <v>37</v>
      </c>
      <c r="E164" t="s">
        <v>31</v>
      </c>
      <c r="F164" s="2">
        <v>45952.626773402779</v>
      </c>
      <c r="AC164" s="24">
        <f t="shared" ca="1" si="5"/>
        <v>181.37322659722122</v>
      </c>
      <c r="AD164" s="25" t="str">
        <f t="shared" ca="1" si="6"/>
        <v>&gt;60 dias</v>
      </c>
      <c r="AE164" s="25">
        <f>MONTH(Tabela1[[#This Row],[Criado em]])</f>
        <v>10</v>
      </c>
      <c r="AF164" s="25">
        <f>YEAR(Tabela1[[#This Row],[Criado em]])</f>
        <v>2025</v>
      </c>
      <c r="AG164" s="25">
        <f>COUNTIFS(Tabela1[Mês],Tabela1[[#This Row],[Mês]])</f>
        <v>196</v>
      </c>
      <c r="AH164" s="25">
        <f>COUNTIFS(Tabela1[Mês],Tabela1[[#This Row],[Mês]],Tabela1[Fase atual],"Recebido")</f>
        <v>138</v>
      </c>
      <c r="AI164" s="26">
        <f>Tabela1[[#This Row],[Recebido_ Mes]]/Tabela1[[#This Row],[Total_Mes]]</f>
        <v>0.70408163265306123</v>
      </c>
      <c r="AJ164" s="19">
        <f>COUNTIFS(Tabela1[Fase atual],"Recebido",Tabela1[Mês],Tabela1[[#This Row],[Mês]],Tabela1[Ano],Tabela1[[#This Row],[Ano]])/COUNTIF(Tabela1[Mês],Tabela1[[#This Row],[Mês]])</f>
        <v>0.70408163265306123</v>
      </c>
      <c r="AK164" s="20">
        <f>100%</f>
        <v>1</v>
      </c>
    </row>
    <row r="165" spans="1:37" ht="18" customHeight="1" x14ac:dyDescent="0.25">
      <c r="A165">
        <v>1293909352</v>
      </c>
      <c r="B165" t="s">
        <v>104</v>
      </c>
      <c r="C165" t="s">
        <v>105</v>
      </c>
      <c r="D165" t="s">
        <v>37</v>
      </c>
      <c r="E165" t="s">
        <v>31</v>
      </c>
      <c r="F165" s="2">
        <v>46058.79587371528</v>
      </c>
      <c r="AC165" s="24">
        <f t="shared" ca="1" si="5"/>
        <v>75.204126284719678</v>
      </c>
      <c r="AD165" s="25" t="str">
        <f t="shared" ca="1" si="6"/>
        <v>&gt;60 dias</v>
      </c>
      <c r="AE165" s="25">
        <f>MONTH(Tabela1[[#This Row],[Criado em]])</f>
        <v>2</v>
      </c>
      <c r="AF165" s="25">
        <f>YEAR(Tabela1[[#This Row],[Criado em]])</f>
        <v>2026</v>
      </c>
      <c r="AG165" s="25">
        <f>COUNTIFS(Tabela1[Mês],Tabela1[[#This Row],[Mês]])</f>
        <v>197</v>
      </c>
      <c r="AH165" s="25">
        <f>COUNTIFS(Tabela1[Mês],Tabela1[[#This Row],[Mês]],Tabela1[Fase atual],"Recebido")</f>
        <v>124</v>
      </c>
      <c r="AI165" s="26">
        <f>Tabela1[[#This Row],[Recebido_ Mes]]/Tabela1[[#This Row],[Total_Mes]]</f>
        <v>0.62944162436548223</v>
      </c>
      <c r="AJ165" s="19">
        <f>COUNTIFS(Tabela1[Fase atual],"Recebido",Tabela1[Mês],Tabela1[[#This Row],[Mês]],Tabela1[Ano],Tabela1[[#This Row],[Ano]])/COUNTIF(Tabela1[Mês],Tabela1[[#This Row],[Mês]])</f>
        <v>0.62944162436548223</v>
      </c>
      <c r="AK165" s="20">
        <f>100%</f>
        <v>1</v>
      </c>
    </row>
    <row r="166" spans="1:37" ht="18" customHeight="1" x14ac:dyDescent="0.25">
      <c r="A166">
        <v>1254591809</v>
      </c>
      <c r="B166" t="s">
        <v>890</v>
      </c>
      <c r="C166" t="s">
        <v>891</v>
      </c>
      <c r="D166" t="s">
        <v>37</v>
      </c>
      <c r="E166" t="s">
        <v>31</v>
      </c>
      <c r="F166" s="2">
        <v>45974.794933553247</v>
      </c>
      <c r="AC166" s="24">
        <f t="shared" ca="1" si="5"/>
        <v>159.20506644675334</v>
      </c>
      <c r="AD166" s="25" t="str">
        <f t="shared" ca="1" si="6"/>
        <v>&gt;60 dias</v>
      </c>
      <c r="AE166" s="25">
        <f>MONTH(Tabela1[[#This Row],[Criado em]])</f>
        <v>11</v>
      </c>
      <c r="AF166" s="25">
        <f>YEAR(Tabela1[[#This Row],[Criado em]])</f>
        <v>2025</v>
      </c>
      <c r="AG166" s="25">
        <f>COUNTIFS(Tabela1[Mês],Tabela1[[#This Row],[Mês]])</f>
        <v>130</v>
      </c>
      <c r="AH166" s="25">
        <f>COUNTIFS(Tabela1[Mês],Tabela1[[#This Row],[Mês]],Tabela1[Fase atual],"Recebido")</f>
        <v>100</v>
      </c>
      <c r="AI166" s="26">
        <f>Tabela1[[#This Row],[Recebido_ Mes]]/Tabela1[[#This Row],[Total_Mes]]</f>
        <v>0.76923076923076927</v>
      </c>
      <c r="AJ166" s="19">
        <f>COUNTIFS(Tabela1[Fase atual],"Recebido",Tabela1[Mês],Tabela1[[#This Row],[Mês]],Tabela1[Ano],Tabela1[[#This Row],[Ano]])/COUNTIF(Tabela1[Mês],Tabela1[[#This Row],[Mês]])</f>
        <v>0.76923076923076927</v>
      </c>
      <c r="AK166" s="20">
        <f>100%</f>
        <v>1</v>
      </c>
    </row>
    <row r="167" spans="1:37" ht="18" customHeight="1" x14ac:dyDescent="0.25">
      <c r="A167">
        <v>1254591759</v>
      </c>
      <c r="B167" t="s">
        <v>892</v>
      </c>
      <c r="C167" t="s">
        <v>893</v>
      </c>
      <c r="D167" t="s">
        <v>37</v>
      </c>
      <c r="E167" t="s">
        <v>31</v>
      </c>
      <c r="F167" s="2">
        <v>45974.794872743063</v>
      </c>
      <c r="AC167" s="24">
        <f t="shared" ca="1" si="5"/>
        <v>159.20512725693698</v>
      </c>
      <c r="AD167" s="25" t="str">
        <f t="shared" ca="1" si="6"/>
        <v>&gt;60 dias</v>
      </c>
      <c r="AE167" s="25">
        <f>MONTH(Tabela1[[#This Row],[Criado em]])</f>
        <v>11</v>
      </c>
      <c r="AF167" s="25">
        <f>YEAR(Tabela1[[#This Row],[Criado em]])</f>
        <v>2025</v>
      </c>
      <c r="AG167" s="25">
        <f>COUNTIFS(Tabela1[Mês],Tabela1[[#This Row],[Mês]])</f>
        <v>130</v>
      </c>
      <c r="AH167" s="25">
        <f>COUNTIFS(Tabela1[Mês],Tabela1[[#This Row],[Mês]],Tabela1[Fase atual],"Recebido")</f>
        <v>100</v>
      </c>
      <c r="AI167" s="26">
        <f>Tabela1[[#This Row],[Recebido_ Mes]]/Tabela1[[#This Row],[Total_Mes]]</f>
        <v>0.76923076923076927</v>
      </c>
      <c r="AJ167" s="19">
        <f>COUNTIFS(Tabela1[Fase atual],"Recebido",Tabela1[Mês],Tabela1[[#This Row],[Mês]],Tabela1[Ano],Tabela1[[#This Row],[Ano]])/COUNTIF(Tabela1[Mês],Tabela1[[#This Row],[Mês]])</f>
        <v>0.76923076923076927</v>
      </c>
      <c r="AK167" s="20">
        <f>100%</f>
        <v>1</v>
      </c>
    </row>
    <row r="168" spans="1:37" ht="18" customHeight="1" x14ac:dyDescent="0.25">
      <c r="A168">
        <v>1285617237</v>
      </c>
      <c r="B168" t="s">
        <v>106</v>
      </c>
      <c r="C168" t="s">
        <v>107</v>
      </c>
      <c r="D168" t="s">
        <v>40</v>
      </c>
      <c r="E168" t="s">
        <v>31</v>
      </c>
      <c r="F168" s="2">
        <v>46044.506925578702</v>
      </c>
      <c r="AC168" s="24">
        <f t="shared" ca="1" si="5"/>
        <v>89.493074421297933</v>
      </c>
      <c r="AD168" s="25" t="str">
        <f t="shared" ca="1" si="6"/>
        <v>&gt;60 dias</v>
      </c>
      <c r="AE168" s="25">
        <f>MONTH(Tabela1[[#This Row],[Criado em]])</f>
        <v>1</v>
      </c>
      <c r="AF168" s="25">
        <f>YEAR(Tabela1[[#This Row],[Criado em]])</f>
        <v>2026</v>
      </c>
      <c r="AG168" s="25">
        <f>COUNTIFS(Tabela1[Mês],Tabela1[[#This Row],[Mês]])</f>
        <v>222</v>
      </c>
      <c r="AH168" s="25">
        <f>COUNTIFS(Tabela1[Mês],Tabela1[[#This Row],[Mês]],Tabela1[Fase atual],"Recebido")</f>
        <v>174</v>
      </c>
      <c r="AI168" s="26">
        <f>Tabela1[[#This Row],[Recebido_ Mes]]/Tabela1[[#This Row],[Total_Mes]]</f>
        <v>0.78378378378378377</v>
      </c>
      <c r="AJ168" s="19">
        <f>COUNTIFS(Tabela1[Fase atual],"Recebido",Tabela1[Mês],Tabela1[[#This Row],[Mês]],Tabela1[Ano],Tabela1[[#This Row],[Ano]])/COUNTIF(Tabela1[Mês],Tabela1[[#This Row],[Mês]])</f>
        <v>0.78378378378378377</v>
      </c>
      <c r="AK168" s="20">
        <f>100%</f>
        <v>1</v>
      </c>
    </row>
    <row r="169" spans="1:37" ht="18" customHeight="1" x14ac:dyDescent="0.25">
      <c r="A169">
        <v>1279454872</v>
      </c>
      <c r="B169" t="s">
        <v>108</v>
      </c>
      <c r="C169" t="s">
        <v>109</v>
      </c>
      <c r="D169" t="s">
        <v>37</v>
      </c>
      <c r="E169" t="s">
        <v>31</v>
      </c>
      <c r="F169" s="2">
        <v>46031.630123553237</v>
      </c>
      <c r="AC169" s="24">
        <f t="shared" ca="1" si="5"/>
        <v>102.36987644676265</v>
      </c>
      <c r="AD169" s="25" t="str">
        <f t="shared" ca="1" si="6"/>
        <v>&gt;60 dias</v>
      </c>
      <c r="AE169" s="25">
        <f>MONTH(Tabela1[[#This Row],[Criado em]])</f>
        <v>1</v>
      </c>
      <c r="AF169" s="25">
        <f>YEAR(Tabela1[[#This Row],[Criado em]])</f>
        <v>2026</v>
      </c>
      <c r="AG169" s="25">
        <f>COUNTIFS(Tabela1[Mês],Tabela1[[#This Row],[Mês]])</f>
        <v>222</v>
      </c>
      <c r="AH169" s="25">
        <f>COUNTIFS(Tabela1[Mês],Tabela1[[#This Row],[Mês]],Tabela1[Fase atual],"Recebido")</f>
        <v>174</v>
      </c>
      <c r="AI169" s="26">
        <f>Tabela1[[#This Row],[Recebido_ Mes]]/Tabela1[[#This Row],[Total_Mes]]</f>
        <v>0.78378378378378377</v>
      </c>
      <c r="AJ169" s="19">
        <f>COUNTIFS(Tabela1[Fase atual],"Recebido",Tabela1[Mês],Tabela1[[#This Row],[Mês]],Tabela1[Ano],Tabela1[[#This Row],[Ano]])/COUNTIF(Tabela1[Mês],Tabela1[[#This Row],[Mês]])</f>
        <v>0.78378378378378377</v>
      </c>
      <c r="AK169" s="20">
        <f>100%</f>
        <v>1</v>
      </c>
    </row>
    <row r="170" spans="1:37" ht="18" customHeight="1" x14ac:dyDescent="0.25">
      <c r="A170">
        <v>1176235756</v>
      </c>
      <c r="B170" t="s">
        <v>894</v>
      </c>
      <c r="C170" t="s">
        <v>895</v>
      </c>
      <c r="D170" t="s">
        <v>37</v>
      </c>
      <c r="E170" t="s">
        <v>31</v>
      </c>
      <c r="F170" s="2">
        <v>45852.851027835641</v>
      </c>
      <c r="AC170" s="24">
        <f t="shared" ca="1" si="5"/>
        <v>281.14897216435929</v>
      </c>
      <c r="AD170" s="25" t="str">
        <f t="shared" ca="1" si="6"/>
        <v>&gt;60 dias</v>
      </c>
      <c r="AE170" s="25">
        <f>MONTH(Tabela1[[#This Row],[Criado em]])</f>
        <v>7</v>
      </c>
      <c r="AF170" s="25">
        <f>YEAR(Tabela1[[#This Row],[Criado em]])</f>
        <v>2025</v>
      </c>
      <c r="AG170" s="25">
        <f>COUNTIFS(Tabela1[Mês],Tabela1[[#This Row],[Mês]])</f>
        <v>177</v>
      </c>
      <c r="AH170" s="25">
        <f>COUNTIFS(Tabela1[Mês],Tabela1[[#This Row],[Mês]],Tabela1[Fase atual],"Recebido")</f>
        <v>130</v>
      </c>
      <c r="AI170" s="26">
        <f>Tabela1[[#This Row],[Recebido_ Mes]]/Tabela1[[#This Row],[Total_Mes]]</f>
        <v>0.7344632768361582</v>
      </c>
      <c r="AJ170" s="19">
        <f>COUNTIFS(Tabela1[Fase atual],"Recebido",Tabela1[Mês],Tabela1[[#This Row],[Mês]],Tabela1[Ano],Tabela1[[#This Row],[Ano]])/COUNTIF(Tabela1[Mês],Tabela1[[#This Row],[Mês]])</f>
        <v>0.7344632768361582</v>
      </c>
      <c r="AK170" s="20">
        <f>100%</f>
        <v>1</v>
      </c>
    </row>
    <row r="171" spans="1:37" ht="18" customHeight="1" x14ac:dyDescent="0.25">
      <c r="A171">
        <v>1238329028</v>
      </c>
      <c r="B171" t="s">
        <v>896</v>
      </c>
      <c r="C171" t="s">
        <v>897</v>
      </c>
      <c r="D171" t="s">
        <v>37</v>
      </c>
      <c r="E171" t="s">
        <v>31</v>
      </c>
      <c r="F171" s="2">
        <v>45947.627129293978</v>
      </c>
      <c r="AC171" s="24">
        <f t="shared" ca="1" si="5"/>
        <v>186.37287070602179</v>
      </c>
      <c r="AD171" s="25" t="str">
        <f t="shared" ca="1" si="6"/>
        <v>&gt;60 dias</v>
      </c>
      <c r="AE171" s="25">
        <f>MONTH(Tabela1[[#This Row],[Criado em]])</f>
        <v>10</v>
      </c>
      <c r="AF171" s="25">
        <f>YEAR(Tabela1[[#This Row],[Criado em]])</f>
        <v>2025</v>
      </c>
      <c r="AG171" s="25">
        <f>COUNTIFS(Tabela1[Mês],Tabela1[[#This Row],[Mês]])</f>
        <v>196</v>
      </c>
      <c r="AH171" s="25">
        <f>COUNTIFS(Tabela1[Mês],Tabela1[[#This Row],[Mês]],Tabela1[Fase atual],"Recebido")</f>
        <v>138</v>
      </c>
      <c r="AI171" s="26">
        <f>Tabela1[[#This Row],[Recebido_ Mes]]/Tabela1[[#This Row],[Total_Mes]]</f>
        <v>0.70408163265306123</v>
      </c>
      <c r="AJ171" s="19">
        <f>COUNTIFS(Tabela1[Fase atual],"Recebido",Tabela1[Mês],Tabela1[[#This Row],[Mês]],Tabela1[Ano],Tabela1[[#This Row],[Ano]])/COUNTIF(Tabela1[Mês],Tabela1[[#This Row],[Mês]])</f>
        <v>0.70408163265306123</v>
      </c>
      <c r="AK171" s="20">
        <f>100%</f>
        <v>1</v>
      </c>
    </row>
    <row r="172" spans="1:37" ht="18" customHeight="1" x14ac:dyDescent="0.25">
      <c r="A172">
        <v>1240863983</v>
      </c>
      <c r="B172" t="s">
        <v>898</v>
      </c>
      <c r="C172" t="s">
        <v>899</v>
      </c>
      <c r="D172" t="s">
        <v>37</v>
      </c>
      <c r="E172" t="s">
        <v>31</v>
      </c>
      <c r="F172" s="2">
        <v>45951.919646249997</v>
      </c>
      <c r="AC172" s="24">
        <f t="shared" ca="1" si="5"/>
        <v>182.08035375000327</v>
      </c>
      <c r="AD172" s="25" t="str">
        <f t="shared" ca="1" si="6"/>
        <v>&gt;60 dias</v>
      </c>
      <c r="AE172" s="25">
        <f>MONTH(Tabela1[[#This Row],[Criado em]])</f>
        <v>10</v>
      </c>
      <c r="AF172" s="25">
        <f>YEAR(Tabela1[[#This Row],[Criado em]])</f>
        <v>2025</v>
      </c>
      <c r="AG172" s="25">
        <f>COUNTIFS(Tabela1[Mês],Tabela1[[#This Row],[Mês]])</f>
        <v>196</v>
      </c>
      <c r="AH172" s="25">
        <f>COUNTIFS(Tabela1[Mês],Tabela1[[#This Row],[Mês]],Tabela1[Fase atual],"Recebido")</f>
        <v>138</v>
      </c>
      <c r="AI172" s="26">
        <f>Tabela1[[#This Row],[Recebido_ Mes]]/Tabela1[[#This Row],[Total_Mes]]</f>
        <v>0.70408163265306123</v>
      </c>
      <c r="AJ172" s="19">
        <f>COUNTIFS(Tabela1[Fase atual],"Recebido",Tabela1[Mês],Tabela1[[#This Row],[Mês]],Tabela1[Ano],Tabela1[[#This Row],[Ano]])/COUNTIF(Tabela1[Mês],Tabela1[[#This Row],[Mês]])</f>
        <v>0.70408163265306123</v>
      </c>
      <c r="AK172" s="20">
        <f>100%</f>
        <v>1</v>
      </c>
    </row>
    <row r="173" spans="1:37" ht="18" customHeight="1" x14ac:dyDescent="0.25">
      <c r="A173">
        <v>1252997080</v>
      </c>
      <c r="B173" t="s">
        <v>898</v>
      </c>
      <c r="C173" t="s">
        <v>899</v>
      </c>
      <c r="D173" t="s">
        <v>37</v>
      </c>
      <c r="E173" t="s">
        <v>31</v>
      </c>
      <c r="F173" s="2">
        <v>45971.919766851854</v>
      </c>
      <c r="AC173" s="24">
        <f t="shared" ca="1" si="5"/>
        <v>162.08023314814636</v>
      </c>
      <c r="AD173" s="25" t="str">
        <f t="shared" ca="1" si="6"/>
        <v>&gt;60 dias</v>
      </c>
      <c r="AE173" s="25">
        <f>MONTH(Tabela1[[#This Row],[Criado em]])</f>
        <v>11</v>
      </c>
      <c r="AF173" s="25">
        <f>YEAR(Tabela1[[#This Row],[Criado em]])</f>
        <v>2025</v>
      </c>
      <c r="AG173" s="25">
        <f>COUNTIFS(Tabela1[Mês],Tabela1[[#This Row],[Mês]])</f>
        <v>130</v>
      </c>
      <c r="AH173" s="25">
        <f>COUNTIFS(Tabela1[Mês],Tabela1[[#This Row],[Mês]],Tabela1[Fase atual],"Recebido")</f>
        <v>100</v>
      </c>
      <c r="AI173" s="26">
        <f>Tabela1[[#This Row],[Recebido_ Mes]]/Tabela1[[#This Row],[Total_Mes]]</f>
        <v>0.76923076923076927</v>
      </c>
      <c r="AJ173" s="19">
        <f>COUNTIFS(Tabela1[Fase atual],"Recebido",Tabela1[Mês],Tabela1[[#This Row],[Mês]],Tabela1[Ano],Tabela1[[#This Row],[Ano]])/COUNTIF(Tabela1[Mês],Tabela1[[#This Row],[Mês]])</f>
        <v>0.76923076923076927</v>
      </c>
      <c r="AK173" s="20">
        <f>100%</f>
        <v>1</v>
      </c>
    </row>
    <row r="174" spans="1:37" ht="18" customHeight="1" x14ac:dyDescent="0.25">
      <c r="A174">
        <v>1249873879</v>
      </c>
      <c r="B174" t="s">
        <v>898</v>
      </c>
      <c r="C174" t="s">
        <v>899</v>
      </c>
      <c r="D174" t="s">
        <v>37</v>
      </c>
      <c r="E174" t="s">
        <v>31</v>
      </c>
      <c r="F174" s="2">
        <v>45965.920465717587</v>
      </c>
      <c r="AC174" s="24">
        <f t="shared" ca="1" si="5"/>
        <v>168.07953428241308</v>
      </c>
      <c r="AD174" s="25" t="str">
        <f t="shared" ca="1" si="6"/>
        <v>&gt;60 dias</v>
      </c>
      <c r="AE174" s="25">
        <f>MONTH(Tabela1[[#This Row],[Criado em]])</f>
        <v>11</v>
      </c>
      <c r="AF174" s="25">
        <f>YEAR(Tabela1[[#This Row],[Criado em]])</f>
        <v>2025</v>
      </c>
      <c r="AG174" s="25">
        <f>COUNTIFS(Tabela1[Mês],Tabela1[[#This Row],[Mês]])</f>
        <v>130</v>
      </c>
      <c r="AH174" s="25">
        <f>COUNTIFS(Tabela1[Mês],Tabela1[[#This Row],[Mês]],Tabela1[Fase atual],"Recebido")</f>
        <v>100</v>
      </c>
      <c r="AI174" s="26">
        <f>Tabela1[[#This Row],[Recebido_ Mes]]/Tabela1[[#This Row],[Total_Mes]]</f>
        <v>0.76923076923076927</v>
      </c>
      <c r="AJ174" s="19">
        <f>COUNTIFS(Tabela1[Fase atual],"Recebido",Tabela1[Mês],Tabela1[[#This Row],[Mês]],Tabela1[Ano],Tabela1[[#This Row],[Ano]])/COUNTIF(Tabela1[Mês],Tabela1[[#This Row],[Mês]])</f>
        <v>0.76923076923076927</v>
      </c>
      <c r="AK174" s="20">
        <f>100%</f>
        <v>1</v>
      </c>
    </row>
    <row r="175" spans="1:37" ht="18" customHeight="1" x14ac:dyDescent="0.25">
      <c r="A175">
        <v>1240864092</v>
      </c>
      <c r="B175" t="s">
        <v>898</v>
      </c>
      <c r="C175" t="s">
        <v>900</v>
      </c>
      <c r="D175" t="s">
        <v>784</v>
      </c>
      <c r="E175" t="s">
        <v>31</v>
      </c>
      <c r="F175" s="2">
        <v>45951.919750983798</v>
      </c>
      <c r="AC175" s="24">
        <f t="shared" ca="1" si="5"/>
        <v>182.08024901620229</v>
      </c>
      <c r="AD175" s="25" t="str">
        <f t="shared" ca="1" si="6"/>
        <v>&gt;60 dias</v>
      </c>
      <c r="AE175" s="25">
        <f>MONTH(Tabela1[[#This Row],[Criado em]])</f>
        <v>10</v>
      </c>
      <c r="AF175" s="25">
        <f>YEAR(Tabela1[[#This Row],[Criado em]])</f>
        <v>2025</v>
      </c>
      <c r="AG175" s="25">
        <f>COUNTIFS(Tabela1[Mês],Tabela1[[#This Row],[Mês]])</f>
        <v>196</v>
      </c>
      <c r="AH175" s="25">
        <f>COUNTIFS(Tabela1[Mês],Tabela1[[#This Row],[Mês]],Tabela1[Fase atual],"Recebido")</f>
        <v>138</v>
      </c>
      <c r="AI175" s="26">
        <f>Tabela1[[#This Row],[Recebido_ Mes]]/Tabela1[[#This Row],[Total_Mes]]</f>
        <v>0.70408163265306123</v>
      </c>
      <c r="AJ175" s="19">
        <f>COUNTIFS(Tabela1[Fase atual],"Recebido",Tabela1[Mês],Tabela1[[#This Row],[Mês]],Tabela1[Ano],Tabela1[[#This Row],[Ano]])/COUNTIF(Tabela1[Mês],Tabela1[[#This Row],[Mês]])</f>
        <v>0.70408163265306123</v>
      </c>
      <c r="AK175" s="20">
        <f>100%</f>
        <v>1</v>
      </c>
    </row>
    <row r="176" spans="1:37" ht="18" customHeight="1" x14ac:dyDescent="0.25">
      <c r="A176">
        <v>1263965760</v>
      </c>
      <c r="B176" t="s">
        <v>901</v>
      </c>
      <c r="C176" t="s">
        <v>902</v>
      </c>
      <c r="D176" t="s">
        <v>37</v>
      </c>
      <c r="E176" t="s">
        <v>31</v>
      </c>
      <c r="F176" s="2">
        <v>45995.547629803237</v>
      </c>
      <c r="AC176" s="24">
        <f t="shared" ca="1" si="5"/>
        <v>138.45237019676279</v>
      </c>
      <c r="AD176" s="25" t="str">
        <f t="shared" ca="1" si="6"/>
        <v>&gt;60 dias</v>
      </c>
      <c r="AE176" s="25">
        <f>MONTH(Tabela1[[#This Row],[Criado em]])</f>
        <v>12</v>
      </c>
      <c r="AF176" s="25">
        <f>YEAR(Tabela1[[#This Row],[Criado em]])</f>
        <v>2025</v>
      </c>
      <c r="AG176" s="25">
        <f>COUNTIFS(Tabela1[Mês],Tabela1[[#This Row],[Mês]])</f>
        <v>207</v>
      </c>
      <c r="AH176" s="25">
        <f>COUNTIFS(Tabela1[Mês],Tabela1[[#This Row],[Mês]],Tabela1[Fase atual],"Recebido")</f>
        <v>155</v>
      </c>
      <c r="AI176" s="26">
        <f>Tabela1[[#This Row],[Recebido_ Mes]]/Tabela1[[#This Row],[Total_Mes]]</f>
        <v>0.74879227053140096</v>
      </c>
      <c r="AJ176" s="19">
        <f>COUNTIFS(Tabela1[Fase atual],"Recebido",Tabela1[Mês],Tabela1[[#This Row],[Mês]],Tabela1[Ano],Tabela1[[#This Row],[Ano]])/COUNTIF(Tabela1[Mês],Tabela1[[#This Row],[Mês]])</f>
        <v>0.74879227053140096</v>
      </c>
      <c r="AK176" s="20">
        <f>100%</f>
        <v>1</v>
      </c>
    </row>
    <row r="177" spans="1:37" ht="18" customHeight="1" x14ac:dyDescent="0.25">
      <c r="A177">
        <v>1229140995</v>
      </c>
      <c r="B177" t="s">
        <v>903</v>
      </c>
      <c r="C177" t="s">
        <v>904</v>
      </c>
      <c r="D177" t="s">
        <v>37</v>
      </c>
      <c r="E177" t="s">
        <v>31</v>
      </c>
      <c r="F177" s="2">
        <v>45936.85090012732</v>
      </c>
      <c r="AC177" s="24">
        <f t="shared" ca="1" si="5"/>
        <v>197.14909987268038</v>
      </c>
      <c r="AD177" s="25" t="str">
        <f t="shared" ca="1" si="6"/>
        <v>&gt;60 dias</v>
      </c>
      <c r="AE177" s="25">
        <f>MONTH(Tabela1[[#This Row],[Criado em]])</f>
        <v>10</v>
      </c>
      <c r="AF177" s="25">
        <f>YEAR(Tabela1[[#This Row],[Criado em]])</f>
        <v>2025</v>
      </c>
      <c r="AG177" s="25">
        <f>COUNTIFS(Tabela1[Mês],Tabela1[[#This Row],[Mês]])</f>
        <v>196</v>
      </c>
      <c r="AH177" s="25">
        <f>COUNTIFS(Tabela1[Mês],Tabela1[[#This Row],[Mês]],Tabela1[Fase atual],"Recebido")</f>
        <v>138</v>
      </c>
      <c r="AI177" s="26">
        <f>Tabela1[[#This Row],[Recebido_ Mes]]/Tabela1[[#This Row],[Total_Mes]]</f>
        <v>0.70408163265306123</v>
      </c>
      <c r="AJ177" s="19">
        <f>COUNTIFS(Tabela1[Fase atual],"Recebido",Tabela1[Mês],Tabela1[[#This Row],[Mês]],Tabela1[Ano],Tabela1[[#This Row],[Ano]])/COUNTIF(Tabela1[Mês],Tabela1[[#This Row],[Mês]])</f>
        <v>0.70408163265306123</v>
      </c>
      <c r="AK177" s="20">
        <f>100%</f>
        <v>1</v>
      </c>
    </row>
    <row r="178" spans="1:37" ht="18" customHeight="1" x14ac:dyDescent="0.25">
      <c r="A178">
        <v>1268644686</v>
      </c>
      <c r="B178" t="s">
        <v>905</v>
      </c>
      <c r="C178" t="s">
        <v>906</v>
      </c>
      <c r="D178" t="s">
        <v>37</v>
      </c>
      <c r="E178" t="s">
        <v>31</v>
      </c>
      <c r="F178" s="2">
        <v>46006.797537766208</v>
      </c>
      <c r="AC178" s="24">
        <f t="shared" ca="1" si="5"/>
        <v>127.20246223379218</v>
      </c>
      <c r="AD178" s="25" t="str">
        <f t="shared" ca="1" si="6"/>
        <v>&gt;60 dias</v>
      </c>
      <c r="AE178" s="25">
        <f>MONTH(Tabela1[[#This Row],[Criado em]])</f>
        <v>12</v>
      </c>
      <c r="AF178" s="25">
        <f>YEAR(Tabela1[[#This Row],[Criado em]])</f>
        <v>2025</v>
      </c>
      <c r="AG178" s="25">
        <f>COUNTIFS(Tabela1[Mês],Tabela1[[#This Row],[Mês]])</f>
        <v>207</v>
      </c>
      <c r="AH178" s="25">
        <f>COUNTIFS(Tabela1[Mês],Tabela1[[#This Row],[Mês]],Tabela1[Fase atual],"Recebido")</f>
        <v>155</v>
      </c>
      <c r="AI178" s="26">
        <f>Tabela1[[#This Row],[Recebido_ Mes]]/Tabela1[[#This Row],[Total_Mes]]</f>
        <v>0.74879227053140096</v>
      </c>
      <c r="AJ178" s="19">
        <f>COUNTIFS(Tabela1[Fase atual],"Recebido",Tabela1[Mês],Tabela1[[#This Row],[Mês]],Tabela1[Ano],Tabela1[[#This Row],[Ano]])/COUNTIF(Tabela1[Mês],Tabela1[[#This Row],[Mês]])</f>
        <v>0.74879227053140096</v>
      </c>
      <c r="AK178" s="20">
        <f>100%</f>
        <v>1</v>
      </c>
    </row>
    <row r="179" spans="1:37" ht="18" customHeight="1" x14ac:dyDescent="0.25">
      <c r="A179">
        <v>1254980823</v>
      </c>
      <c r="B179" t="s">
        <v>907</v>
      </c>
      <c r="C179" t="s">
        <v>908</v>
      </c>
      <c r="D179" t="s">
        <v>37</v>
      </c>
      <c r="E179" t="s">
        <v>31</v>
      </c>
      <c r="F179" s="2">
        <v>45975.713041759263</v>
      </c>
      <c r="AC179" s="24">
        <f t="shared" ca="1" si="5"/>
        <v>158.28695824073657</v>
      </c>
      <c r="AD179" s="25" t="str">
        <f t="shared" ca="1" si="6"/>
        <v>&gt;60 dias</v>
      </c>
      <c r="AE179" s="25">
        <f>MONTH(Tabela1[[#This Row],[Criado em]])</f>
        <v>11</v>
      </c>
      <c r="AF179" s="25">
        <f>YEAR(Tabela1[[#This Row],[Criado em]])</f>
        <v>2025</v>
      </c>
      <c r="AG179" s="25">
        <f>COUNTIFS(Tabela1[Mês],Tabela1[[#This Row],[Mês]])</f>
        <v>130</v>
      </c>
      <c r="AH179" s="25">
        <f>COUNTIFS(Tabela1[Mês],Tabela1[[#This Row],[Mês]],Tabela1[Fase atual],"Recebido")</f>
        <v>100</v>
      </c>
      <c r="AI179" s="26">
        <f>Tabela1[[#This Row],[Recebido_ Mes]]/Tabela1[[#This Row],[Total_Mes]]</f>
        <v>0.76923076923076927</v>
      </c>
      <c r="AJ179" s="19">
        <f>COUNTIFS(Tabela1[Fase atual],"Recebido",Tabela1[Mês],Tabela1[[#This Row],[Mês]],Tabela1[Ano],Tabela1[[#This Row],[Ano]])/COUNTIF(Tabela1[Mês],Tabela1[[#This Row],[Mês]])</f>
        <v>0.76923076923076927</v>
      </c>
      <c r="AK179" s="20">
        <f>100%</f>
        <v>1</v>
      </c>
    </row>
    <row r="180" spans="1:37" ht="18" customHeight="1" x14ac:dyDescent="0.25">
      <c r="A180">
        <v>1252885731</v>
      </c>
      <c r="B180" t="s">
        <v>661</v>
      </c>
      <c r="C180" t="s">
        <v>909</v>
      </c>
      <c r="D180" t="s">
        <v>37</v>
      </c>
      <c r="E180" t="s">
        <v>31</v>
      </c>
      <c r="F180" s="2">
        <v>45971.795894687501</v>
      </c>
      <c r="AC180" s="24">
        <f t="shared" ca="1" si="5"/>
        <v>162.20410531249945</v>
      </c>
      <c r="AD180" s="25" t="str">
        <f t="shared" ca="1" si="6"/>
        <v>&gt;60 dias</v>
      </c>
      <c r="AE180" s="25">
        <f>MONTH(Tabela1[[#This Row],[Criado em]])</f>
        <v>11</v>
      </c>
      <c r="AF180" s="25">
        <f>YEAR(Tabela1[[#This Row],[Criado em]])</f>
        <v>2025</v>
      </c>
      <c r="AG180" s="25">
        <f>COUNTIFS(Tabela1[Mês],Tabela1[[#This Row],[Mês]])</f>
        <v>130</v>
      </c>
      <c r="AH180" s="25">
        <f>COUNTIFS(Tabela1[Mês],Tabela1[[#This Row],[Mês]],Tabela1[Fase atual],"Recebido")</f>
        <v>100</v>
      </c>
      <c r="AI180" s="26">
        <f>Tabela1[[#This Row],[Recebido_ Mes]]/Tabela1[[#This Row],[Total_Mes]]</f>
        <v>0.76923076923076927</v>
      </c>
      <c r="AJ180" s="19">
        <f>COUNTIFS(Tabela1[Fase atual],"Recebido",Tabela1[Mês],Tabela1[[#This Row],[Mês]],Tabela1[Ano],Tabela1[[#This Row],[Ano]])/COUNTIF(Tabela1[Mês],Tabela1[[#This Row],[Mês]])</f>
        <v>0.76923076923076927</v>
      </c>
      <c r="AK180" s="20">
        <f>100%</f>
        <v>1</v>
      </c>
    </row>
    <row r="181" spans="1:37" ht="18" customHeight="1" x14ac:dyDescent="0.25">
      <c r="A181">
        <v>1229898978</v>
      </c>
      <c r="B181" t="s">
        <v>910</v>
      </c>
      <c r="C181" t="s">
        <v>911</v>
      </c>
      <c r="D181" t="s">
        <v>784</v>
      </c>
      <c r="E181" t="s">
        <v>31</v>
      </c>
      <c r="F181" s="2">
        <v>45937.851691979173</v>
      </c>
      <c r="AC181" s="24">
        <f t="shared" ca="1" si="5"/>
        <v>196.14830802082724</v>
      </c>
      <c r="AD181" s="25" t="str">
        <f t="shared" ca="1" si="6"/>
        <v>&gt;60 dias</v>
      </c>
      <c r="AE181" s="25">
        <f>MONTH(Tabela1[[#This Row],[Criado em]])</f>
        <v>10</v>
      </c>
      <c r="AF181" s="25">
        <f>YEAR(Tabela1[[#This Row],[Criado em]])</f>
        <v>2025</v>
      </c>
      <c r="AG181" s="25">
        <f>COUNTIFS(Tabela1[Mês],Tabela1[[#This Row],[Mês]])</f>
        <v>196</v>
      </c>
      <c r="AH181" s="25">
        <f>COUNTIFS(Tabela1[Mês],Tabela1[[#This Row],[Mês]],Tabela1[Fase atual],"Recebido")</f>
        <v>138</v>
      </c>
      <c r="AI181" s="26">
        <f>Tabela1[[#This Row],[Recebido_ Mes]]/Tabela1[[#This Row],[Total_Mes]]</f>
        <v>0.70408163265306123</v>
      </c>
      <c r="AJ181" s="19">
        <f>COUNTIFS(Tabela1[Fase atual],"Recebido",Tabela1[Mês],Tabela1[[#This Row],[Mês]],Tabela1[Ano],Tabela1[[#This Row],[Ano]])/COUNTIF(Tabela1[Mês],Tabela1[[#This Row],[Mês]])</f>
        <v>0.70408163265306123</v>
      </c>
      <c r="AK181" s="20">
        <f>100%</f>
        <v>1</v>
      </c>
    </row>
    <row r="182" spans="1:37" ht="18" customHeight="1" x14ac:dyDescent="0.25">
      <c r="A182">
        <v>1304129281</v>
      </c>
      <c r="B182" t="s">
        <v>681</v>
      </c>
      <c r="C182" t="s">
        <v>682</v>
      </c>
      <c r="D182" t="s">
        <v>40</v>
      </c>
      <c r="E182" t="s">
        <v>31</v>
      </c>
      <c r="F182" s="2">
        <v>46078.79661662037</v>
      </c>
      <c r="AC182" s="24">
        <f t="shared" ca="1" si="5"/>
        <v>55.203383379630395</v>
      </c>
      <c r="AD182" s="25" t="str">
        <f t="shared" ca="1" si="6"/>
        <v>31-60 dias</v>
      </c>
      <c r="AE182" s="25">
        <f>MONTH(Tabela1[[#This Row],[Criado em]])</f>
        <v>2</v>
      </c>
      <c r="AF182" s="25">
        <f>YEAR(Tabela1[[#This Row],[Criado em]])</f>
        <v>2026</v>
      </c>
      <c r="AG182" s="25">
        <f>COUNTIFS(Tabela1[Mês],Tabela1[[#This Row],[Mês]])</f>
        <v>197</v>
      </c>
      <c r="AH182" s="25">
        <f>COUNTIFS(Tabela1[Mês],Tabela1[[#This Row],[Mês]],Tabela1[Fase atual],"Recebido")</f>
        <v>124</v>
      </c>
      <c r="AI182" s="26">
        <f>Tabela1[[#This Row],[Recebido_ Mes]]/Tabela1[[#This Row],[Total_Mes]]</f>
        <v>0.62944162436548223</v>
      </c>
      <c r="AJ182" s="19">
        <f>COUNTIFS(Tabela1[Fase atual],"Recebido",Tabela1[Mês],Tabela1[[#This Row],[Mês]],Tabela1[Ano],Tabela1[[#This Row],[Ano]])/COUNTIF(Tabela1[Mês],Tabela1[[#This Row],[Mês]])</f>
        <v>0.62944162436548223</v>
      </c>
      <c r="AK182" s="20">
        <f>100%</f>
        <v>1</v>
      </c>
    </row>
    <row r="183" spans="1:37" ht="18" customHeight="1" x14ac:dyDescent="0.25">
      <c r="A183">
        <v>1227027972</v>
      </c>
      <c r="B183" t="s">
        <v>912</v>
      </c>
      <c r="C183" t="s">
        <v>913</v>
      </c>
      <c r="D183" t="s">
        <v>37</v>
      </c>
      <c r="E183" t="s">
        <v>31</v>
      </c>
      <c r="F183" s="2">
        <v>45933.850714722234</v>
      </c>
      <c r="AC183" s="24">
        <f t="shared" ca="1" si="5"/>
        <v>200.14928527776647</v>
      </c>
      <c r="AD183" s="25" t="str">
        <f t="shared" ca="1" si="6"/>
        <v>&gt;60 dias</v>
      </c>
      <c r="AE183" s="25">
        <f>MONTH(Tabela1[[#This Row],[Criado em]])</f>
        <v>10</v>
      </c>
      <c r="AF183" s="25">
        <f>YEAR(Tabela1[[#This Row],[Criado em]])</f>
        <v>2025</v>
      </c>
      <c r="AG183" s="25">
        <f>COUNTIFS(Tabela1[Mês],Tabela1[[#This Row],[Mês]])</f>
        <v>196</v>
      </c>
      <c r="AH183" s="25">
        <f>COUNTIFS(Tabela1[Mês],Tabela1[[#This Row],[Mês]],Tabela1[Fase atual],"Recebido")</f>
        <v>138</v>
      </c>
      <c r="AI183" s="26">
        <f>Tabela1[[#This Row],[Recebido_ Mes]]/Tabela1[[#This Row],[Total_Mes]]</f>
        <v>0.70408163265306123</v>
      </c>
      <c r="AJ183" s="19">
        <f>COUNTIFS(Tabela1[Fase atual],"Recebido",Tabela1[Mês],Tabela1[[#This Row],[Mês]],Tabela1[Ano],Tabela1[[#This Row],[Ano]])/COUNTIF(Tabela1[Mês],Tabela1[[#This Row],[Mês]])</f>
        <v>0.70408163265306123</v>
      </c>
      <c r="AK183" s="20">
        <f>100%</f>
        <v>1</v>
      </c>
    </row>
    <row r="184" spans="1:37" ht="18" customHeight="1" x14ac:dyDescent="0.25">
      <c r="A184">
        <v>1293909735</v>
      </c>
      <c r="B184" t="s">
        <v>110</v>
      </c>
      <c r="C184" t="s">
        <v>111</v>
      </c>
      <c r="D184" t="s">
        <v>37</v>
      </c>
      <c r="E184" t="s">
        <v>31</v>
      </c>
      <c r="F184" s="2">
        <v>46058.796126689813</v>
      </c>
      <c r="AC184" s="24">
        <f t="shared" ca="1" si="5"/>
        <v>75.203873310187191</v>
      </c>
      <c r="AD184" s="25" t="str">
        <f t="shared" ca="1" si="6"/>
        <v>&gt;60 dias</v>
      </c>
      <c r="AE184" s="25">
        <f>MONTH(Tabela1[[#This Row],[Criado em]])</f>
        <v>2</v>
      </c>
      <c r="AF184" s="25">
        <f>YEAR(Tabela1[[#This Row],[Criado em]])</f>
        <v>2026</v>
      </c>
      <c r="AG184" s="25">
        <f>COUNTIFS(Tabela1[Mês],Tabela1[[#This Row],[Mês]])</f>
        <v>197</v>
      </c>
      <c r="AH184" s="25">
        <f>COUNTIFS(Tabela1[Mês],Tabela1[[#This Row],[Mês]],Tabela1[Fase atual],"Recebido")</f>
        <v>124</v>
      </c>
      <c r="AI184" s="26">
        <f>Tabela1[[#This Row],[Recebido_ Mes]]/Tabela1[[#This Row],[Total_Mes]]</f>
        <v>0.62944162436548223</v>
      </c>
      <c r="AJ184" s="19">
        <f>COUNTIFS(Tabela1[Fase atual],"Recebido",Tabela1[Mês],Tabela1[[#This Row],[Mês]],Tabela1[Ano],Tabela1[[#This Row],[Ano]])/COUNTIF(Tabela1[Mês],Tabela1[[#This Row],[Mês]])</f>
        <v>0.62944162436548223</v>
      </c>
      <c r="AK184" s="20">
        <f>100%</f>
        <v>1</v>
      </c>
    </row>
    <row r="185" spans="1:37" ht="18" customHeight="1" x14ac:dyDescent="0.25">
      <c r="A185">
        <v>1200311119</v>
      </c>
      <c r="B185" t="s">
        <v>110</v>
      </c>
      <c r="C185" t="s">
        <v>914</v>
      </c>
      <c r="D185" t="s">
        <v>37</v>
      </c>
      <c r="E185" t="s">
        <v>31</v>
      </c>
      <c r="F185" s="2">
        <v>45891.851758703713</v>
      </c>
      <c r="AC185" s="24">
        <f t="shared" ca="1" si="5"/>
        <v>242.14824129628687</v>
      </c>
      <c r="AD185" s="25" t="str">
        <f t="shared" ca="1" si="6"/>
        <v>&gt;60 dias</v>
      </c>
      <c r="AE185" s="25">
        <f>MONTH(Tabela1[[#This Row],[Criado em]])</f>
        <v>8</v>
      </c>
      <c r="AF185" s="25">
        <f>YEAR(Tabela1[[#This Row],[Criado em]])</f>
        <v>2025</v>
      </c>
      <c r="AG185" s="25">
        <f>COUNTIFS(Tabela1[Mês],Tabela1[[#This Row],[Mês]])</f>
        <v>146</v>
      </c>
      <c r="AH185" s="25">
        <f>COUNTIFS(Tabela1[Mês],Tabela1[[#This Row],[Mês]],Tabela1[Fase atual],"Recebido")</f>
        <v>115</v>
      </c>
      <c r="AI185" s="26">
        <f>Tabela1[[#This Row],[Recebido_ Mes]]/Tabela1[[#This Row],[Total_Mes]]</f>
        <v>0.78767123287671237</v>
      </c>
      <c r="AJ185" s="19">
        <f>COUNTIFS(Tabela1[Fase atual],"Recebido",Tabela1[Mês],Tabela1[[#This Row],[Mês]],Tabela1[Ano],Tabela1[[#This Row],[Ano]])/COUNTIF(Tabela1[Mês],Tabela1[[#This Row],[Mês]])</f>
        <v>0.78767123287671237</v>
      </c>
      <c r="AK185" s="20">
        <f>100%</f>
        <v>1</v>
      </c>
    </row>
    <row r="186" spans="1:37" ht="18" customHeight="1" x14ac:dyDescent="0.25">
      <c r="A186">
        <v>1221264735</v>
      </c>
      <c r="B186" t="s">
        <v>915</v>
      </c>
      <c r="C186" t="s">
        <v>916</v>
      </c>
      <c r="D186" t="s">
        <v>37</v>
      </c>
      <c r="E186" t="s">
        <v>31</v>
      </c>
      <c r="F186" s="2">
        <v>45925.644792465268</v>
      </c>
      <c r="AC186" s="24">
        <f t="shared" ca="1" si="5"/>
        <v>208.35520753473247</v>
      </c>
      <c r="AD186" s="25" t="str">
        <f t="shared" ca="1" si="6"/>
        <v>&gt;60 dias</v>
      </c>
      <c r="AE186" s="25">
        <f>MONTH(Tabela1[[#This Row],[Criado em]])</f>
        <v>9</v>
      </c>
      <c r="AF186" s="25">
        <f>YEAR(Tabela1[[#This Row],[Criado em]])</f>
        <v>2025</v>
      </c>
      <c r="AG186" s="25">
        <f>COUNTIFS(Tabela1[Mês],Tabela1[[#This Row],[Mês]])</f>
        <v>197</v>
      </c>
      <c r="AH186" s="25">
        <f>COUNTIFS(Tabela1[Mês],Tabela1[[#This Row],[Mês]],Tabela1[Fase atual],"Recebido")</f>
        <v>152</v>
      </c>
      <c r="AI186" s="26">
        <f>Tabela1[[#This Row],[Recebido_ Mes]]/Tabela1[[#This Row],[Total_Mes]]</f>
        <v>0.77157360406091369</v>
      </c>
      <c r="AJ186" s="19">
        <f>COUNTIFS(Tabela1[Fase atual],"Recebido",Tabela1[Mês],Tabela1[[#This Row],[Mês]],Tabela1[Ano],Tabela1[[#This Row],[Ano]])/COUNTIF(Tabela1[Mês],Tabela1[[#This Row],[Mês]])</f>
        <v>0.77157360406091369</v>
      </c>
      <c r="AK186" s="20">
        <f>100%</f>
        <v>1</v>
      </c>
    </row>
    <row r="187" spans="1:37" ht="18" customHeight="1" x14ac:dyDescent="0.25">
      <c r="A187">
        <v>1252686223</v>
      </c>
      <c r="B187" t="s">
        <v>917</v>
      </c>
      <c r="C187" t="s">
        <v>918</v>
      </c>
      <c r="D187" t="s">
        <v>37</v>
      </c>
      <c r="E187" t="s">
        <v>31</v>
      </c>
      <c r="F187" s="2">
        <v>45971.574302511573</v>
      </c>
      <c r="AC187" s="24">
        <f t="shared" ca="1" si="5"/>
        <v>162.42569748842652</v>
      </c>
      <c r="AD187" s="25" t="str">
        <f t="shared" ca="1" si="6"/>
        <v>&gt;60 dias</v>
      </c>
      <c r="AE187" s="25">
        <f>MONTH(Tabela1[[#This Row],[Criado em]])</f>
        <v>11</v>
      </c>
      <c r="AF187" s="25">
        <f>YEAR(Tabela1[[#This Row],[Criado em]])</f>
        <v>2025</v>
      </c>
      <c r="AG187" s="25">
        <f>COUNTIFS(Tabela1[Mês],Tabela1[[#This Row],[Mês]])</f>
        <v>130</v>
      </c>
      <c r="AH187" s="25">
        <f>COUNTIFS(Tabela1[Mês],Tabela1[[#This Row],[Mês]],Tabela1[Fase atual],"Recebido")</f>
        <v>100</v>
      </c>
      <c r="AI187" s="26">
        <f>Tabela1[[#This Row],[Recebido_ Mes]]/Tabela1[[#This Row],[Total_Mes]]</f>
        <v>0.76923076923076927</v>
      </c>
      <c r="AJ187" s="19">
        <f>COUNTIFS(Tabela1[Fase atual],"Recebido",Tabela1[Mês],Tabela1[[#This Row],[Mês]],Tabela1[Ano],Tabela1[[#This Row],[Ano]])/COUNTIF(Tabela1[Mês],Tabela1[[#This Row],[Mês]])</f>
        <v>0.76923076923076927</v>
      </c>
      <c r="AK187" s="20">
        <f>100%</f>
        <v>1</v>
      </c>
    </row>
    <row r="188" spans="1:37" ht="18" customHeight="1" x14ac:dyDescent="0.25">
      <c r="A188">
        <v>1270228906</v>
      </c>
      <c r="B188" t="s">
        <v>919</v>
      </c>
      <c r="C188" t="s">
        <v>920</v>
      </c>
      <c r="D188" t="s">
        <v>37</v>
      </c>
      <c r="E188" t="s">
        <v>31</v>
      </c>
      <c r="F188" s="2">
        <v>46009.845137847216</v>
      </c>
      <c r="AC188" s="24">
        <f t="shared" ca="1" si="5"/>
        <v>124.15486215278361</v>
      </c>
      <c r="AD188" s="25" t="str">
        <f t="shared" ca="1" si="6"/>
        <v>&gt;60 dias</v>
      </c>
      <c r="AE188" s="25">
        <f>MONTH(Tabela1[[#This Row],[Criado em]])</f>
        <v>12</v>
      </c>
      <c r="AF188" s="25">
        <f>YEAR(Tabela1[[#This Row],[Criado em]])</f>
        <v>2025</v>
      </c>
      <c r="AG188" s="25">
        <f>COUNTIFS(Tabela1[Mês],Tabela1[[#This Row],[Mês]])</f>
        <v>207</v>
      </c>
      <c r="AH188" s="25">
        <f>COUNTIFS(Tabela1[Mês],Tabela1[[#This Row],[Mês]],Tabela1[Fase atual],"Recebido")</f>
        <v>155</v>
      </c>
      <c r="AI188" s="26">
        <f>Tabela1[[#This Row],[Recebido_ Mes]]/Tabela1[[#This Row],[Total_Mes]]</f>
        <v>0.74879227053140096</v>
      </c>
      <c r="AJ188" s="19">
        <f>COUNTIFS(Tabela1[Fase atual],"Recebido",Tabela1[Mês],Tabela1[[#This Row],[Mês]],Tabela1[Ano],Tabela1[[#This Row],[Ano]])/COUNTIF(Tabela1[Mês],Tabela1[[#This Row],[Mês]])</f>
        <v>0.74879227053140096</v>
      </c>
      <c r="AK188" s="20">
        <f>100%</f>
        <v>1</v>
      </c>
    </row>
    <row r="189" spans="1:37" ht="18" customHeight="1" x14ac:dyDescent="0.25">
      <c r="A189">
        <v>1265626430</v>
      </c>
      <c r="B189" t="s">
        <v>919</v>
      </c>
      <c r="C189" t="s">
        <v>921</v>
      </c>
      <c r="D189" t="s">
        <v>37</v>
      </c>
      <c r="E189" t="s">
        <v>31</v>
      </c>
      <c r="F189" s="2">
        <v>45999.920785613424</v>
      </c>
      <c r="AC189" s="24">
        <f t="shared" ca="1" si="5"/>
        <v>134.0792143865765</v>
      </c>
      <c r="AD189" s="25" t="str">
        <f t="shared" ca="1" si="6"/>
        <v>&gt;60 dias</v>
      </c>
      <c r="AE189" s="25">
        <f>MONTH(Tabela1[[#This Row],[Criado em]])</f>
        <v>12</v>
      </c>
      <c r="AF189" s="25">
        <f>YEAR(Tabela1[[#This Row],[Criado em]])</f>
        <v>2025</v>
      </c>
      <c r="AG189" s="25">
        <f>COUNTIFS(Tabela1[Mês],Tabela1[[#This Row],[Mês]])</f>
        <v>207</v>
      </c>
      <c r="AH189" s="25">
        <f>COUNTIFS(Tabela1[Mês],Tabela1[[#This Row],[Mês]],Tabela1[Fase atual],"Recebido")</f>
        <v>155</v>
      </c>
      <c r="AI189" s="26">
        <f>Tabela1[[#This Row],[Recebido_ Mes]]/Tabela1[[#This Row],[Total_Mes]]</f>
        <v>0.74879227053140096</v>
      </c>
      <c r="AJ189" s="19">
        <f>COUNTIFS(Tabela1[Fase atual],"Recebido",Tabela1[Mês],Tabela1[[#This Row],[Mês]],Tabela1[Ano],Tabela1[[#This Row],[Ano]])/COUNTIF(Tabela1[Mês],Tabela1[[#This Row],[Mês]])</f>
        <v>0.74879227053140096</v>
      </c>
      <c r="AK189" s="20">
        <f>100%</f>
        <v>1</v>
      </c>
    </row>
    <row r="190" spans="1:37" ht="18" customHeight="1" x14ac:dyDescent="0.25">
      <c r="A190">
        <v>1225433894</v>
      </c>
      <c r="B190" t="s">
        <v>922</v>
      </c>
      <c r="C190" t="s">
        <v>923</v>
      </c>
      <c r="D190" t="s">
        <v>37</v>
      </c>
      <c r="E190" t="s">
        <v>31</v>
      </c>
      <c r="F190" s="2">
        <v>45931.836008599537</v>
      </c>
      <c r="AC190" s="24">
        <f t="shared" ca="1" si="5"/>
        <v>202.16399140046269</v>
      </c>
      <c r="AD190" s="25" t="str">
        <f t="shared" ca="1" si="6"/>
        <v>&gt;60 dias</v>
      </c>
      <c r="AE190" s="25">
        <f>MONTH(Tabela1[[#This Row],[Criado em]])</f>
        <v>10</v>
      </c>
      <c r="AF190" s="25">
        <f>YEAR(Tabela1[[#This Row],[Criado em]])</f>
        <v>2025</v>
      </c>
      <c r="AG190" s="25">
        <f>COUNTIFS(Tabela1[Mês],Tabela1[[#This Row],[Mês]])</f>
        <v>196</v>
      </c>
      <c r="AH190" s="25">
        <f>COUNTIFS(Tabela1[Mês],Tabela1[[#This Row],[Mês]],Tabela1[Fase atual],"Recebido")</f>
        <v>138</v>
      </c>
      <c r="AI190" s="26">
        <f>Tabela1[[#This Row],[Recebido_ Mes]]/Tabela1[[#This Row],[Total_Mes]]</f>
        <v>0.70408163265306123</v>
      </c>
      <c r="AJ190" s="19">
        <f>COUNTIFS(Tabela1[Fase atual],"Recebido",Tabela1[Mês],Tabela1[[#This Row],[Mês]],Tabela1[Ano],Tabela1[[#This Row],[Ano]])/COUNTIF(Tabela1[Mês],Tabela1[[#This Row],[Mês]])</f>
        <v>0.70408163265306123</v>
      </c>
      <c r="AK190" s="20">
        <f>100%</f>
        <v>1</v>
      </c>
    </row>
    <row r="191" spans="1:37" ht="18" customHeight="1" x14ac:dyDescent="0.25">
      <c r="A191">
        <v>1271369640</v>
      </c>
      <c r="B191" t="s">
        <v>924</v>
      </c>
      <c r="C191" t="s">
        <v>925</v>
      </c>
      <c r="D191" t="s">
        <v>37</v>
      </c>
      <c r="E191" t="s">
        <v>31</v>
      </c>
      <c r="F191" s="2">
        <v>46013.631490081018</v>
      </c>
      <c r="AC191" s="24">
        <f t="shared" ca="1" si="5"/>
        <v>120.36850991898245</v>
      </c>
      <c r="AD191" s="25" t="str">
        <f t="shared" ca="1" si="6"/>
        <v>&gt;60 dias</v>
      </c>
      <c r="AE191" s="25">
        <f>MONTH(Tabela1[[#This Row],[Criado em]])</f>
        <v>12</v>
      </c>
      <c r="AF191" s="25">
        <f>YEAR(Tabela1[[#This Row],[Criado em]])</f>
        <v>2025</v>
      </c>
      <c r="AG191" s="25">
        <f>COUNTIFS(Tabela1[Mês],Tabela1[[#This Row],[Mês]])</f>
        <v>207</v>
      </c>
      <c r="AH191" s="25">
        <f>COUNTIFS(Tabela1[Mês],Tabela1[[#This Row],[Mês]],Tabela1[Fase atual],"Recebido")</f>
        <v>155</v>
      </c>
      <c r="AI191" s="26">
        <f>Tabela1[[#This Row],[Recebido_ Mes]]/Tabela1[[#This Row],[Total_Mes]]</f>
        <v>0.74879227053140096</v>
      </c>
      <c r="AJ191" s="19">
        <f>COUNTIFS(Tabela1[Fase atual],"Recebido",Tabela1[Mês],Tabela1[[#This Row],[Mês]],Tabela1[Ano],Tabela1[[#This Row],[Ano]])/COUNTIF(Tabela1[Mês],Tabela1[[#This Row],[Mês]])</f>
        <v>0.74879227053140096</v>
      </c>
      <c r="AK191" s="20">
        <f>100%</f>
        <v>1</v>
      </c>
    </row>
    <row r="192" spans="1:37" ht="18" customHeight="1" x14ac:dyDescent="0.25">
      <c r="A192">
        <v>1173146288</v>
      </c>
      <c r="B192" t="s">
        <v>926</v>
      </c>
      <c r="C192" t="s">
        <v>927</v>
      </c>
      <c r="D192" t="s">
        <v>37</v>
      </c>
      <c r="E192" t="s">
        <v>31</v>
      </c>
      <c r="F192" s="2">
        <v>45846.642717615738</v>
      </c>
      <c r="AC192" s="24">
        <f t="shared" ca="1" si="5"/>
        <v>287.35728238426236</v>
      </c>
      <c r="AD192" s="25" t="str">
        <f t="shared" ca="1" si="6"/>
        <v>&gt;60 dias</v>
      </c>
      <c r="AE192" s="25">
        <f>MONTH(Tabela1[[#This Row],[Criado em]])</f>
        <v>7</v>
      </c>
      <c r="AF192" s="25">
        <f>YEAR(Tabela1[[#This Row],[Criado em]])</f>
        <v>2025</v>
      </c>
      <c r="AG192" s="25">
        <f>COUNTIFS(Tabela1[Mês],Tabela1[[#This Row],[Mês]])</f>
        <v>177</v>
      </c>
      <c r="AH192" s="25">
        <f>COUNTIFS(Tabela1[Mês],Tabela1[[#This Row],[Mês]],Tabela1[Fase atual],"Recebido")</f>
        <v>130</v>
      </c>
      <c r="AI192" s="26">
        <f>Tabela1[[#This Row],[Recebido_ Mes]]/Tabela1[[#This Row],[Total_Mes]]</f>
        <v>0.7344632768361582</v>
      </c>
      <c r="AJ192" s="19">
        <f>COUNTIFS(Tabela1[Fase atual],"Recebido",Tabela1[Mês],Tabela1[[#This Row],[Mês]],Tabela1[Ano],Tabela1[[#This Row],[Ano]])/COUNTIF(Tabela1[Mês],Tabela1[[#This Row],[Mês]])</f>
        <v>0.7344632768361582</v>
      </c>
      <c r="AK192" s="20">
        <f>100%</f>
        <v>1</v>
      </c>
    </row>
    <row r="193" spans="1:37" ht="18" customHeight="1" x14ac:dyDescent="0.25">
      <c r="A193">
        <v>1245354318</v>
      </c>
      <c r="B193" t="s">
        <v>928</v>
      </c>
      <c r="C193" t="s">
        <v>929</v>
      </c>
      <c r="D193" t="s">
        <v>37</v>
      </c>
      <c r="E193" t="s">
        <v>31</v>
      </c>
      <c r="F193" s="2">
        <v>45957.628291365741</v>
      </c>
      <c r="AC193" s="24">
        <f t="shared" ca="1" si="5"/>
        <v>176.37170863425854</v>
      </c>
      <c r="AD193" s="25" t="str">
        <f t="shared" ca="1" si="6"/>
        <v>&gt;60 dias</v>
      </c>
      <c r="AE193" s="25">
        <f>MONTH(Tabela1[[#This Row],[Criado em]])</f>
        <v>10</v>
      </c>
      <c r="AF193" s="25">
        <f>YEAR(Tabela1[[#This Row],[Criado em]])</f>
        <v>2025</v>
      </c>
      <c r="AG193" s="25">
        <f>COUNTIFS(Tabela1[Mês],Tabela1[[#This Row],[Mês]])</f>
        <v>196</v>
      </c>
      <c r="AH193" s="25">
        <f>COUNTIFS(Tabela1[Mês],Tabela1[[#This Row],[Mês]],Tabela1[Fase atual],"Recebido")</f>
        <v>138</v>
      </c>
      <c r="AI193" s="26">
        <f>Tabela1[[#This Row],[Recebido_ Mes]]/Tabela1[[#This Row],[Total_Mes]]</f>
        <v>0.70408163265306123</v>
      </c>
      <c r="AJ193" s="19">
        <f>COUNTIFS(Tabela1[Fase atual],"Recebido",Tabela1[Mês],Tabela1[[#This Row],[Mês]],Tabela1[Ano],Tabela1[[#This Row],[Ano]])/COUNTIF(Tabela1[Mês],Tabela1[[#This Row],[Mês]])</f>
        <v>0.70408163265306123</v>
      </c>
      <c r="AK193" s="20">
        <f>100%</f>
        <v>1</v>
      </c>
    </row>
    <row r="194" spans="1:37" ht="18" customHeight="1" x14ac:dyDescent="0.25">
      <c r="A194">
        <v>1240026916</v>
      </c>
      <c r="B194" t="s">
        <v>928</v>
      </c>
      <c r="C194" t="s">
        <v>929</v>
      </c>
      <c r="D194" t="s">
        <v>37</v>
      </c>
      <c r="E194" t="s">
        <v>31</v>
      </c>
      <c r="F194" s="2">
        <v>45950.794999039354</v>
      </c>
      <c r="AC194" s="24">
        <f t="shared" ca="1" si="5"/>
        <v>183.20500096064643</v>
      </c>
      <c r="AD194" s="25" t="str">
        <f t="shared" ca="1" si="6"/>
        <v>&gt;60 dias</v>
      </c>
      <c r="AE194" s="25">
        <f>MONTH(Tabela1[[#This Row],[Criado em]])</f>
        <v>10</v>
      </c>
      <c r="AF194" s="25">
        <f>YEAR(Tabela1[[#This Row],[Criado em]])</f>
        <v>2025</v>
      </c>
      <c r="AG194" s="25">
        <f>COUNTIFS(Tabela1[Mês],Tabela1[[#This Row],[Mês]])</f>
        <v>196</v>
      </c>
      <c r="AH194" s="25">
        <f>COUNTIFS(Tabela1[Mês],Tabela1[[#This Row],[Mês]],Tabela1[Fase atual],"Recebido")</f>
        <v>138</v>
      </c>
      <c r="AI194" s="26">
        <f>Tabela1[[#This Row],[Recebido_ Mes]]/Tabela1[[#This Row],[Total_Mes]]</f>
        <v>0.70408163265306123</v>
      </c>
      <c r="AJ194" s="19">
        <f>COUNTIFS(Tabela1[Fase atual],"Recebido",Tabela1[Mês],Tabela1[[#This Row],[Mês]],Tabela1[Ano],Tabela1[[#This Row],[Ano]])/COUNTIF(Tabela1[Mês],Tabela1[[#This Row],[Mês]])</f>
        <v>0.70408163265306123</v>
      </c>
      <c r="AK194" s="20">
        <f>100%</f>
        <v>1</v>
      </c>
    </row>
    <row r="195" spans="1:37" ht="18" customHeight="1" x14ac:dyDescent="0.25">
      <c r="A195">
        <v>1231461347</v>
      </c>
      <c r="B195" t="s">
        <v>928</v>
      </c>
      <c r="C195" t="s">
        <v>929</v>
      </c>
      <c r="D195" t="s">
        <v>37</v>
      </c>
      <c r="E195" t="s">
        <v>31</v>
      </c>
      <c r="F195" s="2">
        <v>45939.851031400467</v>
      </c>
      <c r="AC195" s="24">
        <f t="shared" ref="AC195:AC258" ca="1" si="7">TODAY() - F195</f>
        <v>194.14896859953296</v>
      </c>
      <c r="AD195" s="25" t="str">
        <f t="shared" ref="AD195:AD258" ca="1" si="8">IF(AC195&lt;=14,"0-14 dias",
IF(AC195&lt;=19,"15-19 dias",
IF(AC195&lt;=24,"20-24 dias",
IF(AC195&lt;=30,"25-30 dias",
IF(AC195&lt;=60,"31-60 dias",
"&gt;60 dias")))))</f>
        <v>&gt;60 dias</v>
      </c>
      <c r="AE195" s="25">
        <f>MONTH(Tabela1[[#This Row],[Criado em]])</f>
        <v>10</v>
      </c>
      <c r="AF195" s="25">
        <f>YEAR(Tabela1[[#This Row],[Criado em]])</f>
        <v>2025</v>
      </c>
      <c r="AG195" s="25">
        <f>COUNTIFS(Tabela1[Mês],Tabela1[[#This Row],[Mês]])</f>
        <v>196</v>
      </c>
      <c r="AH195" s="25">
        <f>COUNTIFS(Tabela1[Mês],Tabela1[[#This Row],[Mês]],Tabela1[Fase atual],"Recebido")</f>
        <v>138</v>
      </c>
      <c r="AI195" s="26">
        <f>Tabela1[[#This Row],[Recebido_ Mes]]/Tabela1[[#This Row],[Total_Mes]]</f>
        <v>0.70408163265306123</v>
      </c>
      <c r="AJ195" s="19">
        <f>COUNTIFS(Tabela1[Fase atual],"Recebido",Tabela1[Mês],Tabela1[[#This Row],[Mês]],Tabela1[Ano],Tabela1[[#This Row],[Ano]])/COUNTIF(Tabela1[Mês],Tabela1[[#This Row],[Mês]])</f>
        <v>0.70408163265306123</v>
      </c>
      <c r="AK195" s="20">
        <f>100%</f>
        <v>1</v>
      </c>
    </row>
    <row r="196" spans="1:37" ht="18" customHeight="1" x14ac:dyDescent="0.25">
      <c r="A196">
        <v>1261737905</v>
      </c>
      <c r="B196" t="s">
        <v>928</v>
      </c>
      <c r="C196" t="s">
        <v>929</v>
      </c>
      <c r="D196" t="s">
        <v>37</v>
      </c>
      <c r="E196" t="s">
        <v>31</v>
      </c>
      <c r="F196" s="2">
        <v>45992.541687928242</v>
      </c>
      <c r="AC196" s="24">
        <f t="shared" ca="1" si="7"/>
        <v>141.45831207175797</v>
      </c>
      <c r="AD196" s="25" t="str">
        <f t="shared" ca="1" si="8"/>
        <v>&gt;60 dias</v>
      </c>
      <c r="AE196" s="25">
        <f>MONTH(Tabela1[[#This Row],[Criado em]])</f>
        <v>12</v>
      </c>
      <c r="AF196" s="25">
        <f>YEAR(Tabela1[[#This Row],[Criado em]])</f>
        <v>2025</v>
      </c>
      <c r="AG196" s="25">
        <f>COUNTIFS(Tabela1[Mês],Tabela1[[#This Row],[Mês]])</f>
        <v>207</v>
      </c>
      <c r="AH196" s="25">
        <f>COUNTIFS(Tabela1[Mês],Tabela1[[#This Row],[Mês]],Tabela1[Fase atual],"Recebido")</f>
        <v>155</v>
      </c>
      <c r="AI196" s="26">
        <f>Tabela1[[#This Row],[Recebido_ Mes]]/Tabela1[[#This Row],[Total_Mes]]</f>
        <v>0.74879227053140096</v>
      </c>
      <c r="AJ196" s="19">
        <f>COUNTIFS(Tabela1[Fase atual],"Recebido",Tabela1[Mês],Tabela1[[#This Row],[Mês]],Tabela1[Ano],Tabela1[[#This Row],[Ano]])/COUNTIF(Tabela1[Mês],Tabela1[[#This Row],[Mês]])</f>
        <v>0.74879227053140096</v>
      </c>
      <c r="AK196" s="20">
        <f>100%</f>
        <v>1</v>
      </c>
    </row>
    <row r="197" spans="1:37" ht="18" customHeight="1" x14ac:dyDescent="0.25">
      <c r="A197">
        <v>1210993121</v>
      </c>
      <c r="B197" t="s">
        <v>930</v>
      </c>
      <c r="C197" t="s">
        <v>931</v>
      </c>
      <c r="D197" t="s">
        <v>40</v>
      </c>
      <c r="E197" t="s">
        <v>31</v>
      </c>
      <c r="F197" s="2">
        <v>45909.643111423611</v>
      </c>
      <c r="AC197" s="24">
        <f t="shared" ca="1" si="7"/>
        <v>224.35688857638888</v>
      </c>
      <c r="AD197" s="25" t="str">
        <f t="shared" ca="1" si="8"/>
        <v>&gt;60 dias</v>
      </c>
      <c r="AE197" s="25">
        <f>MONTH(Tabela1[[#This Row],[Criado em]])</f>
        <v>9</v>
      </c>
      <c r="AF197" s="25">
        <f>YEAR(Tabela1[[#This Row],[Criado em]])</f>
        <v>2025</v>
      </c>
      <c r="AG197" s="25">
        <f>COUNTIFS(Tabela1[Mês],Tabela1[[#This Row],[Mês]])</f>
        <v>197</v>
      </c>
      <c r="AH197" s="25">
        <f>COUNTIFS(Tabela1[Mês],Tabela1[[#This Row],[Mês]],Tabela1[Fase atual],"Recebido")</f>
        <v>152</v>
      </c>
      <c r="AI197" s="26">
        <f>Tabela1[[#This Row],[Recebido_ Mes]]/Tabela1[[#This Row],[Total_Mes]]</f>
        <v>0.77157360406091369</v>
      </c>
      <c r="AJ197" s="19">
        <f>COUNTIFS(Tabela1[Fase atual],"Recebido",Tabela1[Mês],Tabela1[[#This Row],[Mês]],Tabela1[Ano],Tabela1[[#This Row],[Ano]])/COUNTIF(Tabela1[Mês],Tabela1[[#This Row],[Mês]])</f>
        <v>0.77157360406091369</v>
      </c>
      <c r="AK197" s="20">
        <f>100%</f>
        <v>1</v>
      </c>
    </row>
    <row r="198" spans="1:37" ht="18" customHeight="1" x14ac:dyDescent="0.25">
      <c r="A198">
        <v>1251209043</v>
      </c>
      <c r="B198" t="s">
        <v>930</v>
      </c>
      <c r="C198" t="s">
        <v>931</v>
      </c>
      <c r="D198" t="s">
        <v>40</v>
      </c>
      <c r="E198" t="s">
        <v>31</v>
      </c>
      <c r="F198" s="2">
        <v>45967.794488888889</v>
      </c>
      <c r="AC198" s="24">
        <f t="shared" ca="1" si="7"/>
        <v>166.20551111111126</v>
      </c>
      <c r="AD198" s="25" t="str">
        <f t="shared" ca="1" si="8"/>
        <v>&gt;60 dias</v>
      </c>
      <c r="AE198" s="25">
        <f>MONTH(Tabela1[[#This Row],[Criado em]])</f>
        <v>11</v>
      </c>
      <c r="AF198" s="25">
        <f>YEAR(Tabela1[[#This Row],[Criado em]])</f>
        <v>2025</v>
      </c>
      <c r="AG198" s="25">
        <f>COUNTIFS(Tabela1[Mês],Tabela1[[#This Row],[Mês]])</f>
        <v>130</v>
      </c>
      <c r="AH198" s="25">
        <f>COUNTIFS(Tabela1[Mês],Tabela1[[#This Row],[Mês]],Tabela1[Fase atual],"Recebido")</f>
        <v>100</v>
      </c>
      <c r="AI198" s="26">
        <f>Tabela1[[#This Row],[Recebido_ Mes]]/Tabela1[[#This Row],[Total_Mes]]</f>
        <v>0.76923076923076927</v>
      </c>
      <c r="AJ198" s="19">
        <f>COUNTIFS(Tabela1[Fase atual],"Recebido",Tabela1[Mês],Tabela1[[#This Row],[Mês]],Tabela1[Ano],Tabela1[[#This Row],[Ano]])/COUNTIF(Tabela1[Mês],Tabela1[[#This Row],[Mês]])</f>
        <v>0.76923076923076927</v>
      </c>
      <c r="AK198" s="20">
        <f>100%</f>
        <v>1</v>
      </c>
    </row>
    <row r="199" spans="1:37" ht="18" customHeight="1" x14ac:dyDescent="0.25">
      <c r="A199">
        <v>1258871373</v>
      </c>
      <c r="B199" t="s">
        <v>930</v>
      </c>
      <c r="C199" t="s">
        <v>931</v>
      </c>
      <c r="D199" t="s">
        <v>40</v>
      </c>
      <c r="E199" t="s">
        <v>31</v>
      </c>
      <c r="F199" s="2">
        <v>45985.79666821759</v>
      </c>
      <c r="AC199" s="24">
        <f t="shared" ca="1" si="7"/>
        <v>148.2033317824098</v>
      </c>
      <c r="AD199" s="25" t="str">
        <f t="shared" ca="1" si="8"/>
        <v>&gt;60 dias</v>
      </c>
      <c r="AE199" s="25">
        <f>MONTH(Tabela1[[#This Row],[Criado em]])</f>
        <v>11</v>
      </c>
      <c r="AF199" s="25">
        <f>YEAR(Tabela1[[#This Row],[Criado em]])</f>
        <v>2025</v>
      </c>
      <c r="AG199" s="25">
        <f>COUNTIFS(Tabela1[Mês],Tabela1[[#This Row],[Mês]])</f>
        <v>130</v>
      </c>
      <c r="AH199" s="25">
        <f>COUNTIFS(Tabela1[Mês],Tabela1[[#This Row],[Mês]],Tabela1[Fase atual],"Recebido")</f>
        <v>100</v>
      </c>
      <c r="AI199" s="26">
        <f>Tabela1[[#This Row],[Recebido_ Mes]]/Tabela1[[#This Row],[Total_Mes]]</f>
        <v>0.76923076923076927</v>
      </c>
      <c r="AJ199" s="19">
        <f>COUNTIFS(Tabela1[Fase atual],"Recebido",Tabela1[Mês],Tabela1[[#This Row],[Mês]],Tabela1[Ano],Tabela1[[#This Row],[Ano]])/COUNTIF(Tabela1[Mês],Tabela1[[#This Row],[Mês]])</f>
        <v>0.76923076923076927</v>
      </c>
      <c r="AK199" s="20">
        <f>100%</f>
        <v>1</v>
      </c>
    </row>
    <row r="200" spans="1:37" ht="18" customHeight="1" x14ac:dyDescent="0.25">
      <c r="A200">
        <v>1257102769</v>
      </c>
      <c r="B200" t="s">
        <v>930</v>
      </c>
      <c r="C200" t="s">
        <v>931</v>
      </c>
      <c r="D200" t="s">
        <v>40</v>
      </c>
      <c r="E200" t="s">
        <v>31</v>
      </c>
      <c r="F200" s="2">
        <v>45980.79568181713</v>
      </c>
      <c r="AC200" s="24">
        <f t="shared" ca="1" si="7"/>
        <v>153.20431818287034</v>
      </c>
      <c r="AD200" s="25" t="str">
        <f t="shared" ca="1" si="8"/>
        <v>&gt;60 dias</v>
      </c>
      <c r="AE200" s="25">
        <f>MONTH(Tabela1[[#This Row],[Criado em]])</f>
        <v>11</v>
      </c>
      <c r="AF200" s="25">
        <f>YEAR(Tabela1[[#This Row],[Criado em]])</f>
        <v>2025</v>
      </c>
      <c r="AG200" s="25">
        <f>COUNTIFS(Tabela1[Mês],Tabela1[[#This Row],[Mês]])</f>
        <v>130</v>
      </c>
      <c r="AH200" s="25">
        <f>COUNTIFS(Tabela1[Mês],Tabela1[[#This Row],[Mês]],Tabela1[Fase atual],"Recebido")</f>
        <v>100</v>
      </c>
      <c r="AI200" s="26">
        <f>Tabela1[[#This Row],[Recebido_ Mes]]/Tabela1[[#This Row],[Total_Mes]]</f>
        <v>0.76923076923076927</v>
      </c>
      <c r="AJ200" s="19">
        <f>COUNTIFS(Tabela1[Fase atual],"Recebido",Tabela1[Mês],Tabela1[[#This Row],[Mês]],Tabela1[Ano],Tabela1[[#This Row],[Ano]])/COUNTIF(Tabela1[Mês],Tabela1[[#This Row],[Mês]])</f>
        <v>0.76923076923076927</v>
      </c>
      <c r="AK200" s="20">
        <f>100%</f>
        <v>1</v>
      </c>
    </row>
    <row r="201" spans="1:37" ht="18" customHeight="1" x14ac:dyDescent="0.25">
      <c r="A201">
        <v>1293959405</v>
      </c>
      <c r="B201" t="s">
        <v>112</v>
      </c>
      <c r="C201" t="s">
        <v>113</v>
      </c>
      <c r="D201" t="s">
        <v>37</v>
      </c>
      <c r="E201" t="s">
        <v>31</v>
      </c>
      <c r="F201" s="2">
        <v>46058.834897569453</v>
      </c>
      <c r="AC201" s="24">
        <f t="shared" ca="1" si="7"/>
        <v>75.16510243054654</v>
      </c>
      <c r="AD201" s="25" t="str">
        <f t="shared" ca="1" si="8"/>
        <v>&gt;60 dias</v>
      </c>
      <c r="AE201" s="25">
        <f>MONTH(Tabela1[[#This Row],[Criado em]])</f>
        <v>2</v>
      </c>
      <c r="AF201" s="25">
        <f>YEAR(Tabela1[[#This Row],[Criado em]])</f>
        <v>2026</v>
      </c>
      <c r="AG201" s="25">
        <f>COUNTIFS(Tabela1[Mês],Tabela1[[#This Row],[Mês]])</f>
        <v>197</v>
      </c>
      <c r="AH201" s="25">
        <f>COUNTIFS(Tabela1[Mês],Tabela1[[#This Row],[Mês]],Tabela1[Fase atual],"Recebido")</f>
        <v>124</v>
      </c>
      <c r="AI201" s="26">
        <f>Tabela1[[#This Row],[Recebido_ Mes]]/Tabela1[[#This Row],[Total_Mes]]</f>
        <v>0.62944162436548223</v>
      </c>
      <c r="AJ201" s="19">
        <f>COUNTIFS(Tabela1[Fase atual],"Recebido",Tabela1[Mês],Tabela1[[#This Row],[Mês]],Tabela1[Ano],Tabela1[[#This Row],[Ano]])/COUNTIF(Tabela1[Mês],Tabela1[[#This Row],[Mês]])</f>
        <v>0.62944162436548223</v>
      </c>
      <c r="AK201" s="20">
        <f>100%</f>
        <v>1</v>
      </c>
    </row>
    <row r="202" spans="1:37" ht="18" customHeight="1" x14ac:dyDescent="0.25">
      <c r="A202">
        <v>1270228122</v>
      </c>
      <c r="B202" t="s">
        <v>932</v>
      </c>
      <c r="C202" t="s">
        <v>933</v>
      </c>
      <c r="D202" t="s">
        <v>40</v>
      </c>
      <c r="E202" t="s">
        <v>31</v>
      </c>
      <c r="F202" s="2">
        <v>46009.844100543982</v>
      </c>
      <c r="AC202" s="24">
        <f t="shared" ca="1" si="7"/>
        <v>124.15589945601823</v>
      </c>
      <c r="AD202" s="25" t="str">
        <f t="shared" ca="1" si="8"/>
        <v>&gt;60 dias</v>
      </c>
      <c r="AE202" s="25">
        <f>MONTH(Tabela1[[#This Row],[Criado em]])</f>
        <v>12</v>
      </c>
      <c r="AF202" s="25">
        <f>YEAR(Tabela1[[#This Row],[Criado em]])</f>
        <v>2025</v>
      </c>
      <c r="AG202" s="25">
        <f>COUNTIFS(Tabela1[Mês],Tabela1[[#This Row],[Mês]])</f>
        <v>207</v>
      </c>
      <c r="AH202" s="25">
        <f>COUNTIFS(Tabela1[Mês],Tabela1[[#This Row],[Mês]],Tabela1[Fase atual],"Recebido")</f>
        <v>155</v>
      </c>
      <c r="AI202" s="26">
        <f>Tabela1[[#This Row],[Recebido_ Mes]]/Tabela1[[#This Row],[Total_Mes]]</f>
        <v>0.74879227053140096</v>
      </c>
      <c r="AJ202" s="19">
        <f>COUNTIFS(Tabela1[Fase atual],"Recebido",Tabela1[Mês],Tabela1[[#This Row],[Mês]],Tabela1[Ano],Tabela1[[#This Row],[Ano]])/COUNTIF(Tabela1[Mês],Tabela1[[#This Row],[Mês]])</f>
        <v>0.74879227053140096</v>
      </c>
      <c r="AK202" s="20">
        <f>100%</f>
        <v>1</v>
      </c>
    </row>
    <row r="203" spans="1:37" ht="18" customHeight="1" x14ac:dyDescent="0.25">
      <c r="A203">
        <v>1237689661</v>
      </c>
      <c r="B203" t="s">
        <v>114</v>
      </c>
      <c r="C203" t="s">
        <v>115</v>
      </c>
      <c r="D203" t="s">
        <v>37</v>
      </c>
      <c r="E203" t="s">
        <v>31</v>
      </c>
      <c r="F203" s="2">
        <v>45946.795150798607</v>
      </c>
      <c r="AC203" s="24">
        <f t="shared" ca="1" si="7"/>
        <v>187.20484920139279</v>
      </c>
      <c r="AD203" s="25" t="str">
        <f t="shared" ca="1" si="8"/>
        <v>&gt;60 dias</v>
      </c>
      <c r="AE203" s="25">
        <f>MONTH(Tabela1[[#This Row],[Criado em]])</f>
        <v>10</v>
      </c>
      <c r="AF203" s="25">
        <f>YEAR(Tabela1[[#This Row],[Criado em]])</f>
        <v>2025</v>
      </c>
      <c r="AG203" s="25">
        <f>COUNTIFS(Tabela1[Mês],Tabela1[[#This Row],[Mês]])</f>
        <v>196</v>
      </c>
      <c r="AH203" s="25">
        <f>COUNTIFS(Tabela1[Mês],Tabela1[[#This Row],[Mês]],Tabela1[Fase atual],"Recebido")</f>
        <v>138</v>
      </c>
      <c r="AI203" s="26">
        <f>Tabela1[[#This Row],[Recebido_ Mes]]/Tabela1[[#This Row],[Total_Mes]]</f>
        <v>0.70408163265306123</v>
      </c>
      <c r="AJ203" s="19">
        <f>COUNTIFS(Tabela1[Fase atual],"Recebido",Tabela1[Mês],Tabela1[[#This Row],[Mês]],Tabela1[Ano],Tabela1[[#This Row],[Ano]])/COUNTIF(Tabela1[Mês],Tabela1[[#This Row],[Mês]])</f>
        <v>0.70408163265306123</v>
      </c>
      <c r="AK203" s="20">
        <f>100%</f>
        <v>1</v>
      </c>
    </row>
    <row r="204" spans="1:37" ht="18" customHeight="1" x14ac:dyDescent="0.25">
      <c r="A204">
        <v>1231461543</v>
      </c>
      <c r="B204" t="s">
        <v>114</v>
      </c>
      <c r="C204" t="s">
        <v>115</v>
      </c>
      <c r="D204" t="s">
        <v>37</v>
      </c>
      <c r="E204" t="s">
        <v>31</v>
      </c>
      <c r="F204" s="2">
        <v>45939.851206377323</v>
      </c>
      <c r="AC204" s="24">
        <f t="shared" ca="1" si="7"/>
        <v>194.14879362267675</v>
      </c>
      <c r="AD204" s="25" t="str">
        <f t="shared" ca="1" si="8"/>
        <v>&gt;60 dias</v>
      </c>
      <c r="AE204" s="25">
        <f>MONTH(Tabela1[[#This Row],[Criado em]])</f>
        <v>10</v>
      </c>
      <c r="AF204" s="25">
        <f>YEAR(Tabela1[[#This Row],[Criado em]])</f>
        <v>2025</v>
      </c>
      <c r="AG204" s="25">
        <f>COUNTIFS(Tabela1[Mês],Tabela1[[#This Row],[Mês]])</f>
        <v>196</v>
      </c>
      <c r="AH204" s="25">
        <f>COUNTIFS(Tabela1[Mês],Tabela1[[#This Row],[Mês]],Tabela1[Fase atual],"Recebido")</f>
        <v>138</v>
      </c>
      <c r="AI204" s="26">
        <f>Tabela1[[#This Row],[Recebido_ Mes]]/Tabela1[[#This Row],[Total_Mes]]</f>
        <v>0.70408163265306123</v>
      </c>
      <c r="AJ204" s="19">
        <f>COUNTIFS(Tabela1[Fase atual],"Recebido",Tabela1[Mês],Tabela1[[#This Row],[Mês]],Tabela1[Ano],Tabela1[[#This Row],[Ano]])/COUNTIF(Tabela1[Mês],Tabela1[[#This Row],[Mês]])</f>
        <v>0.70408163265306123</v>
      </c>
      <c r="AK204" s="20">
        <f>100%</f>
        <v>1</v>
      </c>
    </row>
    <row r="205" spans="1:37" ht="18" customHeight="1" x14ac:dyDescent="0.25">
      <c r="A205">
        <v>1284079724</v>
      </c>
      <c r="B205" t="s">
        <v>114</v>
      </c>
      <c r="C205" t="s">
        <v>115</v>
      </c>
      <c r="D205" t="s">
        <v>37</v>
      </c>
      <c r="E205" t="s">
        <v>31</v>
      </c>
      <c r="F205" s="2">
        <v>46041.796455462973</v>
      </c>
      <c r="AC205" s="24">
        <f t="shared" ca="1" si="7"/>
        <v>92.203544537027483</v>
      </c>
      <c r="AD205" s="25" t="str">
        <f t="shared" ca="1" si="8"/>
        <v>&gt;60 dias</v>
      </c>
      <c r="AE205" s="25">
        <f>MONTH(Tabela1[[#This Row],[Criado em]])</f>
        <v>1</v>
      </c>
      <c r="AF205" s="25">
        <f>YEAR(Tabela1[[#This Row],[Criado em]])</f>
        <v>2026</v>
      </c>
      <c r="AG205" s="25">
        <f>COUNTIFS(Tabela1[Mês],Tabela1[[#This Row],[Mês]])</f>
        <v>222</v>
      </c>
      <c r="AH205" s="25">
        <f>COUNTIFS(Tabela1[Mês],Tabela1[[#This Row],[Mês]],Tabela1[Fase atual],"Recebido")</f>
        <v>174</v>
      </c>
      <c r="AI205" s="26">
        <f>Tabela1[[#This Row],[Recebido_ Mes]]/Tabela1[[#This Row],[Total_Mes]]</f>
        <v>0.78378378378378377</v>
      </c>
      <c r="AJ205" s="19">
        <f>COUNTIFS(Tabela1[Fase atual],"Recebido",Tabela1[Mês],Tabela1[[#This Row],[Mês]],Tabela1[Ano],Tabela1[[#This Row],[Ano]])/COUNTIF(Tabela1[Mês],Tabela1[[#This Row],[Mês]])</f>
        <v>0.78378378378378377</v>
      </c>
      <c r="AK205" s="20">
        <f>100%</f>
        <v>1</v>
      </c>
    </row>
    <row r="206" spans="1:37" ht="18" customHeight="1" x14ac:dyDescent="0.25">
      <c r="A206">
        <v>1286721706</v>
      </c>
      <c r="B206" t="s">
        <v>114</v>
      </c>
      <c r="C206" t="s">
        <v>115</v>
      </c>
      <c r="D206" t="s">
        <v>37</v>
      </c>
      <c r="E206" t="s">
        <v>31</v>
      </c>
      <c r="F206" s="2">
        <v>46045.796723298612</v>
      </c>
      <c r="AC206" s="24">
        <f t="shared" ca="1" si="7"/>
        <v>88.203276701387949</v>
      </c>
      <c r="AD206" s="25" t="str">
        <f t="shared" ca="1" si="8"/>
        <v>&gt;60 dias</v>
      </c>
      <c r="AE206" s="25">
        <f>MONTH(Tabela1[[#This Row],[Criado em]])</f>
        <v>1</v>
      </c>
      <c r="AF206" s="25">
        <f>YEAR(Tabela1[[#This Row],[Criado em]])</f>
        <v>2026</v>
      </c>
      <c r="AG206" s="25">
        <f>COUNTIFS(Tabela1[Mês],Tabela1[[#This Row],[Mês]])</f>
        <v>222</v>
      </c>
      <c r="AH206" s="25">
        <f>COUNTIFS(Tabela1[Mês],Tabela1[[#This Row],[Mês]],Tabela1[Fase atual],"Recebido")</f>
        <v>174</v>
      </c>
      <c r="AI206" s="26">
        <f>Tabela1[[#This Row],[Recebido_ Mes]]/Tabela1[[#This Row],[Total_Mes]]</f>
        <v>0.78378378378378377</v>
      </c>
      <c r="AJ206" s="19">
        <f>COUNTIFS(Tabela1[Fase atual],"Recebido",Tabela1[Mês],Tabela1[[#This Row],[Mês]],Tabela1[Ano],Tabela1[[#This Row],[Ano]])/COUNTIF(Tabela1[Mês],Tabela1[[#This Row],[Mês]])</f>
        <v>0.78378378378378377</v>
      </c>
      <c r="AK206" s="20">
        <f>100%</f>
        <v>1</v>
      </c>
    </row>
    <row r="207" spans="1:37" ht="18" customHeight="1" x14ac:dyDescent="0.25">
      <c r="A207">
        <v>1237689842</v>
      </c>
      <c r="B207" t="s">
        <v>114</v>
      </c>
      <c r="C207" t="s">
        <v>934</v>
      </c>
      <c r="D207" t="s">
        <v>37</v>
      </c>
      <c r="E207" t="s">
        <v>31</v>
      </c>
      <c r="F207" s="2">
        <v>45946.795239039348</v>
      </c>
      <c r="AC207" s="24">
        <f t="shared" ca="1" si="7"/>
        <v>187.20476096065249</v>
      </c>
      <c r="AD207" s="25" t="str">
        <f t="shared" ca="1" si="8"/>
        <v>&gt;60 dias</v>
      </c>
      <c r="AE207" s="25">
        <f>MONTH(Tabela1[[#This Row],[Criado em]])</f>
        <v>10</v>
      </c>
      <c r="AF207" s="25">
        <f>YEAR(Tabela1[[#This Row],[Criado em]])</f>
        <v>2025</v>
      </c>
      <c r="AG207" s="25">
        <f>COUNTIFS(Tabela1[Mês],Tabela1[[#This Row],[Mês]])</f>
        <v>196</v>
      </c>
      <c r="AH207" s="25">
        <f>COUNTIFS(Tabela1[Mês],Tabela1[[#This Row],[Mês]],Tabela1[Fase atual],"Recebido")</f>
        <v>138</v>
      </c>
      <c r="AI207" s="26">
        <f>Tabela1[[#This Row],[Recebido_ Mes]]/Tabela1[[#This Row],[Total_Mes]]</f>
        <v>0.70408163265306123</v>
      </c>
      <c r="AJ207" s="19">
        <f>COUNTIFS(Tabela1[Fase atual],"Recebido",Tabela1[Mês],Tabela1[[#This Row],[Mês]],Tabela1[Ano],Tabela1[[#This Row],[Ano]])/COUNTIF(Tabela1[Mês],Tabela1[[#This Row],[Mês]])</f>
        <v>0.70408163265306123</v>
      </c>
      <c r="AK207" s="20">
        <f>100%</f>
        <v>1</v>
      </c>
    </row>
    <row r="208" spans="1:37" ht="18" customHeight="1" x14ac:dyDescent="0.25">
      <c r="A208">
        <v>1252885264</v>
      </c>
      <c r="B208" t="s">
        <v>935</v>
      </c>
      <c r="C208" t="s">
        <v>936</v>
      </c>
      <c r="D208" t="s">
        <v>40</v>
      </c>
      <c r="E208" t="s">
        <v>31</v>
      </c>
      <c r="F208" s="2">
        <v>45971.795482384259</v>
      </c>
      <c r="AC208" s="24">
        <f t="shared" ca="1" si="7"/>
        <v>162.20451761574077</v>
      </c>
      <c r="AD208" s="25" t="str">
        <f t="shared" ca="1" si="8"/>
        <v>&gt;60 dias</v>
      </c>
      <c r="AE208" s="25">
        <f>MONTH(Tabela1[[#This Row],[Criado em]])</f>
        <v>11</v>
      </c>
      <c r="AF208" s="25">
        <f>YEAR(Tabela1[[#This Row],[Criado em]])</f>
        <v>2025</v>
      </c>
      <c r="AG208" s="25">
        <f>COUNTIFS(Tabela1[Mês],Tabela1[[#This Row],[Mês]])</f>
        <v>130</v>
      </c>
      <c r="AH208" s="25">
        <f>COUNTIFS(Tabela1[Mês],Tabela1[[#This Row],[Mês]],Tabela1[Fase atual],"Recebido")</f>
        <v>100</v>
      </c>
      <c r="AI208" s="26">
        <f>Tabela1[[#This Row],[Recebido_ Mes]]/Tabela1[[#This Row],[Total_Mes]]</f>
        <v>0.76923076923076927</v>
      </c>
      <c r="AJ208" s="19">
        <f>COUNTIFS(Tabela1[Fase atual],"Recebido",Tabela1[Mês],Tabela1[[#This Row],[Mês]],Tabela1[Ano],Tabela1[[#This Row],[Ano]])/COUNTIF(Tabela1[Mês],Tabela1[[#This Row],[Mês]])</f>
        <v>0.76923076923076927</v>
      </c>
      <c r="AK208" s="20">
        <f>100%</f>
        <v>1</v>
      </c>
    </row>
    <row r="209" spans="1:37" ht="18" customHeight="1" x14ac:dyDescent="0.25">
      <c r="A209">
        <v>1260495746</v>
      </c>
      <c r="B209" t="s">
        <v>937</v>
      </c>
      <c r="C209" t="s">
        <v>938</v>
      </c>
      <c r="D209" t="s">
        <v>37</v>
      </c>
      <c r="E209" t="s">
        <v>31</v>
      </c>
      <c r="F209" s="2">
        <v>45988.79625388889</v>
      </c>
      <c r="AC209" s="24">
        <f t="shared" ca="1" si="7"/>
        <v>145.20374611111038</v>
      </c>
      <c r="AD209" s="25" t="str">
        <f t="shared" ca="1" si="8"/>
        <v>&gt;60 dias</v>
      </c>
      <c r="AE209" s="25">
        <f>MONTH(Tabela1[[#This Row],[Criado em]])</f>
        <v>11</v>
      </c>
      <c r="AF209" s="25">
        <f>YEAR(Tabela1[[#This Row],[Criado em]])</f>
        <v>2025</v>
      </c>
      <c r="AG209" s="25">
        <f>COUNTIFS(Tabela1[Mês],Tabela1[[#This Row],[Mês]])</f>
        <v>130</v>
      </c>
      <c r="AH209" s="25">
        <f>COUNTIFS(Tabela1[Mês],Tabela1[[#This Row],[Mês]],Tabela1[Fase atual],"Recebido")</f>
        <v>100</v>
      </c>
      <c r="AI209" s="26">
        <f>Tabela1[[#This Row],[Recebido_ Mes]]/Tabela1[[#This Row],[Total_Mes]]</f>
        <v>0.76923076923076927</v>
      </c>
      <c r="AJ209" s="19">
        <f>COUNTIFS(Tabela1[Fase atual],"Recebido",Tabela1[Mês],Tabela1[[#This Row],[Mês]],Tabela1[Ano],Tabela1[[#This Row],[Ano]])/COUNTIF(Tabela1[Mês],Tabela1[[#This Row],[Mês]])</f>
        <v>0.76923076923076927</v>
      </c>
      <c r="AK209" s="20">
        <f>100%</f>
        <v>1</v>
      </c>
    </row>
    <row r="210" spans="1:37" ht="18" customHeight="1" x14ac:dyDescent="0.25">
      <c r="A210">
        <v>1289419630</v>
      </c>
      <c r="B210" t="s">
        <v>116</v>
      </c>
      <c r="C210" t="s">
        <v>117</v>
      </c>
      <c r="D210" t="s">
        <v>37</v>
      </c>
      <c r="E210" t="s">
        <v>31</v>
      </c>
      <c r="F210" s="2">
        <v>46050.628560104167</v>
      </c>
      <c r="AC210" s="24">
        <f t="shared" ca="1" si="7"/>
        <v>83.371439895832737</v>
      </c>
      <c r="AD210" s="25" t="str">
        <f t="shared" ca="1" si="8"/>
        <v>&gt;60 dias</v>
      </c>
      <c r="AE210" s="25">
        <f>MONTH(Tabela1[[#This Row],[Criado em]])</f>
        <v>1</v>
      </c>
      <c r="AF210" s="25">
        <f>YEAR(Tabela1[[#This Row],[Criado em]])</f>
        <v>2026</v>
      </c>
      <c r="AG210" s="25">
        <f>COUNTIFS(Tabela1[Mês],Tabela1[[#This Row],[Mês]])</f>
        <v>222</v>
      </c>
      <c r="AH210" s="25">
        <f>COUNTIFS(Tabela1[Mês],Tabela1[[#This Row],[Mês]],Tabela1[Fase atual],"Recebido")</f>
        <v>174</v>
      </c>
      <c r="AI210" s="26">
        <f>Tabela1[[#This Row],[Recebido_ Mes]]/Tabela1[[#This Row],[Total_Mes]]</f>
        <v>0.78378378378378377</v>
      </c>
      <c r="AJ210" s="19">
        <f>COUNTIFS(Tabela1[Fase atual],"Recebido",Tabela1[Mês],Tabela1[[#This Row],[Mês]],Tabela1[Ano],Tabela1[[#This Row],[Ano]])/COUNTIF(Tabela1[Mês],Tabela1[[#This Row],[Mês]])</f>
        <v>0.78378378378378377</v>
      </c>
      <c r="AK210" s="20">
        <f>100%</f>
        <v>1</v>
      </c>
    </row>
    <row r="211" spans="1:37" ht="18" customHeight="1" x14ac:dyDescent="0.25">
      <c r="A211">
        <v>1183424956</v>
      </c>
      <c r="B211" t="s">
        <v>939</v>
      </c>
      <c r="C211" t="s">
        <v>940</v>
      </c>
      <c r="D211" t="s">
        <v>37</v>
      </c>
      <c r="E211" t="s">
        <v>31</v>
      </c>
      <c r="F211" s="2">
        <v>45863.852737152767</v>
      </c>
      <c r="AC211" s="24">
        <f t="shared" ca="1" si="7"/>
        <v>270.14726284723292</v>
      </c>
      <c r="AD211" s="25" t="str">
        <f t="shared" ca="1" si="8"/>
        <v>&gt;60 dias</v>
      </c>
      <c r="AE211" s="25">
        <f>MONTH(Tabela1[[#This Row],[Criado em]])</f>
        <v>7</v>
      </c>
      <c r="AF211" s="25">
        <f>YEAR(Tabela1[[#This Row],[Criado em]])</f>
        <v>2025</v>
      </c>
      <c r="AG211" s="25">
        <f>COUNTIFS(Tabela1[Mês],Tabela1[[#This Row],[Mês]])</f>
        <v>177</v>
      </c>
      <c r="AH211" s="25">
        <f>COUNTIFS(Tabela1[Mês],Tabela1[[#This Row],[Mês]],Tabela1[Fase atual],"Recebido")</f>
        <v>130</v>
      </c>
      <c r="AI211" s="26">
        <f>Tabela1[[#This Row],[Recebido_ Mes]]/Tabela1[[#This Row],[Total_Mes]]</f>
        <v>0.7344632768361582</v>
      </c>
      <c r="AJ211" s="19">
        <f>COUNTIFS(Tabela1[Fase atual],"Recebido",Tabela1[Mês],Tabela1[[#This Row],[Mês]],Tabela1[Ano],Tabela1[[#This Row],[Ano]])/COUNTIF(Tabela1[Mês],Tabela1[[#This Row],[Mês]])</f>
        <v>0.7344632768361582</v>
      </c>
      <c r="AK211" s="20">
        <f>100%</f>
        <v>1</v>
      </c>
    </row>
    <row r="212" spans="1:37" ht="18" customHeight="1" x14ac:dyDescent="0.25">
      <c r="A212">
        <v>1263523516</v>
      </c>
      <c r="B212" t="s">
        <v>939</v>
      </c>
      <c r="C212" t="s">
        <v>940</v>
      </c>
      <c r="D212" t="s">
        <v>37</v>
      </c>
      <c r="E212" t="s">
        <v>31</v>
      </c>
      <c r="F212" s="2">
        <v>45994.850168171302</v>
      </c>
      <c r="AC212" s="24">
        <f t="shared" ca="1" si="7"/>
        <v>139.14983182869764</v>
      </c>
      <c r="AD212" s="25" t="str">
        <f t="shared" ca="1" si="8"/>
        <v>&gt;60 dias</v>
      </c>
      <c r="AE212" s="25">
        <f>MONTH(Tabela1[[#This Row],[Criado em]])</f>
        <v>12</v>
      </c>
      <c r="AF212" s="25">
        <f>YEAR(Tabela1[[#This Row],[Criado em]])</f>
        <v>2025</v>
      </c>
      <c r="AG212" s="25">
        <f>COUNTIFS(Tabela1[Mês],Tabela1[[#This Row],[Mês]])</f>
        <v>207</v>
      </c>
      <c r="AH212" s="25">
        <f>COUNTIFS(Tabela1[Mês],Tabela1[[#This Row],[Mês]],Tabela1[Fase atual],"Recebido")</f>
        <v>155</v>
      </c>
      <c r="AI212" s="26">
        <f>Tabela1[[#This Row],[Recebido_ Mes]]/Tabela1[[#This Row],[Total_Mes]]</f>
        <v>0.74879227053140096</v>
      </c>
      <c r="AJ212" s="19">
        <f>COUNTIFS(Tabela1[Fase atual],"Recebido",Tabela1[Mês],Tabela1[[#This Row],[Mês]],Tabela1[Ano],Tabela1[[#This Row],[Ano]])/COUNTIF(Tabela1[Mês],Tabela1[[#This Row],[Mês]])</f>
        <v>0.74879227053140096</v>
      </c>
      <c r="AK212" s="20">
        <f>100%</f>
        <v>1</v>
      </c>
    </row>
    <row r="213" spans="1:37" ht="18" customHeight="1" x14ac:dyDescent="0.25">
      <c r="A213">
        <v>1240711295</v>
      </c>
      <c r="B213" t="s">
        <v>941</v>
      </c>
      <c r="C213" t="s">
        <v>942</v>
      </c>
      <c r="D213" t="s">
        <v>37</v>
      </c>
      <c r="E213" t="s">
        <v>31</v>
      </c>
      <c r="F213" s="2">
        <v>45951.795579988422</v>
      </c>
      <c r="AC213" s="24">
        <f t="shared" ca="1" si="7"/>
        <v>182.20442001157789</v>
      </c>
      <c r="AD213" s="25" t="str">
        <f t="shared" ca="1" si="8"/>
        <v>&gt;60 dias</v>
      </c>
      <c r="AE213" s="25">
        <f>MONTH(Tabela1[[#This Row],[Criado em]])</f>
        <v>10</v>
      </c>
      <c r="AF213" s="25">
        <f>YEAR(Tabela1[[#This Row],[Criado em]])</f>
        <v>2025</v>
      </c>
      <c r="AG213" s="25">
        <f>COUNTIFS(Tabela1[Mês],Tabela1[[#This Row],[Mês]])</f>
        <v>196</v>
      </c>
      <c r="AH213" s="25">
        <f>COUNTIFS(Tabela1[Mês],Tabela1[[#This Row],[Mês]],Tabela1[Fase atual],"Recebido")</f>
        <v>138</v>
      </c>
      <c r="AI213" s="26">
        <f>Tabela1[[#This Row],[Recebido_ Mes]]/Tabela1[[#This Row],[Total_Mes]]</f>
        <v>0.70408163265306123</v>
      </c>
      <c r="AJ213" s="19">
        <f>COUNTIFS(Tabela1[Fase atual],"Recebido",Tabela1[Mês],Tabela1[[#This Row],[Mês]],Tabela1[Ano],Tabela1[[#This Row],[Ano]])/COUNTIF(Tabela1[Mês],Tabela1[[#This Row],[Mês]])</f>
        <v>0.70408163265306123</v>
      </c>
      <c r="AK213" s="20">
        <f>100%</f>
        <v>1</v>
      </c>
    </row>
    <row r="214" spans="1:37" ht="18" customHeight="1" x14ac:dyDescent="0.25">
      <c r="A214">
        <v>1175343341</v>
      </c>
      <c r="B214" t="s">
        <v>943</v>
      </c>
      <c r="C214" t="s">
        <v>944</v>
      </c>
      <c r="D214" t="s">
        <v>40</v>
      </c>
      <c r="E214" t="s">
        <v>31</v>
      </c>
      <c r="F214" s="2">
        <v>45850.851138009253</v>
      </c>
      <c r="AC214" s="24">
        <f t="shared" ca="1" si="7"/>
        <v>283.14886199074681</v>
      </c>
      <c r="AD214" s="25" t="str">
        <f t="shared" ca="1" si="8"/>
        <v>&gt;60 dias</v>
      </c>
      <c r="AE214" s="25">
        <f>MONTH(Tabela1[[#This Row],[Criado em]])</f>
        <v>7</v>
      </c>
      <c r="AF214" s="25">
        <f>YEAR(Tabela1[[#This Row],[Criado em]])</f>
        <v>2025</v>
      </c>
      <c r="AG214" s="25">
        <f>COUNTIFS(Tabela1[Mês],Tabela1[[#This Row],[Mês]])</f>
        <v>177</v>
      </c>
      <c r="AH214" s="25">
        <f>COUNTIFS(Tabela1[Mês],Tabela1[[#This Row],[Mês]],Tabela1[Fase atual],"Recebido")</f>
        <v>130</v>
      </c>
      <c r="AI214" s="26">
        <f>Tabela1[[#This Row],[Recebido_ Mes]]/Tabela1[[#This Row],[Total_Mes]]</f>
        <v>0.7344632768361582</v>
      </c>
      <c r="AJ214" s="19">
        <f>COUNTIFS(Tabela1[Fase atual],"Recebido",Tabela1[Mês],Tabela1[[#This Row],[Mês]],Tabela1[Ano],Tabela1[[#This Row],[Ano]])/COUNTIF(Tabela1[Mês],Tabela1[[#This Row],[Mês]])</f>
        <v>0.7344632768361582</v>
      </c>
      <c r="AK214" s="20">
        <f>100%</f>
        <v>1</v>
      </c>
    </row>
    <row r="215" spans="1:37" ht="18" customHeight="1" x14ac:dyDescent="0.25">
      <c r="A215">
        <v>1194685421</v>
      </c>
      <c r="B215" t="s">
        <v>945</v>
      </c>
      <c r="C215" t="s">
        <v>946</v>
      </c>
      <c r="D215" t="s">
        <v>784</v>
      </c>
      <c r="E215" t="s">
        <v>31</v>
      </c>
      <c r="F215" s="2">
        <v>45882.850974583329</v>
      </c>
      <c r="AC215" s="24">
        <f t="shared" ca="1" si="7"/>
        <v>251.14902541667107</v>
      </c>
      <c r="AD215" s="25" t="str">
        <f t="shared" ca="1" si="8"/>
        <v>&gt;60 dias</v>
      </c>
      <c r="AE215" s="25">
        <f>MONTH(Tabela1[[#This Row],[Criado em]])</f>
        <v>8</v>
      </c>
      <c r="AF215" s="25">
        <f>YEAR(Tabela1[[#This Row],[Criado em]])</f>
        <v>2025</v>
      </c>
      <c r="AG215" s="25">
        <f>COUNTIFS(Tabela1[Mês],Tabela1[[#This Row],[Mês]])</f>
        <v>146</v>
      </c>
      <c r="AH215" s="25">
        <f>COUNTIFS(Tabela1[Mês],Tabela1[[#This Row],[Mês]],Tabela1[Fase atual],"Recebido")</f>
        <v>115</v>
      </c>
      <c r="AI215" s="26">
        <f>Tabela1[[#This Row],[Recebido_ Mes]]/Tabela1[[#This Row],[Total_Mes]]</f>
        <v>0.78767123287671237</v>
      </c>
      <c r="AJ215" s="19">
        <f>COUNTIFS(Tabela1[Fase atual],"Recebido",Tabela1[Mês],Tabela1[[#This Row],[Mês]],Tabela1[Ano],Tabela1[[#This Row],[Ano]])/COUNTIF(Tabela1[Mês],Tabela1[[#This Row],[Mês]])</f>
        <v>0.78767123287671237</v>
      </c>
      <c r="AK215" s="20">
        <f>100%</f>
        <v>1</v>
      </c>
    </row>
    <row r="216" spans="1:37" ht="18" customHeight="1" x14ac:dyDescent="0.25">
      <c r="A216">
        <v>1220842570</v>
      </c>
      <c r="B216" t="s">
        <v>947</v>
      </c>
      <c r="C216" t="s">
        <v>948</v>
      </c>
      <c r="D216" t="s">
        <v>37</v>
      </c>
      <c r="E216" t="s">
        <v>31</v>
      </c>
      <c r="F216" s="2">
        <v>45924.851786157407</v>
      </c>
      <c r="AC216" s="24">
        <f t="shared" ca="1" si="7"/>
        <v>209.14821384259267</v>
      </c>
      <c r="AD216" s="25" t="str">
        <f t="shared" ca="1" si="8"/>
        <v>&gt;60 dias</v>
      </c>
      <c r="AE216" s="25">
        <f>MONTH(Tabela1[[#This Row],[Criado em]])</f>
        <v>9</v>
      </c>
      <c r="AF216" s="25">
        <f>YEAR(Tabela1[[#This Row],[Criado em]])</f>
        <v>2025</v>
      </c>
      <c r="AG216" s="25">
        <f>COUNTIFS(Tabela1[Mês],Tabela1[[#This Row],[Mês]])</f>
        <v>197</v>
      </c>
      <c r="AH216" s="25">
        <f>COUNTIFS(Tabela1[Mês],Tabela1[[#This Row],[Mês]],Tabela1[Fase atual],"Recebido")</f>
        <v>152</v>
      </c>
      <c r="AI216" s="26">
        <f>Tabela1[[#This Row],[Recebido_ Mes]]/Tabela1[[#This Row],[Total_Mes]]</f>
        <v>0.77157360406091369</v>
      </c>
      <c r="AJ216" s="19">
        <f>COUNTIFS(Tabela1[Fase atual],"Recebido",Tabela1[Mês],Tabela1[[#This Row],[Mês]],Tabela1[Ano],Tabela1[[#This Row],[Ano]])/COUNTIF(Tabela1[Mês],Tabela1[[#This Row],[Mês]])</f>
        <v>0.77157360406091369</v>
      </c>
      <c r="AK216" s="20">
        <f>100%</f>
        <v>1</v>
      </c>
    </row>
    <row r="217" spans="1:37" ht="18" customHeight="1" x14ac:dyDescent="0.25">
      <c r="A217">
        <v>1299196735</v>
      </c>
      <c r="B217" t="s">
        <v>118</v>
      </c>
      <c r="C217" t="s">
        <v>119</v>
      </c>
      <c r="D217" t="s">
        <v>40</v>
      </c>
      <c r="E217" t="s">
        <v>31</v>
      </c>
      <c r="F217" s="2">
        <v>46071.920632499998</v>
      </c>
      <c r="AC217" s="24">
        <f t="shared" ca="1" si="7"/>
        <v>62.079367500002263</v>
      </c>
      <c r="AD217" s="25" t="str">
        <f t="shared" ca="1" si="8"/>
        <v>&gt;60 dias</v>
      </c>
      <c r="AE217" s="25">
        <f>MONTH(Tabela1[[#This Row],[Criado em]])</f>
        <v>2</v>
      </c>
      <c r="AF217" s="25">
        <f>YEAR(Tabela1[[#This Row],[Criado em]])</f>
        <v>2026</v>
      </c>
      <c r="AG217" s="25">
        <f>COUNTIFS(Tabela1[Mês],Tabela1[[#This Row],[Mês]])</f>
        <v>197</v>
      </c>
      <c r="AH217" s="25">
        <f>COUNTIFS(Tabela1[Mês],Tabela1[[#This Row],[Mês]],Tabela1[Fase atual],"Recebido")</f>
        <v>124</v>
      </c>
      <c r="AI217" s="26">
        <f>Tabela1[[#This Row],[Recebido_ Mes]]/Tabela1[[#This Row],[Total_Mes]]</f>
        <v>0.62944162436548223</v>
      </c>
      <c r="AJ217" s="19">
        <f>COUNTIFS(Tabela1[Fase atual],"Recebido",Tabela1[Mês],Tabela1[[#This Row],[Mês]],Tabela1[Ano],Tabela1[[#This Row],[Ano]])/COUNTIF(Tabela1[Mês],Tabela1[[#This Row],[Mês]])</f>
        <v>0.62944162436548223</v>
      </c>
      <c r="AK217" s="20">
        <f>100%</f>
        <v>1</v>
      </c>
    </row>
    <row r="218" spans="1:37" ht="18" customHeight="1" x14ac:dyDescent="0.25">
      <c r="A218">
        <v>1216121276</v>
      </c>
      <c r="B218" t="s">
        <v>339</v>
      </c>
      <c r="C218" t="s">
        <v>949</v>
      </c>
      <c r="D218" t="s">
        <v>37</v>
      </c>
      <c r="E218" t="s">
        <v>31</v>
      </c>
      <c r="F218" s="2">
        <v>45917.796275289351</v>
      </c>
      <c r="AC218" s="24">
        <f t="shared" ca="1" si="7"/>
        <v>216.20372471064911</v>
      </c>
      <c r="AD218" s="25" t="str">
        <f t="shared" ca="1" si="8"/>
        <v>&gt;60 dias</v>
      </c>
      <c r="AE218" s="25">
        <f>MONTH(Tabela1[[#This Row],[Criado em]])</f>
        <v>9</v>
      </c>
      <c r="AF218" s="25">
        <f>YEAR(Tabela1[[#This Row],[Criado em]])</f>
        <v>2025</v>
      </c>
      <c r="AG218" s="25">
        <f>COUNTIFS(Tabela1[Mês],Tabela1[[#This Row],[Mês]])</f>
        <v>197</v>
      </c>
      <c r="AH218" s="25">
        <f>COUNTIFS(Tabela1[Mês],Tabela1[[#This Row],[Mês]],Tabela1[Fase atual],"Recebido")</f>
        <v>152</v>
      </c>
      <c r="AI218" s="26">
        <f>Tabela1[[#This Row],[Recebido_ Mes]]/Tabela1[[#This Row],[Total_Mes]]</f>
        <v>0.77157360406091369</v>
      </c>
      <c r="AJ218" s="19">
        <f>COUNTIFS(Tabela1[Fase atual],"Recebido",Tabela1[Mês],Tabela1[[#This Row],[Mês]],Tabela1[Ano],Tabela1[[#This Row],[Ano]])/COUNTIF(Tabela1[Mês],Tabela1[[#This Row],[Mês]])</f>
        <v>0.77157360406091369</v>
      </c>
      <c r="AK218" s="20">
        <f>100%</f>
        <v>1</v>
      </c>
    </row>
    <row r="219" spans="1:37" ht="18" customHeight="1" x14ac:dyDescent="0.25">
      <c r="A219">
        <v>1198887371</v>
      </c>
      <c r="B219" t="s">
        <v>950</v>
      </c>
      <c r="C219" t="s">
        <v>951</v>
      </c>
      <c r="D219" t="s">
        <v>37</v>
      </c>
      <c r="E219" t="s">
        <v>31</v>
      </c>
      <c r="F219" s="2">
        <v>45889.851847407408</v>
      </c>
      <c r="AC219" s="24">
        <f t="shared" ca="1" si="7"/>
        <v>244.14815259259194</v>
      </c>
      <c r="AD219" s="25" t="str">
        <f t="shared" ca="1" si="8"/>
        <v>&gt;60 dias</v>
      </c>
      <c r="AE219" s="25">
        <f>MONTH(Tabela1[[#This Row],[Criado em]])</f>
        <v>8</v>
      </c>
      <c r="AF219" s="25">
        <f>YEAR(Tabela1[[#This Row],[Criado em]])</f>
        <v>2025</v>
      </c>
      <c r="AG219" s="25">
        <f>COUNTIFS(Tabela1[Mês],Tabela1[[#This Row],[Mês]])</f>
        <v>146</v>
      </c>
      <c r="AH219" s="25">
        <f>COUNTIFS(Tabela1[Mês],Tabela1[[#This Row],[Mês]],Tabela1[Fase atual],"Recebido")</f>
        <v>115</v>
      </c>
      <c r="AI219" s="26">
        <f>Tabela1[[#This Row],[Recebido_ Mes]]/Tabela1[[#This Row],[Total_Mes]]</f>
        <v>0.78767123287671237</v>
      </c>
      <c r="AJ219" s="19">
        <f>COUNTIFS(Tabela1[Fase atual],"Recebido",Tabela1[Mês],Tabela1[[#This Row],[Mês]],Tabela1[Ano],Tabela1[[#This Row],[Ano]])/COUNTIF(Tabela1[Mês],Tabela1[[#This Row],[Mês]])</f>
        <v>0.78767123287671237</v>
      </c>
      <c r="AK219" s="20">
        <f>100%</f>
        <v>1</v>
      </c>
    </row>
    <row r="220" spans="1:37" ht="18" customHeight="1" x14ac:dyDescent="0.25">
      <c r="A220">
        <v>1184721977</v>
      </c>
      <c r="B220" t="s">
        <v>950</v>
      </c>
      <c r="C220" t="s">
        <v>951</v>
      </c>
      <c r="D220" t="s">
        <v>37</v>
      </c>
      <c r="E220" t="s">
        <v>31</v>
      </c>
      <c r="F220" s="2">
        <v>45866.852163854172</v>
      </c>
      <c r="AC220" s="24">
        <f t="shared" ca="1" si="7"/>
        <v>267.14783614582848</v>
      </c>
      <c r="AD220" s="25" t="str">
        <f t="shared" ca="1" si="8"/>
        <v>&gt;60 dias</v>
      </c>
      <c r="AE220" s="25">
        <f>MONTH(Tabela1[[#This Row],[Criado em]])</f>
        <v>7</v>
      </c>
      <c r="AF220" s="25">
        <f>YEAR(Tabela1[[#This Row],[Criado em]])</f>
        <v>2025</v>
      </c>
      <c r="AG220" s="25">
        <f>COUNTIFS(Tabela1[Mês],Tabela1[[#This Row],[Mês]])</f>
        <v>177</v>
      </c>
      <c r="AH220" s="25">
        <f>COUNTIFS(Tabela1[Mês],Tabela1[[#This Row],[Mês]],Tabela1[Fase atual],"Recebido")</f>
        <v>130</v>
      </c>
      <c r="AI220" s="26">
        <f>Tabela1[[#This Row],[Recebido_ Mes]]/Tabela1[[#This Row],[Total_Mes]]</f>
        <v>0.7344632768361582</v>
      </c>
      <c r="AJ220" s="19">
        <f>COUNTIFS(Tabela1[Fase atual],"Recebido",Tabela1[Mês],Tabela1[[#This Row],[Mês]],Tabela1[Ano],Tabela1[[#This Row],[Ano]])/COUNTIF(Tabela1[Mês],Tabela1[[#This Row],[Mês]])</f>
        <v>0.7344632768361582</v>
      </c>
      <c r="AK220" s="20">
        <f>100%</f>
        <v>1</v>
      </c>
    </row>
    <row r="221" spans="1:37" ht="18" customHeight="1" x14ac:dyDescent="0.25">
      <c r="A221">
        <v>1225455826</v>
      </c>
      <c r="B221" t="s">
        <v>950</v>
      </c>
      <c r="C221" t="s">
        <v>2189</v>
      </c>
      <c r="D221" t="s">
        <v>40</v>
      </c>
      <c r="E221" t="s">
        <v>31</v>
      </c>
      <c r="F221" s="2">
        <v>45931.851109201387</v>
      </c>
      <c r="AC221" s="24">
        <f t="shared" ca="1" si="7"/>
        <v>202.14889079861314</v>
      </c>
      <c r="AD221" s="25" t="str">
        <f t="shared" ca="1" si="8"/>
        <v>&gt;60 dias</v>
      </c>
      <c r="AE221" s="25">
        <f>MONTH(Tabela1[[#This Row],[Criado em]])</f>
        <v>10</v>
      </c>
      <c r="AF221" s="25">
        <f>YEAR(Tabela1[[#This Row],[Criado em]])</f>
        <v>2025</v>
      </c>
      <c r="AG221" s="25">
        <f>COUNTIFS(Tabela1[Mês],Tabela1[[#This Row],[Mês]])</f>
        <v>196</v>
      </c>
      <c r="AH221" s="25">
        <f>COUNTIFS(Tabela1[Mês],Tabela1[[#This Row],[Mês]],Tabela1[Fase atual],"Recebido")</f>
        <v>138</v>
      </c>
      <c r="AI221" s="26">
        <f>Tabela1[[#This Row],[Recebido_ Mes]]/Tabela1[[#This Row],[Total_Mes]]</f>
        <v>0.70408163265306123</v>
      </c>
      <c r="AJ221" s="19">
        <f>COUNTIFS(Tabela1[Fase atual],"Recebido",Tabela1[Mês],Tabela1[[#This Row],[Mês]],Tabela1[Ano],Tabela1[[#This Row],[Ano]])/COUNTIF(Tabela1[Mês],Tabela1[[#This Row],[Mês]])</f>
        <v>0.70408163265306123</v>
      </c>
      <c r="AK221" s="20">
        <f>100%</f>
        <v>1</v>
      </c>
    </row>
    <row r="222" spans="1:37" ht="18" customHeight="1" x14ac:dyDescent="0.25">
      <c r="A222">
        <v>1270229755</v>
      </c>
      <c r="B222" t="s">
        <v>950</v>
      </c>
      <c r="C222" t="s">
        <v>952</v>
      </c>
      <c r="D222" t="s">
        <v>37</v>
      </c>
      <c r="E222" t="s">
        <v>31</v>
      </c>
      <c r="F222" s="2">
        <v>46009.84629159722</v>
      </c>
      <c r="AC222" s="24">
        <f t="shared" ca="1" si="7"/>
        <v>124.15370840278047</v>
      </c>
      <c r="AD222" s="25" t="str">
        <f t="shared" ca="1" si="8"/>
        <v>&gt;60 dias</v>
      </c>
      <c r="AE222" s="25">
        <f>MONTH(Tabela1[[#This Row],[Criado em]])</f>
        <v>12</v>
      </c>
      <c r="AF222" s="25">
        <f>YEAR(Tabela1[[#This Row],[Criado em]])</f>
        <v>2025</v>
      </c>
      <c r="AG222" s="25">
        <f>COUNTIFS(Tabela1[Mês],Tabela1[[#This Row],[Mês]])</f>
        <v>207</v>
      </c>
      <c r="AH222" s="25">
        <f>COUNTIFS(Tabela1[Mês],Tabela1[[#This Row],[Mês]],Tabela1[Fase atual],"Recebido")</f>
        <v>155</v>
      </c>
      <c r="AI222" s="26">
        <f>Tabela1[[#This Row],[Recebido_ Mes]]/Tabela1[[#This Row],[Total_Mes]]</f>
        <v>0.74879227053140096</v>
      </c>
      <c r="AJ222" s="19">
        <f>COUNTIFS(Tabela1[Fase atual],"Recebido",Tabela1[Mês],Tabela1[[#This Row],[Mês]],Tabela1[Ano],Tabela1[[#This Row],[Ano]])/COUNTIF(Tabela1[Mês],Tabela1[[#This Row],[Mês]])</f>
        <v>0.74879227053140096</v>
      </c>
      <c r="AK222" s="20">
        <f>100%</f>
        <v>1</v>
      </c>
    </row>
    <row r="223" spans="1:37" ht="18" customHeight="1" x14ac:dyDescent="0.25">
      <c r="A223">
        <v>1223951360</v>
      </c>
      <c r="B223" t="s">
        <v>953</v>
      </c>
      <c r="C223" t="s">
        <v>954</v>
      </c>
      <c r="D223" t="s">
        <v>40</v>
      </c>
      <c r="E223" t="s">
        <v>31</v>
      </c>
      <c r="F223" s="2">
        <v>45929.860165057871</v>
      </c>
      <c r="AC223" s="24">
        <f t="shared" ca="1" si="7"/>
        <v>204.1398349421288</v>
      </c>
      <c r="AD223" s="25" t="str">
        <f t="shared" ca="1" si="8"/>
        <v>&gt;60 dias</v>
      </c>
      <c r="AE223" s="25">
        <f>MONTH(Tabela1[[#This Row],[Criado em]])</f>
        <v>9</v>
      </c>
      <c r="AF223" s="25">
        <f>YEAR(Tabela1[[#This Row],[Criado em]])</f>
        <v>2025</v>
      </c>
      <c r="AG223" s="25">
        <f>COUNTIFS(Tabela1[Mês],Tabela1[[#This Row],[Mês]])</f>
        <v>197</v>
      </c>
      <c r="AH223" s="25">
        <f>COUNTIFS(Tabela1[Mês],Tabela1[[#This Row],[Mês]],Tabela1[Fase atual],"Recebido")</f>
        <v>152</v>
      </c>
      <c r="AI223" s="26">
        <f>Tabela1[[#This Row],[Recebido_ Mes]]/Tabela1[[#This Row],[Total_Mes]]</f>
        <v>0.77157360406091369</v>
      </c>
      <c r="AJ223" s="19">
        <f>COUNTIFS(Tabela1[Fase atual],"Recebido",Tabela1[Mês],Tabela1[[#This Row],[Mês]],Tabela1[Ano],Tabela1[[#This Row],[Ano]])/COUNTIF(Tabela1[Mês],Tabela1[[#This Row],[Mês]])</f>
        <v>0.77157360406091369</v>
      </c>
      <c r="AK223" s="20">
        <f>100%</f>
        <v>1</v>
      </c>
    </row>
    <row r="224" spans="1:37" ht="18" customHeight="1" x14ac:dyDescent="0.25">
      <c r="A224">
        <v>1215955937</v>
      </c>
      <c r="B224" t="s">
        <v>955</v>
      </c>
      <c r="C224" t="s">
        <v>956</v>
      </c>
      <c r="D224" t="s">
        <v>37</v>
      </c>
      <c r="E224" t="s">
        <v>31</v>
      </c>
      <c r="F224" s="2">
        <v>45917.642671921298</v>
      </c>
      <c r="AC224" s="24">
        <f t="shared" ca="1" si="7"/>
        <v>216.35732807870227</v>
      </c>
      <c r="AD224" s="25" t="str">
        <f t="shared" ca="1" si="8"/>
        <v>&gt;60 dias</v>
      </c>
      <c r="AE224" s="25">
        <f>MONTH(Tabela1[[#This Row],[Criado em]])</f>
        <v>9</v>
      </c>
      <c r="AF224" s="25">
        <f>YEAR(Tabela1[[#This Row],[Criado em]])</f>
        <v>2025</v>
      </c>
      <c r="AG224" s="25">
        <f>COUNTIFS(Tabela1[Mês],Tabela1[[#This Row],[Mês]])</f>
        <v>197</v>
      </c>
      <c r="AH224" s="25">
        <f>COUNTIFS(Tabela1[Mês],Tabela1[[#This Row],[Mês]],Tabela1[Fase atual],"Recebido")</f>
        <v>152</v>
      </c>
      <c r="AI224" s="26">
        <f>Tabela1[[#This Row],[Recebido_ Mes]]/Tabela1[[#This Row],[Total_Mes]]</f>
        <v>0.77157360406091369</v>
      </c>
      <c r="AJ224" s="19">
        <f>COUNTIFS(Tabela1[Fase atual],"Recebido",Tabela1[Mês],Tabela1[[#This Row],[Mês]],Tabela1[Ano],Tabela1[[#This Row],[Ano]])/COUNTIF(Tabela1[Mês],Tabela1[[#This Row],[Mês]])</f>
        <v>0.77157360406091369</v>
      </c>
      <c r="AK224" s="20">
        <f>100%</f>
        <v>1</v>
      </c>
    </row>
    <row r="225" spans="1:37" ht="18" customHeight="1" x14ac:dyDescent="0.25">
      <c r="A225">
        <v>1186004846</v>
      </c>
      <c r="B225" t="s">
        <v>955</v>
      </c>
      <c r="C225" t="s">
        <v>956</v>
      </c>
      <c r="D225" t="s">
        <v>37</v>
      </c>
      <c r="E225" t="s">
        <v>31</v>
      </c>
      <c r="F225" s="2">
        <v>45868.851137418977</v>
      </c>
      <c r="AC225" s="24">
        <f t="shared" ca="1" si="7"/>
        <v>265.14886258102342</v>
      </c>
      <c r="AD225" s="25" t="str">
        <f t="shared" ca="1" si="8"/>
        <v>&gt;60 dias</v>
      </c>
      <c r="AE225" s="25">
        <f>MONTH(Tabela1[[#This Row],[Criado em]])</f>
        <v>7</v>
      </c>
      <c r="AF225" s="25">
        <f>YEAR(Tabela1[[#This Row],[Criado em]])</f>
        <v>2025</v>
      </c>
      <c r="AG225" s="25">
        <f>COUNTIFS(Tabela1[Mês],Tabela1[[#This Row],[Mês]])</f>
        <v>177</v>
      </c>
      <c r="AH225" s="25">
        <f>COUNTIFS(Tabela1[Mês],Tabela1[[#This Row],[Mês]],Tabela1[Fase atual],"Recebido")</f>
        <v>130</v>
      </c>
      <c r="AI225" s="26">
        <f>Tabela1[[#This Row],[Recebido_ Mes]]/Tabela1[[#This Row],[Total_Mes]]</f>
        <v>0.7344632768361582</v>
      </c>
      <c r="AJ225" s="19">
        <f>COUNTIFS(Tabela1[Fase atual],"Recebido",Tabela1[Mês],Tabela1[[#This Row],[Mês]],Tabela1[Ano],Tabela1[[#This Row],[Ano]])/COUNTIF(Tabela1[Mês],Tabela1[[#This Row],[Mês]])</f>
        <v>0.7344632768361582</v>
      </c>
      <c r="AK225" s="20">
        <f>100%</f>
        <v>1</v>
      </c>
    </row>
    <row r="226" spans="1:37" ht="18" customHeight="1" x14ac:dyDescent="0.25">
      <c r="A226">
        <v>1181275700</v>
      </c>
      <c r="B226" t="s">
        <v>955</v>
      </c>
      <c r="C226" t="s">
        <v>957</v>
      </c>
      <c r="D226" t="s">
        <v>37</v>
      </c>
      <c r="E226" t="s">
        <v>31</v>
      </c>
      <c r="F226" s="2">
        <v>45860.85119872685</v>
      </c>
      <c r="AC226" s="24">
        <f t="shared" ca="1" si="7"/>
        <v>273.14880127314973</v>
      </c>
      <c r="AD226" s="25" t="str">
        <f t="shared" ca="1" si="8"/>
        <v>&gt;60 dias</v>
      </c>
      <c r="AE226" s="25">
        <f>MONTH(Tabela1[[#This Row],[Criado em]])</f>
        <v>7</v>
      </c>
      <c r="AF226" s="25">
        <f>YEAR(Tabela1[[#This Row],[Criado em]])</f>
        <v>2025</v>
      </c>
      <c r="AG226" s="25">
        <f>COUNTIFS(Tabela1[Mês],Tabela1[[#This Row],[Mês]])</f>
        <v>177</v>
      </c>
      <c r="AH226" s="25">
        <f>COUNTIFS(Tabela1[Mês],Tabela1[[#This Row],[Mês]],Tabela1[Fase atual],"Recebido")</f>
        <v>130</v>
      </c>
      <c r="AI226" s="26">
        <f>Tabela1[[#This Row],[Recebido_ Mes]]/Tabela1[[#This Row],[Total_Mes]]</f>
        <v>0.7344632768361582</v>
      </c>
      <c r="AJ226" s="19">
        <f>COUNTIFS(Tabela1[Fase atual],"Recebido",Tabela1[Mês],Tabela1[[#This Row],[Mês]],Tabela1[Ano],Tabela1[[#This Row],[Ano]])/COUNTIF(Tabela1[Mês],Tabela1[[#This Row],[Mês]])</f>
        <v>0.7344632768361582</v>
      </c>
      <c r="AK226" s="20">
        <f>100%</f>
        <v>1</v>
      </c>
    </row>
    <row r="227" spans="1:37" ht="18" customHeight="1" x14ac:dyDescent="0.25">
      <c r="A227">
        <v>1179015888</v>
      </c>
      <c r="B227" t="s">
        <v>958</v>
      </c>
      <c r="C227" t="s">
        <v>959</v>
      </c>
      <c r="D227" t="s">
        <v>37</v>
      </c>
      <c r="E227" t="s">
        <v>31</v>
      </c>
      <c r="F227" s="2">
        <v>45856.851692106487</v>
      </c>
      <c r="AC227" s="24">
        <f t="shared" ca="1" si="7"/>
        <v>277.14830789351254</v>
      </c>
      <c r="AD227" s="25" t="str">
        <f t="shared" ca="1" si="8"/>
        <v>&gt;60 dias</v>
      </c>
      <c r="AE227" s="25">
        <f>MONTH(Tabela1[[#This Row],[Criado em]])</f>
        <v>7</v>
      </c>
      <c r="AF227" s="25">
        <f>YEAR(Tabela1[[#This Row],[Criado em]])</f>
        <v>2025</v>
      </c>
      <c r="AG227" s="25">
        <f>COUNTIFS(Tabela1[Mês],Tabela1[[#This Row],[Mês]])</f>
        <v>177</v>
      </c>
      <c r="AH227" s="25">
        <f>COUNTIFS(Tabela1[Mês],Tabela1[[#This Row],[Mês]],Tabela1[Fase atual],"Recebido")</f>
        <v>130</v>
      </c>
      <c r="AI227" s="26">
        <f>Tabela1[[#This Row],[Recebido_ Mes]]/Tabela1[[#This Row],[Total_Mes]]</f>
        <v>0.7344632768361582</v>
      </c>
      <c r="AJ227" s="19">
        <f>COUNTIFS(Tabela1[Fase atual],"Recebido",Tabela1[Mês],Tabela1[[#This Row],[Mês]],Tabela1[Ano],Tabela1[[#This Row],[Ano]])/COUNTIF(Tabela1[Mês],Tabela1[[#This Row],[Mês]])</f>
        <v>0.7344632768361582</v>
      </c>
      <c r="AK227" s="20">
        <f>100%</f>
        <v>1</v>
      </c>
    </row>
    <row r="228" spans="1:37" ht="18" customHeight="1" x14ac:dyDescent="0.25">
      <c r="A228">
        <v>1278220409</v>
      </c>
      <c r="B228" t="s">
        <v>120</v>
      </c>
      <c r="C228" t="s">
        <v>121</v>
      </c>
      <c r="D228" t="s">
        <v>40</v>
      </c>
      <c r="E228" t="s">
        <v>31</v>
      </c>
      <c r="F228" s="2">
        <v>46029.628468877323</v>
      </c>
      <c r="AC228" s="24">
        <f t="shared" ca="1" si="7"/>
        <v>104.37153112267697</v>
      </c>
      <c r="AD228" s="25" t="str">
        <f t="shared" ca="1" si="8"/>
        <v>&gt;60 dias</v>
      </c>
      <c r="AE228" s="25">
        <f>MONTH(Tabela1[[#This Row],[Criado em]])</f>
        <v>1</v>
      </c>
      <c r="AF228" s="25">
        <f>YEAR(Tabela1[[#This Row],[Criado em]])</f>
        <v>2026</v>
      </c>
      <c r="AG228" s="25">
        <f>COUNTIFS(Tabela1[Mês],Tabela1[[#This Row],[Mês]])</f>
        <v>222</v>
      </c>
      <c r="AH228" s="25">
        <f>COUNTIFS(Tabela1[Mês],Tabela1[[#This Row],[Mês]],Tabela1[Fase atual],"Recebido")</f>
        <v>174</v>
      </c>
      <c r="AI228" s="26">
        <f>Tabela1[[#This Row],[Recebido_ Mes]]/Tabela1[[#This Row],[Total_Mes]]</f>
        <v>0.78378378378378377</v>
      </c>
      <c r="AJ228" s="19">
        <f>COUNTIFS(Tabela1[Fase atual],"Recebido",Tabela1[Mês],Tabela1[[#This Row],[Mês]],Tabela1[Ano],Tabela1[[#This Row],[Ano]])/COUNTIF(Tabela1[Mês],Tabela1[[#This Row],[Mês]])</f>
        <v>0.78378378378378377</v>
      </c>
      <c r="AK228" s="20">
        <f>100%</f>
        <v>1</v>
      </c>
    </row>
    <row r="229" spans="1:37" ht="18" customHeight="1" x14ac:dyDescent="0.25">
      <c r="A229">
        <v>1285246692</v>
      </c>
      <c r="B229" t="s">
        <v>120</v>
      </c>
      <c r="C229" t="s">
        <v>122</v>
      </c>
      <c r="D229" t="s">
        <v>2184</v>
      </c>
      <c r="E229" t="s">
        <v>31</v>
      </c>
      <c r="F229" s="2">
        <v>46043.794032430553</v>
      </c>
      <c r="AC229" s="24">
        <f t="shared" ca="1" si="7"/>
        <v>90.205967569447239</v>
      </c>
      <c r="AD229" s="25" t="str">
        <f t="shared" ca="1" si="8"/>
        <v>&gt;60 dias</v>
      </c>
      <c r="AE229" s="25">
        <f>MONTH(Tabela1[[#This Row],[Criado em]])</f>
        <v>1</v>
      </c>
      <c r="AF229" s="25">
        <f>YEAR(Tabela1[[#This Row],[Criado em]])</f>
        <v>2026</v>
      </c>
      <c r="AG229" s="25">
        <f>COUNTIFS(Tabela1[Mês],Tabela1[[#This Row],[Mês]])</f>
        <v>222</v>
      </c>
      <c r="AH229" s="25">
        <f>COUNTIFS(Tabela1[Mês],Tabela1[[#This Row],[Mês]],Tabela1[Fase atual],"Recebido")</f>
        <v>174</v>
      </c>
      <c r="AI229" s="26">
        <f>Tabela1[[#This Row],[Recebido_ Mes]]/Tabela1[[#This Row],[Total_Mes]]</f>
        <v>0.78378378378378377</v>
      </c>
      <c r="AJ229" s="19">
        <f>COUNTIFS(Tabela1[Fase atual],"Recebido",Tabela1[Mês],Tabela1[[#This Row],[Mês]],Tabela1[Ano],Tabela1[[#This Row],[Ano]])/COUNTIF(Tabela1[Mês],Tabela1[[#This Row],[Mês]])</f>
        <v>0.78378378378378377</v>
      </c>
      <c r="AK229" s="20">
        <f>100%</f>
        <v>1</v>
      </c>
    </row>
    <row r="230" spans="1:37" ht="18" customHeight="1" x14ac:dyDescent="0.25">
      <c r="A230">
        <v>1291854044</v>
      </c>
      <c r="B230" t="s">
        <v>123</v>
      </c>
      <c r="C230" t="s">
        <v>124</v>
      </c>
      <c r="D230" t="s">
        <v>37</v>
      </c>
      <c r="E230" t="s">
        <v>31</v>
      </c>
      <c r="F230" s="2">
        <v>46055.629059189807</v>
      </c>
      <c r="AC230" s="24">
        <f t="shared" ca="1" si="7"/>
        <v>78.370940810193133</v>
      </c>
      <c r="AD230" s="25" t="str">
        <f t="shared" ca="1" si="8"/>
        <v>&gt;60 dias</v>
      </c>
      <c r="AE230" s="25">
        <f>MONTH(Tabela1[[#This Row],[Criado em]])</f>
        <v>2</v>
      </c>
      <c r="AF230" s="25">
        <f>YEAR(Tabela1[[#This Row],[Criado em]])</f>
        <v>2026</v>
      </c>
      <c r="AG230" s="25">
        <f>COUNTIFS(Tabela1[Mês],Tabela1[[#This Row],[Mês]])</f>
        <v>197</v>
      </c>
      <c r="AH230" s="25">
        <f>COUNTIFS(Tabela1[Mês],Tabela1[[#This Row],[Mês]],Tabela1[Fase atual],"Recebido")</f>
        <v>124</v>
      </c>
      <c r="AI230" s="26">
        <f>Tabela1[[#This Row],[Recebido_ Mes]]/Tabela1[[#This Row],[Total_Mes]]</f>
        <v>0.62944162436548223</v>
      </c>
      <c r="AJ230" s="19">
        <f>COUNTIFS(Tabela1[Fase atual],"Recebido",Tabela1[Mês],Tabela1[[#This Row],[Mês]],Tabela1[Ano],Tabela1[[#This Row],[Ano]])/COUNTIF(Tabela1[Mês],Tabela1[[#This Row],[Mês]])</f>
        <v>0.62944162436548223</v>
      </c>
      <c r="AK230" s="20">
        <f>100%</f>
        <v>1</v>
      </c>
    </row>
    <row r="231" spans="1:37" ht="18" customHeight="1" x14ac:dyDescent="0.25">
      <c r="A231">
        <v>1276427641</v>
      </c>
      <c r="B231" t="s">
        <v>123</v>
      </c>
      <c r="C231" t="s">
        <v>124</v>
      </c>
      <c r="D231" t="s">
        <v>37</v>
      </c>
      <c r="E231" t="s">
        <v>31</v>
      </c>
      <c r="F231" s="2">
        <v>46027.724455312513</v>
      </c>
      <c r="AC231" s="24">
        <f t="shared" ca="1" si="7"/>
        <v>106.27554468748713</v>
      </c>
      <c r="AD231" s="25" t="str">
        <f t="shared" ca="1" si="8"/>
        <v>&gt;60 dias</v>
      </c>
      <c r="AE231" s="25">
        <f>MONTH(Tabela1[[#This Row],[Criado em]])</f>
        <v>1</v>
      </c>
      <c r="AF231" s="25">
        <f>YEAR(Tabela1[[#This Row],[Criado em]])</f>
        <v>2026</v>
      </c>
      <c r="AG231" s="25">
        <f>COUNTIFS(Tabela1[Mês],Tabela1[[#This Row],[Mês]])</f>
        <v>222</v>
      </c>
      <c r="AH231" s="25">
        <f>COUNTIFS(Tabela1[Mês],Tabela1[[#This Row],[Mês]],Tabela1[Fase atual],"Recebido")</f>
        <v>174</v>
      </c>
      <c r="AI231" s="26">
        <f>Tabela1[[#This Row],[Recebido_ Mes]]/Tabela1[[#This Row],[Total_Mes]]</f>
        <v>0.78378378378378377</v>
      </c>
      <c r="AJ231" s="19">
        <f>COUNTIFS(Tabela1[Fase atual],"Recebido",Tabela1[Mês],Tabela1[[#This Row],[Mês]],Tabela1[Ano],Tabela1[[#This Row],[Ano]])/COUNTIF(Tabela1[Mês],Tabela1[[#This Row],[Mês]])</f>
        <v>0.78378378378378377</v>
      </c>
      <c r="AK231" s="20">
        <f>100%</f>
        <v>1</v>
      </c>
    </row>
    <row r="232" spans="1:37" ht="18" customHeight="1" x14ac:dyDescent="0.25">
      <c r="A232">
        <v>1307301060</v>
      </c>
      <c r="B232" t="s">
        <v>125</v>
      </c>
      <c r="C232" t="s">
        <v>2190</v>
      </c>
      <c r="D232" t="s">
        <v>2179</v>
      </c>
      <c r="E232" t="s">
        <v>31</v>
      </c>
      <c r="F232" s="2">
        <v>46083.794643912042</v>
      </c>
      <c r="AC232" s="24">
        <f t="shared" ca="1" si="7"/>
        <v>50.205356087957625</v>
      </c>
      <c r="AD232" s="25" t="str">
        <f t="shared" ca="1" si="8"/>
        <v>31-60 dias</v>
      </c>
      <c r="AE232" s="25">
        <f>MONTH(Tabela1[[#This Row],[Criado em]])</f>
        <v>3</v>
      </c>
      <c r="AF232" s="25">
        <f>YEAR(Tabela1[[#This Row],[Criado em]])</f>
        <v>2026</v>
      </c>
      <c r="AG232" s="25">
        <f>COUNTIFS(Tabela1[Mês],Tabela1[[#This Row],[Mês]])</f>
        <v>62</v>
      </c>
      <c r="AH232" s="25">
        <f>COUNTIFS(Tabela1[Mês],Tabela1[[#This Row],[Mês]],Tabela1[Fase atual],"Recebido")</f>
        <v>13</v>
      </c>
      <c r="AI232" s="26">
        <f>Tabela1[[#This Row],[Recebido_ Mes]]/Tabela1[[#This Row],[Total_Mes]]</f>
        <v>0.20967741935483872</v>
      </c>
      <c r="AJ232" s="19">
        <f>COUNTIFS(Tabela1[Fase atual],"Recebido",Tabela1[Mês],Tabela1[[#This Row],[Mês]],Tabela1[Ano],Tabela1[[#This Row],[Ano]])/COUNTIF(Tabela1[Mês],Tabela1[[#This Row],[Mês]])</f>
        <v>0.20967741935483872</v>
      </c>
      <c r="AK232" s="20">
        <f>100%</f>
        <v>1</v>
      </c>
    </row>
    <row r="233" spans="1:37" ht="18" customHeight="1" x14ac:dyDescent="0.25">
      <c r="A233">
        <v>1285082992</v>
      </c>
      <c r="B233" t="s">
        <v>125</v>
      </c>
      <c r="C233" t="s">
        <v>126</v>
      </c>
      <c r="D233" t="s">
        <v>37</v>
      </c>
      <c r="E233" t="s">
        <v>31</v>
      </c>
      <c r="F233" s="2">
        <v>46043.628871550929</v>
      </c>
      <c r="AC233" s="24">
        <f t="shared" ca="1" si="7"/>
        <v>90.371128449070966</v>
      </c>
      <c r="AD233" s="25" t="str">
        <f t="shared" ca="1" si="8"/>
        <v>&gt;60 dias</v>
      </c>
      <c r="AE233" s="25">
        <f>MONTH(Tabela1[[#This Row],[Criado em]])</f>
        <v>1</v>
      </c>
      <c r="AF233" s="25">
        <f>YEAR(Tabela1[[#This Row],[Criado em]])</f>
        <v>2026</v>
      </c>
      <c r="AG233" s="25">
        <f>COUNTIFS(Tabela1[Mês],Tabela1[[#This Row],[Mês]])</f>
        <v>222</v>
      </c>
      <c r="AH233" s="25">
        <f>COUNTIFS(Tabela1[Mês],Tabela1[[#This Row],[Mês]],Tabela1[Fase atual],"Recebido")</f>
        <v>174</v>
      </c>
      <c r="AI233" s="26">
        <f>Tabela1[[#This Row],[Recebido_ Mes]]/Tabela1[[#This Row],[Total_Mes]]</f>
        <v>0.78378378378378377</v>
      </c>
      <c r="AJ233" s="19">
        <f>COUNTIFS(Tabela1[Fase atual],"Recebido",Tabela1[Mês],Tabela1[[#This Row],[Mês]],Tabela1[Ano],Tabela1[[#This Row],[Ano]])/COUNTIF(Tabela1[Mês],Tabela1[[#This Row],[Mês]])</f>
        <v>0.78378378378378377</v>
      </c>
      <c r="AK233" s="20">
        <f>100%</f>
        <v>1</v>
      </c>
    </row>
    <row r="234" spans="1:37" ht="18" customHeight="1" x14ac:dyDescent="0.25">
      <c r="A234">
        <v>1248814294</v>
      </c>
      <c r="B234" t="s">
        <v>960</v>
      </c>
      <c r="C234" t="s">
        <v>961</v>
      </c>
      <c r="D234" t="s">
        <v>37</v>
      </c>
      <c r="E234" t="s">
        <v>31</v>
      </c>
      <c r="F234" s="2">
        <v>45964.544375949074</v>
      </c>
      <c r="AC234" s="24">
        <f t="shared" ca="1" si="7"/>
        <v>169.45562405092642</v>
      </c>
      <c r="AD234" s="25" t="str">
        <f t="shared" ca="1" si="8"/>
        <v>&gt;60 dias</v>
      </c>
      <c r="AE234" s="25">
        <f>MONTH(Tabela1[[#This Row],[Criado em]])</f>
        <v>11</v>
      </c>
      <c r="AF234" s="25">
        <f>YEAR(Tabela1[[#This Row],[Criado em]])</f>
        <v>2025</v>
      </c>
      <c r="AG234" s="25">
        <f>COUNTIFS(Tabela1[Mês],Tabela1[[#This Row],[Mês]])</f>
        <v>130</v>
      </c>
      <c r="AH234" s="25">
        <f>COUNTIFS(Tabela1[Mês],Tabela1[[#This Row],[Mês]],Tabela1[Fase atual],"Recebido")</f>
        <v>100</v>
      </c>
      <c r="AI234" s="26">
        <f>Tabela1[[#This Row],[Recebido_ Mes]]/Tabela1[[#This Row],[Total_Mes]]</f>
        <v>0.76923076923076927</v>
      </c>
      <c r="AJ234" s="19">
        <f>COUNTIFS(Tabela1[Fase atual],"Recebido",Tabela1[Mês],Tabela1[[#This Row],[Mês]],Tabela1[Ano],Tabela1[[#This Row],[Ano]])/COUNTIF(Tabela1[Mês],Tabela1[[#This Row],[Mês]])</f>
        <v>0.76923076923076927</v>
      </c>
      <c r="AK234" s="20">
        <f>100%</f>
        <v>1</v>
      </c>
    </row>
    <row r="235" spans="1:37" ht="18" customHeight="1" x14ac:dyDescent="0.25">
      <c r="A235">
        <v>1225193772</v>
      </c>
      <c r="B235" t="s">
        <v>962</v>
      </c>
      <c r="C235" t="s">
        <v>963</v>
      </c>
      <c r="D235" t="s">
        <v>43</v>
      </c>
      <c r="E235" t="s">
        <v>31</v>
      </c>
      <c r="F235" s="2">
        <v>45931.643528043976</v>
      </c>
      <c r="AC235" s="24">
        <f t="shared" ca="1" si="7"/>
        <v>202.3564719560236</v>
      </c>
      <c r="AD235" s="25" t="str">
        <f t="shared" ca="1" si="8"/>
        <v>&gt;60 dias</v>
      </c>
      <c r="AE235" s="25">
        <f>MONTH(Tabela1[[#This Row],[Criado em]])</f>
        <v>10</v>
      </c>
      <c r="AF235" s="25">
        <f>YEAR(Tabela1[[#This Row],[Criado em]])</f>
        <v>2025</v>
      </c>
      <c r="AG235" s="25">
        <f>COUNTIFS(Tabela1[Mês],Tabela1[[#This Row],[Mês]])</f>
        <v>196</v>
      </c>
      <c r="AH235" s="25">
        <f>COUNTIFS(Tabela1[Mês],Tabela1[[#This Row],[Mês]],Tabela1[Fase atual],"Recebido")</f>
        <v>138</v>
      </c>
      <c r="AI235" s="26">
        <f>Tabela1[[#This Row],[Recebido_ Mes]]/Tabela1[[#This Row],[Total_Mes]]</f>
        <v>0.70408163265306123</v>
      </c>
      <c r="AJ235" s="19">
        <f>COUNTIFS(Tabela1[Fase atual],"Recebido",Tabela1[Mês],Tabela1[[#This Row],[Mês]],Tabela1[Ano],Tabela1[[#This Row],[Ano]])/COUNTIF(Tabela1[Mês],Tabela1[[#This Row],[Mês]])</f>
        <v>0.70408163265306123</v>
      </c>
      <c r="AK235" s="20">
        <f>100%</f>
        <v>1</v>
      </c>
    </row>
    <row r="236" spans="1:37" ht="18" customHeight="1" x14ac:dyDescent="0.25">
      <c r="A236">
        <v>1296525929</v>
      </c>
      <c r="B236" t="s">
        <v>127</v>
      </c>
      <c r="C236" t="s">
        <v>2191</v>
      </c>
      <c r="D236" t="s">
        <v>37</v>
      </c>
      <c r="E236" t="s">
        <v>31</v>
      </c>
      <c r="F236" s="2">
        <v>46064.793867199078</v>
      </c>
      <c r="AC236" s="24">
        <f t="shared" ca="1" si="7"/>
        <v>69.206132800922205</v>
      </c>
      <c r="AD236" s="25" t="str">
        <f t="shared" ca="1" si="8"/>
        <v>&gt;60 dias</v>
      </c>
      <c r="AE236" s="25">
        <f>MONTH(Tabela1[[#This Row],[Criado em]])</f>
        <v>2</v>
      </c>
      <c r="AF236" s="25">
        <f>YEAR(Tabela1[[#This Row],[Criado em]])</f>
        <v>2026</v>
      </c>
      <c r="AG236" s="25">
        <f>COUNTIFS(Tabela1[Mês],Tabela1[[#This Row],[Mês]])</f>
        <v>197</v>
      </c>
      <c r="AH236" s="25">
        <f>COUNTIFS(Tabela1[Mês],Tabela1[[#This Row],[Mês]],Tabela1[Fase atual],"Recebido")</f>
        <v>124</v>
      </c>
      <c r="AI236" s="26">
        <f>Tabela1[[#This Row],[Recebido_ Mes]]/Tabela1[[#This Row],[Total_Mes]]</f>
        <v>0.62944162436548223</v>
      </c>
      <c r="AJ236" s="19">
        <f>COUNTIFS(Tabela1[Fase atual],"Recebido",Tabela1[Mês],Tabela1[[#This Row],[Mês]],Tabela1[Ano],Tabela1[[#This Row],[Ano]])/COUNTIF(Tabela1[Mês],Tabela1[[#This Row],[Mês]])</f>
        <v>0.62944162436548223</v>
      </c>
      <c r="AK236" s="20">
        <f>100%</f>
        <v>1</v>
      </c>
    </row>
    <row r="237" spans="1:37" ht="18" customHeight="1" x14ac:dyDescent="0.25">
      <c r="A237">
        <v>1310660920</v>
      </c>
      <c r="C237" t="s">
        <v>2192</v>
      </c>
      <c r="D237" t="s">
        <v>2184</v>
      </c>
      <c r="E237" t="s">
        <v>31</v>
      </c>
      <c r="F237" s="2">
        <v>46087.647115057873</v>
      </c>
      <c r="AC237" s="24">
        <f t="shared" ca="1" si="7"/>
        <v>46.352884942127275</v>
      </c>
      <c r="AD237" s="25" t="str">
        <f t="shared" ca="1" si="8"/>
        <v>31-60 dias</v>
      </c>
      <c r="AE237" s="25">
        <f>MONTH(Tabela1[[#This Row],[Criado em]])</f>
        <v>3</v>
      </c>
      <c r="AF237" s="25">
        <f>YEAR(Tabela1[[#This Row],[Criado em]])</f>
        <v>2026</v>
      </c>
      <c r="AG237" s="25">
        <f>COUNTIFS(Tabela1[Mês],Tabela1[[#This Row],[Mês]])</f>
        <v>62</v>
      </c>
      <c r="AH237" s="25">
        <f>COUNTIFS(Tabela1[Mês],Tabela1[[#This Row],[Mês]],Tabela1[Fase atual],"Recebido")</f>
        <v>13</v>
      </c>
      <c r="AI237" s="26">
        <f>Tabela1[[#This Row],[Recebido_ Mes]]/Tabela1[[#This Row],[Total_Mes]]</f>
        <v>0.20967741935483872</v>
      </c>
      <c r="AJ237" s="19">
        <f>COUNTIFS(Tabela1[Fase atual],"Recebido",Tabela1[Mês],Tabela1[[#This Row],[Mês]],Tabela1[Ano],Tabela1[[#This Row],[Ano]])/COUNTIF(Tabela1[Mês],Tabela1[[#This Row],[Mês]])</f>
        <v>0.20967741935483872</v>
      </c>
      <c r="AK237" s="20">
        <f>100%</f>
        <v>1</v>
      </c>
    </row>
    <row r="238" spans="1:37" ht="18" customHeight="1" x14ac:dyDescent="0.25">
      <c r="A238">
        <v>1245631934</v>
      </c>
      <c r="B238" t="s">
        <v>964</v>
      </c>
      <c r="C238" t="s">
        <v>965</v>
      </c>
      <c r="D238" t="s">
        <v>37</v>
      </c>
      <c r="E238" t="s">
        <v>31</v>
      </c>
      <c r="F238" s="2">
        <v>45957.795125590274</v>
      </c>
      <c r="AC238" s="24">
        <f t="shared" ca="1" si="7"/>
        <v>176.20487440972647</v>
      </c>
      <c r="AD238" s="25" t="str">
        <f t="shared" ca="1" si="8"/>
        <v>&gt;60 dias</v>
      </c>
      <c r="AE238" s="25">
        <f>MONTH(Tabela1[[#This Row],[Criado em]])</f>
        <v>10</v>
      </c>
      <c r="AF238" s="25">
        <f>YEAR(Tabela1[[#This Row],[Criado em]])</f>
        <v>2025</v>
      </c>
      <c r="AG238" s="25">
        <f>COUNTIFS(Tabela1[Mês],Tabela1[[#This Row],[Mês]])</f>
        <v>196</v>
      </c>
      <c r="AH238" s="25">
        <f>COUNTIFS(Tabela1[Mês],Tabela1[[#This Row],[Mês]],Tabela1[Fase atual],"Recebido")</f>
        <v>138</v>
      </c>
      <c r="AI238" s="26">
        <f>Tabela1[[#This Row],[Recebido_ Mes]]/Tabela1[[#This Row],[Total_Mes]]</f>
        <v>0.70408163265306123</v>
      </c>
      <c r="AJ238" s="19">
        <f>COUNTIFS(Tabela1[Fase atual],"Recebido",Tabela1[Mês],Tabela1[[#This Row],[Mês]],Tabela1[Ano],Tabela1[[#This Row],[Ano]])/COUNTIF(Tabela1[Mês],Tabela1[[#This Row],[Mês]])</f>
        <v>0.70408163265306123</v>
      </c>
      <c r="AK238" s="20">
        <f>100%</f>
        <v>1</v>
      </c>
    </row>
    <row r="239" spans="1:37" ht="18" customHeight="1" x14ac:dyDescent="0.25">
      <c r="A239">
        <v>1259221519</v>
      </c>
      <c r="B239" t="s">
        <v>964</v>
      </c>
      <c r="C239" t="s">
        <v>965</v>
      </c>
      <c r="D239" t="s">
        <v>37</v>
      </c>
      <c r="E239" t="s">
        <v>31</v>
      </c>
      <c r="F239" s="2">
        <v>45986.545740243047</v>
      </c>
      <c r="AC239" s="24">
        <f t="shared" ca="1" si="7"/>
        <v>147.45425975695252</v>
      </c>
      <c r="AD239" s="25" t="str">
        <f t="shared" ca="1" si="8"/>
        <v>&gt;60 dias</v>
      </c>
      <c r="AE239" s="25">
        <f>MONTH(Tabela1[[#This Row],[Criado em]])</f>
        <v>11</v>
      </c>
      <c r="AF239" s="25">
        <f>YEAR(Tabela1[[#This Row],[Criado em]])</f>
        <v>2025</v>
      </c>
      <c r="AG239" s="25">
        <f>COUNTIFS(Tabela1[Mês],Tabela1[[#This Row],[Mês]])</f>
        <v>130</v>
      </c>
      <c r="AH239" s="25">
        <f>COUNTIFS(Tabela1[Mês],Tabela1[[#This Row],[Mês]],Tabela1[Fase atual],"Recebido")</f>
        <v>100</v>
      </c>
      <c r="AI239" s="26">
        <f>Tabela1[[#This Row],[Recebido_ Mes]]/Tabela1[[#This Row],[Total_Mes]]</f>
        <v>0.76923076923076927</v>
      </c>
      <c r="AJ239" s="19">
        <f>COUNTIFS(Tabela1[Fase atual],"Recebido",Tabela1[Mês],Tabela1[[#This Row],[Mês]],Tabela1[Ano],Tabela1[[#This Row],[Ano]])/COUNTIF(Tabela1[Mês],Tabela1[[#This Row],[Mês]])</f>
        <v>0.76923076923076927</v>
      </c>
      <c r="AK239" s="20">
        <f>100%</f>
        <v>1</v>
      </c>
    </row>
    <row r="240" spans="1:37" ht="18" customHeight="1" x14ac:dyDescent="0.25">
      <c r="A240">
        <v>1217451327</v>
      </c>
      <c r="B240" t="s">
        <v>128</v>
      </c>
      <c r="C240" t="s">
        <v>129</v>
      </c>
      <c r="D240" t="s">
        <v>37</v>
      </c>
      <c r="E240" t="s">
        <v>31</v>
      </c>
      <c r="F240" s="2">
        <v>45919.851511238427</v>
      </c>
      <c r="AC240" s="24">
        <f t="shared" ca="1" si="7"/>
        <v>214.14848876157339</v>
      </c>
      <c r="AD240" s="25" t="str">
        <f t="shared" ca="1" si="8"/>
        <v>&gt;60 dias</v>
      </c>
      <c r="AE240" s="25">
        <f>MONTH(Tabela1[[#This Row],[Criado em]])</f>
        <v>9</v>
      </c>
      <c r="AF240" s="25">
        <f>YEAR(Tabela1[[#This Row],[Criado em]])</f>
        <v>2025</v>
      </c>
      <c r="AG240" s="25">
        <f>COUNTIFS(Tabela1[Mês],Tabela1[[#This Row],[Mês]])</f>
        <v>197</v>
      </c>
      <c r="AH240" s="25">
        <f>COUNTIFS(Tabela1[Mês],Tabela1[[#This Row],[Mês]],Tabela1[Fase atual],"Recebido")</f>
        <v>152</v>
      </c>
      <c r="AI240" s="26">
        <f>Tabela1[[#This Row],[Recebido_ Mes]]/Tabela1[[#This Row],[Total_Mes]]</f>
        <v>0.77157360406091369</v>
      </c>
      <c r="AJ240" s="19">
        <f>COUNTIFS(Tabela1[Fase atual],"Recebido",Tabela1[Mês],Tabela1[[#This Row],[Mês]],Tabela1[Ano],Tabela1[[#This Row],[Ano]])/COUNTIF(Tabela1[Mês],Tabela1[[#This Row],[Mês]])</f>
        <v>0.77157360406091369</v>
      </c>
      <c r="AK240" s="20">
        <f>100%</f>
        <v>1</v>
      </c>
    </row>
    <row r="241" spans="1:37" ht="18" customHeight="1" x14ac:dyDescent="0.25">
      <c r="A241">
        <v>1294277501</v>
      </c>
      <c r="B241" t="s">
        <v>128</v>
      </c>
      <c r="C241" t="s">
        <v>129</v>
      </c>
      <c r="D241" t="s">
        <v>40</v>
      </c>
      <c r="E241" t="s">
        <v>31</v>
      </c>
      <c r="F241" s="2">
        <v>46059.565609641199</v>
      </c>
      <c r="AC241" s="24">
        <f t="shared" ca="1" si="7"/>
        <v>74.434390358801465</v>
      </c>
      <c r="AD241" s="25" t="str">
        <f t="shared" ca="1" si="8"/>
        <v>&gt;60 dias</v>
      </c>
      <c r="AE241" s="25">
        <f>MONTH(Tabela1[[#This Row],[Criado em]])</f>
        <v>2</v>
      </c>
      <c r="AF241" s="25">
        <f>YEAR(Tabela1[[#This Row],[Criado em]])</f>
        <v>2026</v>
      </c>
      <c r="AG241" s="25">
        <f>COUNTIFS(Tabela1[Mês],Tabela1[[#This Row],[Mês]])</f>
        <v>197</v>
      </c>
      <c r="AH241" s="25">
        <f>COUNTIFS(Tabela1[Mês],Tabela1[[#This Row],[Mês]],Tabela1[Fase atual],"Recebido")</f>
        <v>124</v>
      </c>
      <c r="AI241" s="26">
        <f>Tabela1[[#This Row],[Recebido_ Mes]]/Tabela1[[#This Row],[Total_Mes]]</f>
        <v>0.62944162436548223</v>
      </c>
      <c r="AJ241" s="19">
        <f>COUNTIFS(Tabela1[Fase atual],"Recebido",Tabela1[Mês],Tabela1[[#This Row],[Mês]],Tabela1[Ano],Tabela1[[#This Row],[Ano]])/COUNTIF(Tabela1[Mês],Tabela1[[#This Row],[Mês]])</f>
        <v>0.62944162436548223</v>
      </c>
      <c r="AK241" s="20">
        <f>100%</f>
        <v>1</v>
      </c>
    </row>
    <row r="242" spans="1:37" ht="18" customHeight="1" x14ac:dyDescent="0.25">
      <c r="A242">
        <v>1290343414</v>
      </c>
      <c r="B242" t="s">
        <v>130</v>
      </c>
      <c r="C242" t="s">
        <v>131</v>
      </c>
      <c r="D242" t="s">
        <v>37</v>
      </c>
      <c r="E242" t="s">
        <v>31</v>
      </c>
      <c r="F242" s="2">
        <v>46051.628945254633</v>
      </c>
      <c r="AC242" s="24">
        <f t="shared" ca="1" si="7"/>
        <v>82.371054745366564</v>
      </c>
      <c r="AD242" s="25" t="str">
        <f t="shared" ca="1" si="8"/>
        <v>&gt;60 dias</v>
      </c>
      <c r="AE242" s="25">
        <f>MONTH(Tabela1[[#This Row],[Criado em]])</f>
        <v>1</v>
      </c>
      <c r="AF242" s="25">
        <f>YEAR(Tabela1[[#This Row],[Criado em]])</f>
        <v>2026</v>
      </c>
      <c r="AG242" s="25">
        <f>COUNTIFS(Tabela1[Mês],Tabela1[[#This Row],[Mês]])</f>
        <v>222</v>
      </c>
      <c r="AH242" s="25">
        <f>COUNTIFS(Tabela1[Mês],Tabela1[[#This Row],[Mês]],Tabela1[Fase atual],"Recebido")</f>
        <v>174</v>
      </c>
      <c r="AI242" s="26">
        <f>Tabela1[[#This Row],[Recebido_ Mes]]/Tabela1[[#This Row],[Total_Mes]]</f>
        <v>0.78378378378378377</v>
      </c>
      <c r="AJ242" s="19">
        <f>COUNTIFS(Tabela1[Fase atual],"Recebido",Tabela1[Mês],Tabela1[[#This Row],[Mês]],Tabela1[Ano],Tabela1[[#This Row],[Ano]])/COUNTIF(Tabela1[Mês],Tabela1[[#This Row],[Mês]])</f>
        <v>0.78378378378378377</v>
      </c>
      <c r="AK242" s="20">
        <f>100%</f>
        <v>1</v>
      </c>
    </row>
    <row r="243" spans="1:37" ht="18" customHeight="1" x14ac:dyDescent="0.25">
      <c r="A243">
        <v>1253465951</v>
      </c>
      <c r="B243" t="s">
        <v>966</v>
      </c>
      <c r="C243" t="s">
        <v>131</v>
      </c>
      <c r="D243" t="s">
        <v>37</v>
      </c>
      <c r="E243" t="s">
        <v>31</v>
      </c>
      <c r="F243" s="2">
        <v>45972.795973518507</v>
      </c>
      <c r="AC243" s="24">
        <f t="shared" ca="1" si="7"/>
        <v>161.2040264814932</v>
      </c>
      <c r="AD243" s="25" t="str">
        <f t="shared" ca="1" si="8"/>
        <v>&gt;60 dias</v>
      </c>
      <c r="AE243" s="25">
        <f>MONTH(Tabela1[[#This Row],[Criado em]])</f>
        <v>11</v>
      </c>
      <c r="AF243" s="25">
        <f>YEAR(Tabela1[[#This Row],[Criado em]])</f>
        <v>2025</v>
      </c>
      <c r="AG243" s="25">
        <f>COUNTIFS(Tabela1[Mês],Tabela1[[#This Row],[Mês]])</f>
        <v>130</v>
      </c>
      <c r="AH243" s="25">
        <f>COUNTIFS(Tabela1[Mês],Tabela1[[#This Row],[Mês]],Tabela1[Fase atual],"Recebido")</f>
        <v>100</v>
      </c>
      <c r="AI243" s="26">
        <f>Tabela1[[#This Row],[Recebido_ Mes]]/Tabela1[[#This Row],[Total_Mes]]</f>
        <v>0.76923076923076927</v>
      </c>
      <c r="AJ243" s="19">
        <f>COUNTIFS(Tabela1[Fase atual],"Recebido",Tabela1[Mês],Tabela1[[#This Row],[Mês]],Tabela1[Ano],Tabela1[[#This Row],[Ano]])/COUNTIF(Tabela1[Mês],Tabela1[[#This Row],[Mês]])</f>
        <v>0.76923076923076927</v>
      </c>
      <c r="AK243" s="20">
        <f>100%</f>
        <v>1</v>
      </c>
    </row>
    <row r="244" spans="1:37" ht="18" customHeight="1" x14ac:dyDescent="0.25">
      <c r="A244">
        <v>1281067865</v>
      </c>
      <c r="B244" t="s">
        <v>130</v>
      </c>
      <c r="C244" t="s">
        <v>132</v>
      </c>
      <c r="D244" t="s">
        <v>37</v>
      </c>
      <c r="E244" t="s">
        <v>31</v>
      </c>
      <c r="F244" s="2">
        <v>46035.628957847221</v>
      </c>
      <c r="AC244" s="24">
        <f t="shared" ca="1" si="7"/>
        <v>98.37104215277941</v>
      </c>
      <c r="AD244" s="25" t="str">
        <f t="shared" ca="1" si="8"/>
        <v>&gt;60 dias</v>
      </c>
      <c r="AE244" s="25">
        <f>MONTH(Tabela1[[#This Row],[Criado em]])</f>
        <v>1</v>
      </c>
      <c r="AF244" s="25">
        <f>YEAR(Tabela1[[#This Row],[Criado em]])</f>
        <v>2026</v>
      </c>
      <c r="AG244" s="25">
        <f>COUNTIFS(Tabela1[Mês],Tabela1[[#This Row],[Mês]])</f>
        <v>222</v>
      </c>
      <c r="AH244" s="25">
        <f>COUNTIFS(Tabela1[Mês],Tabela1[[#This Row],[Mês]],Tabela1[Fase atual],"Recebido")</f>
        <v>174</v>
      </c>
      <c r="AI244" s="26">
        <f>Tabela1[[#This Row],[Recebido_ Mes]]/Tabela1[[#This Row],[Total_Mes]]</f>
        <v>0.78378378378378377</v>
      </c>
      <c r="AJ244" s="19">
        <f>COUNTIFS(Tabela1[Fase atual],"Recebido",Tabela1[Mês],Tabela1[[#This Row],[Mês]],Tabela1[Ano],Tabela1[[#This Row],[Ano]])/COUNTIF(Tabela1[Mês],Tabela1[[#This Row],[Mês]])</f>
        <v>0.78378378378378377</v>
      </c>
      <c r="AK244" s="20">
        <f>100%</f>
        <v>1</v>
      </c>
    </row>
    <row r="245" spans="1:37" ht="18" customHeight="1" x14ac:dyDescent="0.25">
      <c r="A245">
        <v>1185126146</v>
      </c>
      <c r="B245" t="s">
        <v>967</v>
      </c>
      <c r="C245" t="s">
        <v>968</v>
      </c>
      <c r="D245" t="s">
        <v>37</v>
      </c>
      <c r="E245" t="s">
        <v>31</v>
      </c>
      <c r="F245" s="2">
        <v>45867.616278622692</v>
      </c>
      <c r="AC245" s="24">
        <f t="shared" ca="1" si="7"/>
        <v>266.38372137730767</v>
      </c>
      <c r="AD245" s="25" t="str">
        <f t="shared" ca="1" si="8"/>
        <v>&gt;60 dias</v>
      </c>
      <c r="AE245" s="25">
        <f>MONTH(Tabela1[[#This Row],[Criado em]])</f>
        <v>7</v>
      </c>
      <c r="AF245" s="25">
        <f>YEAR(Tabela1[[#This Row],[Criado em]])</f>
        <v>2025</v>
      </c>
      <c r="AG245" s="25">
        <f>COUNTIFS(Tabela1[Mês],Tabela1[[#This Row],[Mês]])</f>
        <v>177</v>
      </c>
      <c r="AH245" s="25">
        <f>COUNTIFS(Tabela1[Mês],Tabela1[[#This Row],[Mês]],Tabela1[Fase atual],"Recebido")</f>
        <v>130</v>
      </c>
      <c r="AI245" s="26">
        <f>Tabela1[[#This Row],[Recebido_ Mes]]/Tabela1[[#This Row],[Total_Mes]]</f>
        <v>0.7344632768361582</v>
      </c>
      <c r="AJ245" s="19">
        <f>COUNTIFS(Tabela1[Fase atual],"Recebido",Tabela1[Mês],Tabela1[[#This Row],[Mês]],Tabela1[Ano],Tabela1[[#This Row],[Ano]])/COUNTIF(Tabela1[Mês],Tabela1[[#This Row],[Mês]])</f>
        <v>0.7344632768361582</v>
      </c>
      <c r="AK245" s="20">
        <f>100%</f>
        <v>1</v>
      </c>
    </row>
    <row r="246" spans="1:37" ht="18" customHeight="1" x14ac:dyDescent="0.25">
      <c r="A246">
        <v>1272140637</v>
      </c>
      <c r="B246" t="s">
        <v>969</v>
      </c>
      <c r="C246" t="s">
        <v>970</v>
      </c>
      <c r="D246" t="s">
        <v>37</v>
      </c>
      <c r="E246" t="s">
        <v>31</v>
      </c>
      <c r="F246" s="2">
        <v>46014.797011469913</v>
      </c>
      <c r="AC246" s="24">
        <f t="shared" ca="1" si="7"/>
        <v>119.20298853008717</v>
      </c>
      <c r="AD246" s="25" t="str">
        <f t="shared" ca="1" si="8"/>
        <v>&gt;60 dias</v>
      </c>
      <c r="AE246" s="25">
        <f>MONTH(Tabela1[[#This Row],[Criado em]])</f>
        <v>12</v>
      </c>
      <c r="AF246" s="25">
        <f>YEAR(Tabela1[[#This Row],[Criado em]])</f>
        <v>2025</v>
      </c>
      <c r="AG246" s="25">
        <f>COUNTIFS(Tabela1[Mês],Tabela1[[#This Row],[Mês]])</f>
        <v>207</v>
      </c>
      <c r="AH246" s="25">
        <f>COUNTIFS(Tabela1[Mês],Tabela1[[#This Row],[Mês]],Tabela1[Fase atual],"Recebido")</f>
        <v>155</v>
      </c>
      <c r="AI246" s="26">
        <f>Tabela1[[#This Row],[Recebido_ Mes]]/Tabela1[[#This Row],[Total_Mes]]</f>
        <v>0.74879227053140096</v>
      </c>
      <c r="AJ246" s="19">
        <f>COUNTIFS(Tabela1[Fase atual],"Recebido",Tabela1[Mês],Tabela1[[#This Row],[Mês]],Tabela1[Ano],Tabela1[[#This Row],[Ano]])/COUNTIF(Tabela1[Mês],Tabela1[[#This Row],[Mês]])</f>
        <v>0.74879227053140096</v>
      </c>
      <c r="AK246" s="20">
        <f>100%</f>
        <v>1</v>
      </c>
    </row>
    <row r="247" spans="1:37" ht="18" customHeight="1" x14ac:dyDescent="0.25">
      <c r="A247">
        <v>1261824927</v>
      </c>
      <c r="C247" t="s">
        <v>971</v>
      </c>
      <c r="D247" t="s">
        <v>37</v>
      </c>
      <c r="E247" t="s">
        <v>31</v>
      </c>
      <c r="F247" s="2">
        <v>45992.623816134263</v>
      </c>
      <c r="AC247" s="24">
        <f t="shared" ca="1" si="7"/>
        <v>141.3761838657374</v>
      </c>
      <c r="AD247" s="25" t="str">
        <f t="shared" ca="1" si="8"/>
        <v>&gt;60 dias</v>
      </c>
      <c r="AE247" s="25">
        <f>MONTH(Tabela1[[#This Row],[Criado em]])</f>
        <v>12</v>
      </c>
      <c r="AF247" s="25">
        <f>YEAR(Tabela1[[#This Row],[Criado em]])</f>
        <v>2025</v>
      </c>
      <c r="AG247" s="25">
        <f>COUNTIFS(Tabela1[Mês],Tabela1[[#This Row],[Mês]])</f>
        <v>207</v>
      </c>
      <c r="AH247" s="25">
        <f>COUNTIFS(Tabela1[Mês],Tabela1[[#This Row],[Mês]],Tabela1[Fase atual],"Recebido")</f>
        <v>155</v>
      </c>
      <c r="AI247" s="26">
        <f>Tabela1[[#This Row],[Recebido_ Mes]]/Tabela1[[#This Row],[Total_Mes]]</f>
        <v>0.74879227053140096</v>
      </c>
      <c r="AJ247" s="19">
        <f>COUNTIFS(Tabela1[Fase atual],"Recebido",Tabela1[Mês],Tabela1[[#This Row],[Mês]],Tabela1[Ano],Tabela1[[#This Row],[Ano]])/COUNTIF(Tabela1[Mês],Tabela1[[#This Row],[Mês]])</f>
        <v>0.74879227053140096</v>
      </c>
      <c r="AK247" s="20">
        <f>100%</f>
        <v>1</v>
      </c>
    </row>
    <row r="248" spans="1:37" ht="18" customHeight="1" x14ac:dyDescent="0.25">
      <c r="A248">
        <v>1267757210</v>
      </c>
      <c r="B248" t="s">
        <v>972</v>
      </c>
      <c r="C248" t="s">
        <v>973</v>
      </c>
      <c r="D248" t="s">
        <v>37</v>
      </c>
      <c r="E248" t="s">
        <v>31</v>
      </c>
      <c r="F248" s="2">
        <v>46003.831404212957</v>
      </c>
      <c r="AC248" s="24">
        <f t="shared" ca="1" si="7"/>
        <v>130.16859578704316</v>
      </c>
      <c r="AD248" s="25" t="str">
        <f t="shared" ca="1" si="8"/>
        <v>&gt;60 dias</v>
      </c>
      <c r="AE248" s="25">
        <f>MONTH(Tabela1[[#This Row],[Criado em]])</f>
        <v>12</v>
      </c>
      <c r="AF248" s="25">
        <f>YEAR(Tabela1[[#This Row],[Criado em]])</f>
        <v>2025</v>
      </c>
      <c r="AG248" s="25">
        <f>COUNTIFS(Tabela1[Mês],Tabela1[[#This Row],[Mês]])</f>
        <v>207</v>
      </c>
      <c r="AH248" s="25">
        <f>COUNTIFS(Tabela1[Mês],Tabela1[[#This Row],[Mês]],Tabela1[Fase atual],"Recebido")</f>
        <v>155</v>
      </c>
      <c r="AI248" s="26">
        <f>Tabela1[[#This Row],[Recebido_ Mes]]/Tabela1[[#This Row],[Total_Mes]]</f>
        <v>0.74879227053140096</v>
      </c>
      <c r="AJ248" s="19">
        <f>COUNTIFS(Tabela1[Fase atual],"Recebido",Tabela1[Mês],Tabela1[[#This Row],[Mês]],Tabela1[Ano],Tabela1[[#This Row],[Ano]])/COUNTIF(Tabela1[Mês],Tabela1[[#This Row],[Mês]])</f>
        <v>0.74879227053140096</v>
      </c>
      <c r="AK248" s="20">
        <f>100%</f>
        <v>1</v>
      </c>
    </row>
    <row r="249" spans="1:37" ht="18" customHeight="1" x14ac:dyDescent="0.25">
      <c r="A249">
        <v>1221850635</v>
      </c>
      <c r="B249" t="s">
        <v>974</v>
      </c>
      <c r="C249" t="s">
        <v>975</v>
      </c>
      <c r="D249" t="s">
        <v>37</v>
      </c>
      <c r="E249" t="s">
        <v>31</v>
      </c>
      <c r="F249" s="2">
        <v>45926.522510162038</v>
      </c>
      <c r="AC249" s="24">
        <f t="shared" ca="1" si="7"/>
        <v>207.47748983796191</v>
      </c>
      <c r="AD249" s="25" t="str">
        <f t="shared" ca="1" si="8"/>
        <v>&gt;60 dias</v>
      </c>
      <c r="AE249" s="25">
        <f>MONTH(Tabela1[[#This Row],[Criado em]])</f>
        <v>9</v>
      </c>
      <c r="AF249" s="25">
        <f>YEAR(Tabela1[[#This Row],[Criado em]])</f>
        <v>2025</v>
      </c>
      <c r="AG249" s="25">
        <f>COUNTIFS(Tabela1[Mês],Tabela1[[#This Row],[Mês]])</f>
        <v>197</v>
      </c>
      <c r="AH249" s="25">
        <f>COUNTIFS(Tabela1[Mês],Tabela1[[#This Row],[Mês]],Tabela1[Fase atual],"Recebido")</f>
        <v>152</v>
      </c>
      <c r="AI249" s="26">
        <f>Tabela1[[#This Row],[Recebido_ Mes]]/Tabela1[[#This Row],[Total_Mes]]</f>
        <v>0.77157360406091369</v>
      </c>
      <c r="AJ249" s="19">
        <f>COUNTIFS(Tabela1[Fase atual],"Recebido",Tabela1[Mês],Tabela1[[#This Row],[Mês]],Tabela1[Ano],Tabela1[[#This Row],[Ano]])/COUNTIF(Tabela1[Mês],Tabela1[[#This Row],[Mês]])</f>
        <v>0.77157360406091369</v>
      </c>
      <c r="AK249" s="20">
        <f>100%</f>
        <v>1</v>
      </c>
    </row>
    <row r="250" spans="1:37" ht="18" customHeight="1" x14ac:dyDescent="0.25">
      <c r="A250">
        <v>1172780070</v>
      </c>
      <c r="B250" t="s">
        <v>133</v>
      </c>
      <c r="C250" t="s">
        <v>976</v>
      </c>
      <c r="D250" t="s">
        <v>37</v>
      </c>
      <c r="E250" t="s">
        <v>31</v>
      </c>
      <c r="F250" s="2">
        <v>45845.850367094907</v>
      </c>
      <c r="AC250" s="24">
        <f t="shared" ca="1" si="7"/>
        <v>288.14963290509331</v>
      </c>
      <c r="AD250" s="25" t="str">
        <f t="shared" ca="1" si="8"/>
        <v>&gt;60 dias</v>
      </c>
      <c r="AE250" s="25">
        <f>MONTH(Tabela1[[#This Row],[Criado em]])</f>
        <v>7</v>
      </c>
      <c r="AF250" s="25">
        <f>YEAR(Tabela1[[#This Row],[Criado em]])</f>
        <v>2025</v>
      </c>
      <c r="AG250" s="25">
        <f>COUNTIFS(Tabela1[Mês],Tabela1[[#This Row],[Mês]])</f>
        <v>177</v>
      </c>
      <c r="AH250" s="25">
        <f>COUNTIFS(Tabela1[Mês],Tabela1[[#This Row],[Mês]],Tabela1[Fase atual],"Recebido")</f>
        <v>130</v>
      </c>
      <c r="AI250" s="26">
        <f>Tabela1[[#This Row],[Recebido_ Mes]]/Tabela1[[#This Row],[Total_Mes]]</f>
        <v>0.7344632768361582</v>
      </c>
      <c r="AJ250" s="19">
        <f>COUNTIFS(Tabela1[Fase atual],"Recebido",Tabela1[Mês],Tabela1[[#This Row],[Mês]],Tabela1[Ano],Tabela1[[#This Row],[Ano]])/COUNTIF(Tabela1[Mês],Tabela1[[#This Row],[Mês]])</f>
        <v>0.7344632768361582</v>
      </c>
      <c r="AK250" s="20">
        <f>100%</f>
        <v>1</v>
      </c>
    </row>
    <row r="251" spans="1:37" ht="18" customHeight="1" x14ac:dyDescent="0.25">
      <c r="A251">
        <v>1203711819</v>
      </c>
      <c r="B251" t="s">
        <v>133</v>
      </c>
      <c r="C251" t="s">
        <v>134</v>
      </c>
      <c r="D251" t="s">
        <v>37</v>
      </c>
      <c r="E251" t="s">
        <v>31</v>
      </c>
      <c r="F251" s="2">
        <v>45897.642204131953</v>
      </c>
      <c r="AC251" s="24">
        <f t="shared" ca="1" si="7"/>
        <v>236.35779586804711</v>
      </c>
      <c r="AD251" s="25" t="str">
        <f t="shared" ca="1" si="8"/>
        <v>&gt;60 dias</v>
      </c>
      <c r="AE251" s="25">
        <f>MONTH(Tabela1[[#This Row],[Criado em]])</f>
        <v>8</v>
      </c>
      <c r="AF251" s="25">
        <f>YEAR(Tabela1[[#This Row],[Criado em]])</f>
        <v>2025</v>
      </c>
      <c r="AG251" s="25">
        <f>COUNTIFS(Tabela1[Mês],Tabela1[[#This Row],[Mês]])</f>
        <v>146</v>
      </c>
      <c r="AH251" s="25">
        <f>COUNTIFS(Tabela1[Mês],Tabela1[[#This Row],[Mês]],Tabela1[Fase atual],"Recebido")</f>
        <v>115</v>
      </c>
      <c r="AI251" s="26">
        <f>Tabela1[[#This Row],[Recebido_ Mes]]/Tabela1[[#This Row],[Total_Mes]]</f>
        <v>0.78767123287671237</v>
      </c>
      <c r="AJ251" s="19">
        <f>COUNTIFS(Tabela1[Fase atual],"Recebido",Tabela1[Mês],Tabela1[[#This Row],[Mês]],Tabela1[Ano],Tabela1[[#This Row],[Ano]])/COUNTIF(Tabela1[Mês],Tabela1[[#This Row],[Mês]])</f>
        <v>0.78767123287671237</v>
      </c>
      <c r="AK251" s="20">
        <f>100%</f>
        <v>1</v>
      </c>
    </row>
    <row r="252" spans="1:37" ht="18" customHeight="1" x14ac:dyDescent="0.25">
      <c r="A252">
        <v>1196009720</v>
      </c>
      <c r="B252" t="s">
        <v>133</v>
      </c>
      <c r="C252" t="s">
        <v>134</v>
      </c>
      <c r="D252" t="s">
        <v>40</v>
      </c>
      <c r="E252" t="s">
        <v>31</v>
      </c>
      <c r="F252" s="2">
        <v>45884.850559849539</v>
      </c>
      <c r="AC252" s="24">
        <f t="shared" ca="1" si="7"/>
        <v>249.14944015046058</v>
      </c>
      <c r="AD252" s="25" t="str">
        <f t="shared" ca="1" si="8"/>
        <v>&gt;60 dias</v>
      </c>
      <c r="AE252" s="25">
        <f>MONTH(Tabela1[[#This Row],[Criado em]])</f>
        <v>8</v>
      </c>
      <c r="AF252" s="25">
        <f>YEAR(Tabela1[[#This Row],[Criado em]])</f>
        <v>2025</v>
      </c>
      <c r="AG252" s="25">
        <f>COUNTIFS(Tabela1[Mês],Tabela1[[#This Row],[Mês]])</f>
        <v>146</v>
      </c>
      <c r="AH252" s="25">
        <f>COUNTIFS(Tabela1[Mês],Tabela1[[#This Row],[Mês]],Tabela1[Fase atual],"Recebido")</f>
        <v>115</v>
      </c>
      <c r="AI252" s="26">
        <f>Tabela1[[#This Row],[Recebido_ Mes]]/Tabela1[[#This Row],[Total_Mes]]</f>
        <v>0.78767123287671237</v>
      </c>
      <c r="AJ252" s="19">
        <f>COUNTIFS(Tabela1[Fase atual],"Recebido",Tabela1[Mês],Tabela1[[#This Row],[Mês]],Tabela1[Ano],Tabela1[[#This Row],[Ano]])/COUNTIF(Tabela1[Mês],Tabela1[[#This Row],[Mês]])</f>
        <v>0.78767123287671237</v>
      </c>
      <c r="AK252" s="20">
        <f>100%</f>
        <v>1</v>
      </c>
    </row>
    <row r="253" spans="1:37" ht="18" customHeight="1" x14ac:dyDescent="0.25">
      <c r="A253">
        <v>1180442794</v>
      </c>
      <c r="B253" t="s">
        <v>133</v>
      </c>
      <c r="C253" t="s">
        <v>134</v>
      </c>
      <c r="D253" t="s">
        <v>37</v>
      </c>
      <c r="E253" t="s">
        <v>31</v>
      </c>
      <c r="F253" s="2">
        <v>45859.851532916669</v>
      </c>
      <c r="AC253" s="24">
        <f t="shared" ca="1" si="7"/>
        <v>274.14846708333062</v>
      </c>
      <c r="AD253" s="25" t="str">
        <f t="shared" ca="1" si="8"/>
        <v>&gt;60 dias</v>
      </c>
      <c r="AE253" s="25">
        <f>MONTH(Tabela1[[#This Row],[Criado em]])</f>
        <v>7</v>
      </c>
      <c r="AF253" s="25">
        <f>YEAR(Tabela1[[#This Row],[Criado em]])</f>
        <v>2025</v>
      </c>
      <c r="AG253" s="25">
        <f>COUNTIFS(Tabela1[Mês],Tabela1[[#This Row],[Mês]])</f>
        <v>177</v>
      </c>
      <c r="AH253" s="25">
        <f>COUNTIFS(Tabela1[Mês],Tabela1[[#This Row],[Mês]],Tabela1[Fase atual],"Recebido")</f>
        <v>130</v>
      </c>
      <c r="AI253" s="26">
        <f>Tabela1[[#This Row],[Recebido_ Mes]]/Tabela1[[#This Row],[Total_Mes]]</f>
        <v>0.7344632768361582</v>
      </c>
      <c r="AJ253" s="19">
        <f>COUNTIFS(Tabela1[Fase atual],"Recebido",Tabela1[Mês],Tabela1[[#This Row],[Mês]],Tabela1[Ano],Tabela1[[#This Row],[Ano]])/COUNTIF(Tabela1[Mês],Tabela1[[#This Row],[Mês]])</f>
        <v>0.7344632768361582</v>
      </c>
      <c r="AK253" s="20">
        <f>100%</f>
        <v>1</v>
      </c>
    </row>
    <row r="254" spans="1:37" ht="18" customHeight="1" x14ac:dyDescent="0.25">
      <c r="A254">
        <v>1188129115</v>
      </c>
      <c r="B254" t="s">
        <v>133</v>
      </c>
      <c r="C254" t="s">
        <v>134</v>
      </c>
      <c r="D254" t="s">
        <v>37</v>
      </c>
      <c r="E254" t="s">
        <v>31</v>
      </c>
      <c r="F254" s="2">
        <v>45873.643089664351</v>
      </c>
      <c r="AC254" s="24">
        <f t="shared" ca="1" si="7"/>
        <v>260.35691033564945</v>
      </c>
      <c r="AD254" s="25" t="str">
        <f t="shared" ca="1" si="8"/>
        <v>&gt;60 dias</v>
      </c>
      <c r="AE254" s="25">
        <f>MONTH(Tabela1[[#This Row],[Criado em]])</f>
        <v>8</v>
      </c>
      <c r="AF254" s="25">
        <f>YEAR(Tabela1[[#This Row],[Criado em]])</f>
        <v>2025</v>
      </c>
      <c r="AG254" s="25">
        <f>COUNTIFS(Tabela1[Mês],Tabela1[[#This Row],[Mês]])</f>
        <v>146</v>
      </c>
      <c r="AH254" s="25">
        <f>COUNTIFS(Tabela1[Mês],Tabela1[[#This Row],[Mês]],Tabela1[Fase atual],"Recebido")</f>
        <v>115</v>
      </c>
      <c r="AI254" s="26">
        <f>Tabela1[[#This Row],[Recebido_ Mes]]/Tabela1[[#This Row],[Total_Mes]]</f>
        <v>0.78767123287671237</v>
      </c>
      <c r="AJ254" s="19">
        <f>COUNTIFS(Tabela1[Fase atual],"Recebido",Tabela1[Mês],Tabela1[[#This Row],[Mês]],Tabela1[Ano],Tabela1[[#This Row],[Ano]])/COUNTIF(Tabela1[Mês],Tabela1[[#This Row],[Mês]])</f>
        <v>0.78767123287671237</v>
      </c>
      <c r="AK254" s="20">
        <f>100%</f>
        <v>1</v>
      </c>
    </row>
    <row r="255" spans="1:37" ht="18" customHeight="1" x14ac:dyDescent="0.25">
      <c r="A255">
        <v>1289419314</v>
      </c>
      <c r="B255" t="s">
        <v>133</v>
      </c>
      <c r="C255" t="s">
        <v>134</v>
      </c>
      <c r="D255" t="s">
        <v>37</v>
      </c>
      <c r="E255" t="s">
        <v>31</v>
      </c>
      <c r="F255" s="2">
        <v>46050.628326666672</v>
      </c>
      <c r="AC255" s="24">
        <f t="shared" ca="1" si="7"/>
        <v>83.371673333327635</v>
      </c>
      <c r="AD255" s="25" t="str">
        <f t="shared" ca="1" si="8"/>
        <v>&gt;60 dias</v>
      </c>
      <c r="AE255" s="25">
        <f>MONTH(Tabela1[[#This Row],[Criado em]])</f>
        <v>1</v>
      </c>
      <c r="AF255" s="25">
        <f>YEAR(Tabela1[[#This Row],[Criado em]])</f>
        <v>2026</v>
      </c>
      <c r="AG255" s="25">
        <f>COUNTIFS(Tabela1[Mês],Tabela1[[#This Row],[Mês]])</f>
        <v>222</v>
      </c>
      <c r="AH255" s="25">
        <f>COUNTIFS(Tabela1[Mês],Tabela1[[#This Row],[Mês]],Tabela1[Fase atual],"Recebido")</f>
        <v>174</v>
      </c>
      <c r="AI255" s="26">
        <f>Tabela1[[#This Row],[Recebido_ Mes]]/Tabela1[[#This Row],[Total_Mes]]</f>
        <v>0.78378378378378377</v>
      </c>
      <c r="AJ255" s="19">
        <f>COUNTIFS(Tabela1[Fase atual],"Recebido",Tabela1[Mês],Tabela1[[#This Row],[Mês]],Tabela1[Ano],Tabela1[[#This Row],[Ano]])/COUNTIF(Tabela1[Mês],Tabela1[[#This Row],[Mês]])</f>
        <v>0.78378378378378377</v>
      </c>
      <c r="AK255" s="20">
        <f>100%</f>
        <v>1</v>
      </c>
    </row>
    <row r="256" spans="1:37" ht="18" customHeight="1" x14ac:dyDescent="0.25">
      <c r="A256">
        <v>1291853953</v>
      </c>
      <c r="B256" t="s">
        <v>133</v>
      </c>
      <c r="C256" t="s">
        <v>134</v>
      </c>
      <c r="D256" t="s">
        <v>37</v>
      </c>
      <c r="E256" t="s">
        <v>31</v>
      </c>
      <c r="F256" s="2">
        <v>46055.628921168987</v>
      </c>
      <c r="AC256" s="24">
        <f t="shared" ca="1" si="7"/>
        <v>78.37107883101271</v>
      </c>
      <c r="AD256" s="25" t="str">
        <f t="shared" ca="1" si="8"/>
        <v>&gt;60 dias</v>
      </c>
      <c r="AE256" s="25">
        <f>MONTH(Tabela1[[#This Row],[Criado em]])</f>
        <v>2</v>
      </c>
      <c r="AF256" s="25">
        <f>YEAR(Tabela1[[#This Row],[Criado em]])</f>
        <v>2026</v>
      </c>
      <c r="AG256" s="25">
        <f>COUNTIFS(Tabela1[Mês],Tabela1[[#This Row],[Mês]])</f>
        <v>197</v>
      </c>
      <c r="AH256" s="25">
        <f>COUNTIFS(Tabela1[Mês],Tabela1[[#This Row],[Mês]],Tabela1[Fase atual],"Recebido")</f>
        <v>124</v>
      </c>
      <c r="AI256" s="26">
        <f>Tabela1[[#This Row],[Recebido_ Mes]]/Tabela1[[#This Row],[Total_Mes]]</f>
        <v>0.62944162436548223</v>
      </c>
      <c r="AJ256" s="19">
        <f>COUNTIFS(Tabela1[Fase atual],"Recebido",Tabela1[Mês],Tabela1[[#This Row],[Mês]],Tabela1[Ano],Tabela1[[#This Row],[Ano]])/COUNTIF(Tabela1[Mês],Tabela1[[#This Row],[Mês]])</f>
        <v>0.62944162436548223</v>
      </c>
      <c r="AK256" s="20">
        <f>100%</f>
        <v>1</v>
      </c>
    </row>
    <row r="257" spans="1:37" ht="18" customHeight="1" x14ac:dyDescent="0.25">
      <c r="A257">
        <v>1172780586</v>
      </c>
      <c r="B257" t="s">
        <v>133</v>
      </c>
      <c r="C257" t="s">
        <v>134</v>
      </c>
      <c r="D257" t="s">
        <v>37</v>
      </c>
      <c r="E257" t="s">
        <v>31</v>
      </c>
      <c r="F257" s="2">
        <v>45845.850871574083</v>
      </c>
      <c r="AC257" s="24">
        <f t="shared" ca="1" si="7"/>
        <v>288.1491284259173</v>
      </c>
      <c r="AD257" s="25" t="str">
        <f t="shared" ca="1" si="8"/>
        <v>&gt;60 dias</v>
      </c>
      <c r="AE257" s="25">
        <f>MONTH(Tabela1[[#This Row],[Criado em]])</f>
        <v>7</v>
      </c>
      <c r="AF257" s="25">
        <f>YEAR(Tabela1[[#This Row],[Criado em]])</f>
        <v>2025</v>
      </c>
      <c r="AG257" s="25">
        <f>COUNTIFS(Tabela1[Mês],Tabela1[[#This Row],[Mês]])</f>
        <v>177</v>
      </c>
      <c r="AH257" s="25">
        <f>COUNTIFS(Tabela1[Mês],Tabela1[[#This Row],[Mês]],Tabela1[Fase atual],"Recebido")</f>
        <v>130</v>
      </c>
      <c r="AI257" s="26">
        <f>Tabela1[[#This Row],[Recebido_ Mes]]/Tabela1[[#This Row],[Total_Mes]]</f>
        <v>0.7344632768361582</v>
      </c>
      <c r="AJ257" s="19">
        <f>COUNTIFS(Tabela1[Fase atual],"Recebido",Tabela1[Mês],Tabela1[[#This Row],[Mês]],Tabela1[Ano],Tabela1[[#This Row],[Ano]])/COUNTIF(Tabela1[Mês],Tabela1[[#This Row],[Mês]])</f>
        <v>0.7344632768361582</v>
      </c>
      <c r="AK257" s="20">
        <f>100%</f>
        <v>1</v>
      </c>
    </row>
    <row r="258" spans="1:37" ht="18" customHeight="1" x14ac:dyDescent="0.25">
      <c r="A258">
        <v>1212186245</v>
      </c>
      <c r="B258" t="s">
        <v>133</v>
      </c>
      <c r="C258" t="s">
        <v>977</v>
      </c>
      <c r="D258" t="s">
        <v>37</v>
      </c>
      <c r="E258" t="s">
        <v>31</v>
      </c>
      <c r="F258" s="2">
        <v>45911.017510046287</v>
      </c>
      <c r="AC258" s="24">
        <f t="shared" ca="1" si="7"/>
        <v>222.9824899537125</v>
      </c>
      <c r="AD258" s="25" t="str">
        <f t="shared" ca="1" si="8"/>
        <v>&gt;60 dias</v>
      </c>
      <c r="AE258" s="25">
        <f>MONTH(Tabela1[[#This Row],[Criado em]])</f>
        <v>9</v>
      </c>
      <c r="AF258" s="25">
        <f>YEAR(Tabela1[[#This Row],[Criado em]])</f>
        <v>2025</v>
      </c>
      <c r="AG258" s="25">
        <f>COUNTIFS(Tabela1[Mês],Tabela1[[#This Row],[Mês]])</f>
        <v>197</v>
      </c>
      <c r="AH258" s="25">
        <f>COUNTIFS(Tabela1[Mês],Tabela1[[#This Row],[Mês]],Tabela1[Fase atual],"Recebido")</f>
        <v>152</v>
      </c>
      <c r="AI258" s="26">
        <f>Tabela1[[#This Row],[Recebido_ Mes]]/Tabela1[[#This Row],[Total_Mes]]</f>
        <v>0.77157360406091369</v>
      </c>
      <c r="AJ258" s="19">
        <f>COUNTIFS(Tabela1[Fase atual],"Recebido",Tabela1[Mês],Tabela1[[#This Row],[Mês]],Tabela1[Ano],Tabela1[[#This Row],[Ano]])/COUNTIF(Tabela1[Mês],Tabela1[[#This Row],[Mês]])</f>
        <v>0.77157360406091369</v>
      </c>
      <c r="AK258" s="20">
        <f>100%</f>
        <v>1</v>
      </c>
    </row>
    <row r="259" spans="1:37" ht="18" customHeight="1" x14ac:dyDescent="0.25">
      <c r="A259">
        <v>1282983718</v>
      </c>
      <c r="B259" t="s">
        <v>133</v>
      </c>
      <c r="C259" t="s">
        <v>135</v>
      </c>
      <c r="D259" t="s">
        <v>37</v>
      </c>
      <c r="E259" t="s">
        <v>31</v>
      </c>
      <c r="F259" s="2">
        <v>46038.796636446757</v>
      </c>
      <c r="AC259" s="24">
        <f t="shared" ref="AC259:AC322" ca="1" si="9">TODAY() - F259</f>
        <v>95.203363553242525</v>
      </c>
      <c r="AD259" s="25" t="str">
        <f t="shared" ref="AD259:AD322" ca="1" si="10">IF(AC259&lt;=14,"0-14 dias",
IF(AC259&lt;=19,"15-19 dias",
IF(AC259&lt;=24,"20-24 dias",
IF(AC259&lt;=30,"25-30 dias",
IF(AC259&lt;=60,"31-60 dias",
"&gt;60 dias")))))</f>
        <v>&gt;60 dias</v>
      </c>
      <c r="AE259" s="25">
        <f>MONTH(Tabela1[[#This Row],[Criado em]])</f>
        <v>1</v>
      </c>
      <c r="AF259" s="25">
        <f>YEAR(Tabela1[[#This Row],[Criado em]])</f>
        <v>2026</v>
      </c>
      <c r="AG259" s="25">
        <f>COUNTIFS(Tabela1[Mês],Tabela1[[#This Row],[Mês]])</f>
        <v>222</v>
      </c>
      <c r="AH259" s="25">
        <f>COUNTIFS(Tabela1[Mês],Tabela1[[#This Row],[Mês]],Tabela1[Fase atual],"Recebido")</f>
        <v>174</v>
      </c>
      <c r="AI259" s="26">
        <f>Tabela1[[#This Row],[Recebido_ Mes]]/Tabela1[[#This Row],[Total_Mes]]</f>
        <v>0.78378378378378377</v>
      </c>
      <c r="AJ259" s="19">
        <f>COUNTIFS(Tabela1[Fase atual],"Recebido",Tabela1[Mês],Tabela1[[#This Row],[Mês]],Tabela1[Ano],Tabela1[[#This Row],[Ano]])/COUNTIF(Tabela1[Mês],Tabela1[[#This Row],[Mês]])</f>
        <v>0.78378378378378377</v>
      </c>
      <c r="AK259" s="20">
        <f>100%</f>
        <v>1</v>
      </c>
    </row>
    <row r="260" spans="1:37" ht="18" customHeight="1" x14ac:dyDescent="0.25">
      <c r="A260">
        <v>1184722223</v>
      </c>
      <c r="B260" t="s">
        <v>133</v>
      </c>
      <c r="C260" t="s">
        <v>978</v>
      </c>
      <c r="D260" t="s">
        <v>37</v>
      </c>
      <c r="E260" t="s">
        <v>31</v>
      </c>
      <c r="F260" s="2">
        <v>45866.852470370373</v>
      </c>
      <c r="AC260" s="24">
        <f t="shared" ca="1" si="9"/>
        <v>267.14752962962666</v>
      </c>
      <c r="AD260" s="25" t="str">
        <f t="shared" ca="1" si="10"/>
        <v>&gt;60 dias</v>
      </c>
      <c r="AE260" s="25">
        <f>MONTH(Tabela1[[#This Row],[Criado em]])</f>
        <v>7</v>
      </c>
      <c r="AF260" s="25">
        <f>YEAR(Tabela1[[#This Row],[Criado em]])</f>
        <v>2025</v>
      </c>
      <c r="AG260" s="25">
        <f>COUNTIFS(Tabela1[Mês],Tabela1[[#This Row],[Mês]])</f>
        <v>177</v>
      </c>
      <c r="AH260" s="25">
        <f>COUNTIFS(Tabela1[Mês],Tabela1[[#This Row],[Mês]],Tabela1[Fase atual],"Recebido")</f>
        <v>130</v>
      </c>
      <c r="AI260" s="26">
        <f>Tabela1[[#This Row],[Recebido_ Mes]]/Tabela1[[#This Row],[Total_Mes]]</f>
        <v>0.7344632768361582</v>
      </c>
      <c r="AJ260" s="19">
        <f>COUNTIFS(Tabela1[Fase atual],"Recebido",Tabela1[Mês],Tabela1[[#This Row],[Mês]],Tabela1[Ano],Tabela1[[#This Row],[Ano]])/COUNTIF(Tabela1[Mês],Tabela1[[#This Row],[Mês]])</f>
        <v>0.7344632768361582</v>
      </c>
      <c r="AK260" s="20">
        <f>100%</f>
        <v>1</v>
      </c>
    </row>
    <row r="261" spans="1:37" ht="18" customHeight="1" x14ac:dyDescent="0.25">
      <c r="A261">
        <v>1187231352</v>
      </c>
      <c r="B261" t="s">
        <v>979</v>
      </c>
      <c r="C261" t="s">
        <v>980</v>
      </c>
      <c r="D261" t="s">
        <v>37</v>
      </c>
      <c r="E261" t="s">
        <v>31</v>
      </c>
      <c r="F261" s="2">
        <v>45870.85033371528</v>
      </c>
      <c r="AC261" s="24">
        <f t="shared" ca="1" si="9"/>
        <v>263.1496662847203</v>
      </c>
      <c r="AD261" s="25" t="str">
        <f t="shared" ca="1" si="10"/>
        <v>&gt;60 dias</v>
      </c>
      <c r="AE261" s="25">
        <f>MONTH(Tabela1[[#This Row],[Criado em]])</f>
        <v>8</v>
      </c>
      <c r="AF261" s="25">
        <f>YEAR(Tabela1[[#This Row],[Criado em]])</f>
        <v>2025</v>
      </c>
      <c r="AG261" s="25">
        <f>COUNTIFS(Tabela1[Mês],Tabela1[[#This Row],[Mês]])</f>
        <v>146</v>
      </c>
      <c r="AH261" s="25">
        <f>COUNTIFS(Tabela1[Mês],Tabela1[[#This Row],[Mês]],Tabela1[Fase atual],"Recebido")</f>
        <v>115</v>
      </c>
      <c r="AI261" s="26">
        <f>Tabela1[[#This Row],[Recebido_ Mes]]/Tabela1[[#This Row],[Total_Mes]]</f>
        <v>0.78767123287671237</v>
      </c>
      <c r="AJ261" s="19">
        <f>COUNTIFS(Tabela1[Fase atual],"Recebido",Tabela1[Mês],Tabela1[[#This Row],[Mês]],Tabela1[Ano],Tabela1[[#This Row],[Ano]])/COUNTIF(Tabela1[Mês],Tabela1[[#This Row],[Mês]])</f>
        <v>0.78767123287671237</v>
      </c>
      <c r="AK261" s="20">
        <f>100%</f>
        <v>1</v>
      </c>
    </row>
    <row r="262" spans="1:37" ht="18" customHeight="1" x14ac:dyDescent="0.25">
      <c r="A262">
        <v>1256253294</v>
      </c>
      <c r="B262" t="s">
        <v>981</v>
      </c>
      <c r="C262" t="s">
        <v>982</v>
      </c>
      <c r="D262" t="s">
        <v>37</v>
      </c>
      <c r="E262" t="s">
        <v>524</v>
      </c>
      <c r="F262" s="2">
        <v>45979.613569618057</v>
      </c>
      <c r="AC262" s="24">
        <f t="shared" ca="1" si="9"/>
        <v>154.38643038194277</v>
      </c>
      <c r="AD262" s="25" t="str">
        <f t="shared" ca="1" si="10"/>
        <v>&gt;60 dias</v>
      </c>
      <c r="AE262" s="25">
        <f>MONTH(Tabela1[[#This Row],[Criado em]])</f>
        <v>11</v>
      </c>
      <c r="AF262" s="25">
        <f>YEAR(Tabela1[[#This Row],[Criado em]])</f>
        <v>2025</v>
      </c>
      <c r="AG262" s="25">
        <f>COUNTIFS(Tabela1[Mês],Tabela1[[#This Row],[Mês]])</f>
        <v>130</v>
      </c>
      <c r="AH262" s="25">
        <f>COUNTIFS(Tabela1[Mês],Tabela1[[#This Row],[Mês]],Tabela1[Fase atual],"Recebido")</f>
        <v>100</v>
      </c>
      <c r="AI262" s="26">
        <f>Tabela1[[#This Row],[Recebido_ Mes]]/Tabela1[[#This Row],[Total_Mes]]</f>
        <v>0.76923076923076927</v>
      </c>
      <c r="AJ262" s="19">
        <f>COUNTIFS(Tabela1[Fase atual],"Recebido",Tabela1[Mês],Tabela1[[#This Row],[Mês]],Tabela1[Ano],Tabela1[[#This Row],[Ano]])/COUNTIF(Tabela1[Mês],Tabela1[[#This Row],[Mês]])</f>
        <v>0.76923076923076927</v>
      </c>
      <c r="AK262" s="20">
        <f>100%</f>
        <v>1</v>
      </c>
    </row>
    <row r="263" spans="1:37" ht="18" customHeight="1" x14ac:dyDescent="0.25">
      <c r="A263">
        <v>1254591954</v>
      </c>
      <c r="B263" t="s">
        <v>160</v>
      </c>
      <c r="C263" t="s">
        <v>982</v>
      </c>
      <c r="D263" t="s">
        <v>37</v>
      </c>
      <c r="E263" t="s">
        <v>31</v>
      </c>
      <c r="F263" s="2">
        <v>45974.795149293983</v>
      </c>
      <c r="AC263" s="24">
        <f t="shared" ca="1" si="9"/>
        <v>159.20485070601717</v>
      </c>
      <c r="AD263" s="25" t="str">
        <f t="shared" ca="1" si="10"/>
        <v>&gt;60 dias</v>
      </c>
      <c r="AE263" s="25">
        <f>MONTH(Tabela1[[#This Row],[Criado em]])</f>
        <v>11</v>
      </c>
      <c r="AF263" s="25">
        <f>YEAR(Tabela1[[#This Row],[Criado em]])</f>
        <v>2025</v>
      </c>
      <c r="AG263" s="25">
        <f>COUNTIFS(Tabela1[Mês],Tabela1[[#This Row],[Mês]])</f>
        <v>130</v>
      </c>
      <c r="AH263" s="25">
        <f>COUNTIFS(Tabela1[Mês],Tabela1[[#This Row],[Mês]],Tabela1[Fase atual],"Recebido")</f>
        <v>100</v>
      </c>
      <c r="AI263" s="26">
        <f>Tabela1[[#This Row],[Recebido_ Mes]]/Tabela1[[#This Row],[Total_Mes]]</f>
        <v>0.76923076923076927</v>
      </c>
      <c r="AJ263" s="19">
        <f>COUNTIFS(Tabela1[Fase atual],"Recebido",Tabela1[Mês],Tabela1[[#This Row],[Mês]],Tabela1[Ano],Tabela1[[#This Row],[Ano]])/COUNTIF(Tabela1[Mês],Tabela1[[#This Row],[Mês]])</f>
        <v>0.76923076923076927</v>
      </c>
      <c r="AK263" s="20">
        <f>100%</f>
        <v>1</v>
      </c>
    </row>
    <row r="264" spans="1:37" ht="18" customHeight="1" x14ac:dyDescent="0.25">
      <c r="A264">
        <v>1194446190</v>
      </c>
      <c r="B264" t="s">
        <v>983</v>
      </c>
      <c r="C264" t="s">
        <v>984</v>
      </c>
      <c r="D264" t="s">
        <v>784</v>
      </c>
      <c r="E264" t="s">
        <v>31</v>
      </c>
      <c r="F264" s="2">
        <v>45882.641972303238</v>
      </c>
      <c r="AC264" s="24">
        <f t="shared" ca="1" si="9"/>
        <v>251.35802769676229</v>
      </c>
      <c r="AD264" s="25" t="str">
        <f t="shared" ca="1" si="10"/>
        <v>&gt;60 dias</v>
      </c>
      <c r="AE264" s="25">
        <f>MONTH(Tabela1[[#This Row],[Criado em]])</f>
        <v>8</v>
      </c>
      <c r="AF264" s="25">
        <f>YEAR(Tabela1[[#This Row],[Criado em]])</f>
        <v>2025</v>
      </c>
      <c r="AG264" s="25">
        <f>COUNTIFS(Tabela1[Mês],Tabela1[[#This Row],[Mês]])</f>
        <v>146</v>
      </c>
      <c r="AH264" s="25">
        <f>COUNTIFS(Tabela1[Mês],Tabela1[[#This Row],[Mês]],Tabela1[Fase atual],"Recebido")</f>
        <v>115</v>
      </c>
      <c r="AI264" s="26">
        <f>Tabela1[[#This Row],[Recebido_ Mes]]/Tabela1[[#This Row],[Total_Mes]]</f>
        <v>0.78767123287671237</v>
      </c>
      <c r="AJ264" s="19">
        <f>COUNTIFS(Tabela1[Fase atual],"Recebido",Tabela1[Mês],Tabela1[[#This Row],[Mês]],Tabela1[Ano],Tabela1[[#This Row],[Ano]])/COUNTIF(Tabela1[Mês],Tabela1[[#This Row],[Mês]])</f>
        <v>0.78767123287671237</v>
      </c>
      <c r="AK264" s="20">
        <f>100%</f>
        <v>1</v>
      </c>
    </row>
    <row r="265" spans="1:37" ht="18" customHeight="1" x14ac:dyDescent="0.25">
      <c r="A265">
        <v>1280426441</v>
      </c>
      <c r="B265" t="s">
        <v>136</v>
      </c>
      <c r="C265" t="s">
        <v>137</v>
      </c>
      <c r="D265" t="s">
        <v>37</v>
      </c>
      <c r="E265" t="s">
        <v>31</v>
      </c>
      <c r="F265" s="2">
        <v>46034.630008368047</v>
      </c>
      <c r="AC265" s="24">
        <f t="shared" ca="1" si="9"/>
        <v>99.369991631952871</v>
      </c>
      <c r="AD265" s="25" t="str">
        <f t="shared" ca="1" si="10"/>
        <v>&gt;60 dias</v>
      </c>
      <c r="AE265" s="25">
        <f>MONTH(Tabela1[[#This Row],[Criado em]])</f>
        <v>1</v>
      </c>
      <c r="AF265" s="25">
        <f>YEAR(Tabela1[[#This Row],[Criado em]])</f>
        <v>2026</v>
      </c>
      <c r="AG265" s="25">
        <f>COUNTIFS(Tabela1[Mês],Tabela1[[#This Row],[Mês]])</f>
        <v>222</v>
      </c>
      <c r="AH265" s="25">
        <f>COUNTIFS(Tabela1[Mês],Tabela1[[#This Row],[Mês]],Tabela1[Fase atual],"Recebido")</f>
        <v>174</v>
      </c>
      <c r="AI265" s="26">
        <f>Tabela1[[#This Row],[Recebido_ Mes]]/Tabela1[[#This Row],[Total_Mes]]</f>
        <v>0.78378378378378377</v>
      </c>
      <c r="AJ265" s="19">
        <f>COUNTIFS(Tabela1[Fase atual],"Recebido",Tabela1[Mês],Tabela1[[#This Row],[Mês]],Tabela1[Ano],Tabela1[[#This Row],[Ano]])/COUNTIF(Tabela1[Mês],Tabela1[[#This Row],[Mês]])</f>
        <v>0.78378378378378377</v>
      </c>
      <c r="AK265" s="20">
        <f>100%</f>
        <v>1</v>
      </c>
    </row>
    <row r="266" spans="1:37" ht="18" customHeight="1" x14ac:dyDescent="0.25">
      <c r="A266">
        <v>1284620933</v>
      </c>
      <c r="B266" t="s">
        <v>138</v>
      </c>
      <c r="C266" t="s">
        <v>139</v>
      </c>
      <c r="D266" t="s">
        <v>37</v>
      </c>
      <c r="E266" t="s">
        <v>31</v>
      </c>
      <c r="F266" s="2">
        <v>46042.795595787044</v>
      </c>
      <c r="AC266" s="24">
        <f t="shared" ca="1" si="9"/>
        <v>91.204404212956433</v>
      </c>
      <c r="AD266" s="25" t="str">
        <f t="shared" ca="1" si="10"/>
        <v>&gt;60 dias</v>
      </c>
      <c r="AE266" s="25">
        <f>MONTH(Tabela1[[#This Row],[Criado em]])</f>
        <v>1</v>
      </c>
      <c r="AF266" s="25">
        <f>YEAR(Tabela1[[#This Row],[Criado em]])</f>
        <v>2026</v>
      </c>
      <c r="AG266" s="25">
        <f>COUNTIFS(Tabela1[Mês],Tabela1[[#This Row],[Mês]])</f>
        <v>222</v>
      </c>
      <c r="AH266" s="25">
        <f>COUNTIFS(Tabela1[Mês],Tabela1[[#This Row],[Mês]],Tabela1[Fase atual],"Recebido")</f>
        <v>174</v>
      </c>
      <c r="AI266" s="26">
        <f>Tabela1[[#This Row],[Recebido_ Mes]]/Tabela1[[#This Row],[Total_Mes]]</f>
        <v>0.78378378378378377</v>
      </c>
      <c r="AJ266" s="19">
        <f>COUNTIFS(Tabela1[Fase atual],"Recebido",Tabela1[Mês],Tabela1[[#This Row],[Mês]],Tabela1[Ano],Tabela1[[#This Row],[Ano]])/COUNTIF(Tabela1[Mês],Tabela1[[#This Row],[Mês]])</f>
        <v>0.78378378378378377</v>
      </c>
      <c r="AK266" s="20">
        <f>100%</f>
        <v>1</v>
      </c>
    </row>
    <row r="267" spans="1:37" ht="18" customHeight="1" x14ac:dyDescent="0.25">
      <c r="A267">
        <v>1222241582</v>
      </c>
      <c r="B267" t="s">
        <v>138</v>
      </c>
      <c r="C267" t="s">
        <v>985</v>
      </c>
      <c r="D267" t="s">
        <v>37</v>
      </c>
      <c r="E267" t="s">
        <v>31</v>
      </c>
      <c r="F267" s="2">
        <v>45926.852357268523</v>
      </c>
      <c r="AC267" s="24">
        <f t="shared" ca="1" si="9"/>
        <v>207.14764273147739</v>
      </c>
      <c r="AD267" s="25" t="str">
        <f t="shared" ca="1" si="10"/>
        <v>&gt;60 dias</v>
      </c>
      <c r="AE267" s="25">
        <f>MONTH(Tabela1[[#This Row],[Criado em]])</f>
        <v>9</v>
      </c>
      <c r="AF267" s="25">
        <f>YEAR(Tabela1[[#This Row],[Criado em]])</f>
        <v>2025</v>
      </c>
      <c r="AG267" s="25">
        <f>COUNTIFS(Tabela1[Mês],Tabela1[[#This Row],[Mês]])</f>
        <v>197</v>
      </c>
      <c r="AH267" s="25">
        <f>COUNTIFS(Tabela1[Mês],Tabela1[[#This Row],[Mês]],Tabela1[Fase atual],"Recebido")</f>
        <v>152</v>
      </c>
      <c r="AI267" s="26">
        <f>Tabela1[[#This Row],[Recebido_ Mes]]/Tabela1[[#This Row],[Total_Mes]]</f>
        <v>0.77157360406091369</v>
      </c>
      <c r="AJ267" s="19">
        <f>COUNTIFS(Tabela1[Fase atual],"Recebido",Tabela1[Mês],Tabela1[[#This Row],[Mês]],Tabela1[Ano],Tabela1[[#This Row],[Ano]])/COUNTIF(Tabela1[Mês],Tabela1[[#This Row],[Mês]])</f>
        <v>0.77157360406091369</v>
      </c>
      <c r="AK267" s="20">
        <f>100%</f>
        <v>1</v>
      </c>
    </row>
    <row r="268" spans="1:37" ht="18" customHeight="1" x14ac:dyDescent="0.25">
      <c r="A268">
        <v>1237691016</v>
      </c>
      <c r="B268" t="s">
        <v>138</v>
      </c>
      <c r="C268" t="s">
        <v>986</v>
      </c>
      <c r="D268" t="s">
        <v>784</v>
      </c>
      <c r="E268" t="s">
        <v>31</v>
      </c>
      <c r="F268" s="2">
        <v>45946.795984027784</v>
      </c>
      <c r="AC268" s="24">
        <f t="shared" ca="1" si="9"/>
        <v>187.20401597221644</v>
      </c>
      <c r="AD268" s="25" t="str">
        <f t="shared" ca="1" si="10"/>
        <v>&gt;60 dias</v>
      </c>
      <c r="AE268" s="25">
        <f>MONTH(Tabela1[[#This Row],[Criado em]])</f>
        <v>10</v>
      </c>
      <c r="AF268" s="25">
        <f>YEAR(Tabela1[[#This Row],[Criado em]])</f>
        <v>2025</v>
      </c>
      <c r="AG268" s="25">
        <f>COUNTIFS(Tabela1[Mês],Tabela1[[#This Row],[Mês]])</f>
        <v>196</v>
      </c>
      <c r="AH268" s="25">
        <f>COUNTIFS(Tabela1[Mês],Tabela1[[#This Row],[Mês]],Tabela1[Fase atual],"Recebido")</f>
        <v>138</v>
      </c>
      <c r="AI268" s="26">
        <f>Tabela1[[#This Row],[Recebido_ Mes]]/Tabela1[[#This Row],[Total_Mes]]</f>
        <v>0.70408163265306123</v>
      </c>
      <c r="AJ268" s="19">
        <f>COUNTIFS(Tabela1[Fase atual],"Recebido",Tabela1[Mês],Tabela1[[#This Row],[Mês]],Tabela1[Ano],Tabela1[[#This Row],[Ano]])/COUNTIF(Tabela1[Mês],Tabela1[[#This Row],[Mês]])</f>
        <v>0.70408163265306123</v>
      </c>
      <c r="AK268" s="20">
        <f>100%</f>
        <v>1</v>
      </c>
    </row>
    <row r="269" spans="1:37" ht="18" customHeight="1" x14ac:dyDescent="0.25">
      <c r="A269">
        <v>1212792597</v>
      </c>
      <c r="B269" t="s">
        <v>987</v>
      </c>
      <c r="C269" t="s">
        <v>988</v>
      </c>
      <c r="D269" t="s">
        <v>40</v>
      </c>
      <c r="E269" t="s">
        <v>31</v>
      </c>
      <c r="F269" s="2">
        <v>45911.853046111108</v>
      </c>
      <c r="AC269" s="24">
        <f t="shared" ca="1" si="9"/>
        <v>222.14695388889231</v>
      </c>
      <c r="AD269" s="25" t="str">
        <f t="shared" ca="1" si="10"/>
        <v>&gt;60 dias</v>
      </c>
      <c r="AE269" s="25">
        <f>MONTH(Tabela1[[#This Row],[Criado em]])</f>
        <v>9</v>
      </c>
      <c r="AF269" s="25">
        <f>YEAR(Tabela1[[#This Row],[Criado em]])</f>
        <v>2025</v>
      </c>
      <c r="AG269" s="25">
        <f>COUNTIFS(Tabela1[Mês],Tabela1[[#This Row],[Mês]])</f>
        <v>197</v>
      </c>
      <c r="AH269" s="25">
        <f>COUNTIFS(Tabela1[Mês],Tabela1[[#This Row],[Mês]],Tabela1[Fase atual],"Recebido")</f>
        <v>152</v>
      </c>
      <c r="AI269" s="26">
        <f>Tabela1[[#This Row],[Recebido_ Mes]]/Tabela1[[#This Row],[Total_Mes]]</f>
        <v>0.77157360406091369</v>
      </c>
      <c r="AJ269" s="19">
        <f>COUNTIFS(Tabela1[Fase atual],"Recebido",Tabela1[Mês],Tabela1[[#This Row],[Mês]],Tabela1[Ano],Tabela1[[#This Row],[Ano]])/COUNTIF(Tabela1[Mês],Tabela1[[#This Row],[Mês]])</f>
        <v>0.77157360406091369</v>
      </c>
      <c r="AK269" s="20">
        <f>100%</f>
        <v>1</v>
      </c>
    </row>
    <row r="270" spans="1:37" ht="18" customHeight="1" x14ac:dyDescent="0.25">
      <c r="A270">
        <v>1246034398</v>
      </c>
      <c r="B270" t="s">
        <v>987</v>
      </c>
      <c r="C270" t="s">
        <v>989</v>
      </c>
      <c r="D270" t="s">
        <v>40</v>
      </c>
      <c r="E270" t="s">
        <v>31</v>
      </c>
      <c r="F270" s="2">
        <v>45958.544849409722</v>
      </c>
      <c r="AC270" s="24">
        <f t="shared" ca="1" si="9"/>
        <v>175.45515059027821</v>
      </c>
      <c r="AD270" s="25" t="str">
        <f t="shared" ca="1" si="10"/>
        <v>&gt;60 dias</v>
      </c>
      <c r="AE270" s="25">
        <f>MONTH(Tabela1[[#This Row],[Criado em]])</f>
        <v>10</v>
      </c>
      <c r="AF270" s="25">
        <f>YEAR(Tabela1[[#This Row],[Criado em]])</f>
        <v>2025</v>
      </c>
      <c r="AG270" s="25">
        <f>COUNTIFS(Tabela1[Mês],Tabela1[[#This Row],[Mês]])</f>
        <v>196</v>
      </c>
      <c r="AH270" s="25">
        <f>COUNTIFS(Tabela1[Mês],Tabela1[[#This Row],[Mês]],Tabela1[Fase atual],"Recebido")</f>
        <v>138</v>
      </c>
      <c r="AI270" s="26">
        <f>Tabela1[[#This Row],[Recebido_ Mes]]/Tabela1[[#This Row],[Total_Mes]]</f>
        <v>0.70408163265306123</v>
      </c>
      <c r="AJ270" s="19">
        <f>COUNTIFS(Tabela1[Fase atual],"Recebido",Tabela1[Mês],Tabela1[[#This Row],[Mês]],Tabela1[Ano],Tabela1[[#This Row],[Ano]])/COUNTIF(Tabela1[Mês],Tabela1[[#This Row],[Mês]])</f>
        <v>0.70408163265306123</v>
      </c>
      <c r="AK270" s="20">
        <f>100%</f>
        <v>1</v>
      </c>
    </row>
    <row r="271" spans="1:37" ht="18" customHeight="1" x14ac:dyDescent="0.25">
      <c r="A271">
        <v>1196009677</v>
      </c>
      <c r="B271" t="s">
        <v>434</v>
      </c>
      <c r="C271" t="s">
        <v>990</v>
      </c>
      <c r="D271" t="s">
        <v>37</v>
      </c>
      <c r="E271" t="s">
        <v>31</v>
      </c>
      <c r="F271" s="2">
        <v>45884.850505567127</v>
      </c>
      <c r="AC271" s="24">
        <f t="shared" ca="1" si="9"/>
        <v>249.14949443287333</v>
      </c>
      <c r="AD271" s="25" t="str">
        <f t="shared" ca="1" si="10"/>
        <v>&gt;60 dias</v>
      </c>
      <c r="AE271" s="25">
        <f>MONTH(Tabela1[[#This Row],[Criado em]])</f>
        <v>8</v>
      </c>
      <c r="AF271" s="25">
        <f>YEAR(Tabela1[[#This Row],[Criado em]])</f>
        <v>2025</v>
      </c>
      <c r="AG271" s="25">
        <f>COUNTIFS(Tabela1[Mês],Tabela1[[#This Row],[Mês]])</f>
        <v>146</v>
      </c>
      <c r="AH271" s="25">
        <f>COUNTIFS(Tabela1[Mês],Tabela1[[#This Row],[Mês]],Tabela1[Fase atual],"Recebido")</f>
        <v>115</v>
      </c>
      <c r="AI271" s="26">
        <f>Tabela1[[#This Row],[Recebido_ Mes]]/Tabela1[[#This Row],[Total_Mes]]</f>
        <v>0.78767123287671237</v>
      </c>
      <c r="AJ271" s="19">
        <f>COUNTIFS(Tabela1[Fase atual],"Recebido",Tabela1[Mês],Tabela1[[#This Row],[Mês]],Tabela1[Ano],Tabela1[[#This Row],[Ano]])/COUNTIF(Tabela1[Mês],Tabela1[[#This Row],[Mês]])</f>
        <v>0.78767123287671237</v>
      </c>
      <c r="AK271" s="20">
        <f>100%</f>
        <v>1</v>
      </c>
    </row>
    <row r="272" spans="1:37" ht="18" customHeight="1" x14ac:dyDescent="0.25">
      <c r="A272">
        <v>1207610597</v>
      </c>
      <c r="B272" t="s">
        <v>991</v>
      </c>
      <c r="C272" t="s">
        <v>992</v>
      </c>
      <c r="D272" t="s">
        <v>37</v>
      </c>
      <c r="E272" t="s">
        <v>31</v>
      </c>
      <c r="F272" s="2">
        <v>45903.813782372687</v>
      </c>
      <c r="AC272" s="24">
        <f t="shared" ca="1" si="9"/>
        <v>230.18621762731345</v>
      </c>
      <c r="AD272" s="25" t="str">
        <f t="shared" ca="1" si="10"/>
        <v>&gt;60 dias</v>
      </c>
      <c r="AE272" s="25">
        <f>MONTH(Tabela1[[#This Row],[Criado em]])</f>
        <v>9</v>
      </c>
      <c r="AF272" s="25">
        <f>YEAR(Tabela1[[#This Row],[Criado em]])</f>
        <v>2025</v>
      </c>
      <c r="AG272" s="25">
        <f>COUNTIFS(Tabela1[Mês],Tabela1[[#This Row],[Mês]])</f>
        <v>197</v>
      </c>
      <c r="AH272" s="25">
        <f>COUNTIFS(Tabela1[Mês],Tabela1[[#This Row],[Mês]],Tabela1[Fase atual],"Recebido")</f>
        <v>152</v>
      </c>
      <c r="AI272" s="26">
        <f>Tabela1[[#This Row],[Recebido_ Mes]]/Tabela1[[#This Row],[Total_Mes]]</f>
        <v>0.77157360406091369</v>
      </c>
      <c r="AJ272" s="19">
        <f>COUNTIFS(Tabela1[Fase atual],"Recebido",Tabela1[Mês],Tabela1[[#This Row],[Mês]],Tabela1[Ano],Tabela1[[#This Row],[Ano]])/COUNTIF(Tabela1[Mês],Tabela1[[#This Row],[Mês]])</f>
        <v>0.77157360406091369</v>
      </c>
      <c r="AK272" s="20">
        <f>100%</f>
        <v>1</v>
      </c>
    </row>
    <row r="273" spans="1:37" ht="18" customHeight="1" x14ac:dyDescent="0.25">
      <c r="A273">
        <v>1242499559</v>
      </c>
      <c r="B273" t="s">
        <v>993</v>
      </c>
      <c r="C273" t="s">
        <v>994</v>
      </c>
      <c r="D273" t="s">
        <v>37</v>
      </c>
      <c r="E273" t="s">
        <v>31</v>
      </c>
      <c r="F273" s="2">
        <v>45953.795297164354</v>
      </c>
      <c r="AC273" s="24">
        <f t="shared" ca="1" si="9"/>
        <v>180.20470283564646</v>
      </c>
      <c r="AD273" s="25" t="str">
        <f t="shared" ca="1" si="10"/>
        <v>&gt;60 dias</v>
      </c>
      <c r="AE273" s="25">
        <f>MONTH(Tabela1[[#This Row],[Criado em]])</f>
        <v>10</v>
      </c>
      <c r="AF273" s="25">
        <f>YEAR(Tabela1[[#This Row],[Criado em]])</f>
        <v>2025</v>
      </c>
      <c r="AG273" s="25">
        <f>COUNTIFS(Tabela1[Mês],Tabela1[[#This Row],[Mês]])</f>
        <v>196</v>
      </c>
      <c r="AH273" s="25">
        <f>COUNTIFS(Tabela1[Mês],Tabela1[[#This Row],[Mês]],Tabela1[Fase atual],"Recebido")</f>
        <v>138</v>
      </c>
      <c r="AI273" s="26">
        <f>Tabela1[[#This Row],[Recebido_ Mes]]/Tabela1[[#This Row],[Total_Mes]]</f>
        <v>0.70408163265306123</v>
      </c>
      <c r="AJ273" s="19">
        <f>COUNTIFS(Tabela1[Fase atual],"Recebido",Tabela1[Mês],Tabela1[[#This Row],[Mês]],Tabela1[Ano],Tabela1[[#This Row],[Ano]])/COUNTIF(Tabela1[Mês],Tabela1[[#This Row],[Mês]])</f>
        <v>0.70408163265306123</v>
      </c>
      <c r="AK273" s="20">
        <f>100%</f>
        <v>1</v>
      </c>
    </row>
    <row r="274" spans="1:37" ht="18" customHeight="1" x14ac:dyDescent="0.25">
      <c r="A274">
        <v>1278799014</v>
      </c>
      <c r="B274" t="s">
        <v>32</v>
      </c>
      <c r="C274" t="s">
        <v>140</v>
      </c>
      <c r="D274" t="s">
        <v>37</v>
      </c>
      <c r="E274" t="s">
        <v>31</v>
      </c>
      <c r="F274" s="2">
        <v>46030.629032905097</v>
      </c>
      <c r="AC274" s="24">
        <f t="shared" ca="1" si="9"/>
        <v>103.37096709490288</v>
      </c>
      <c r="AD274" s="25" t="str">
        <f t="shared" ca="1" si="10"/>
        <v>&gt;60 dias</v>
      </c>
      <c r="AE274" s="25">
        <f>MONTH(Tabela1[[#This Row],[Criado em]])</f>
        <v>1</v>
      </c>
      <c r="AF274" s="25">
        <f>YEAR(Tabela1[[#This Row],[Criado em]])</f>
        <v>2026</v>
      </c>
      <c r="AG274" s="25">
        <f>COUNTIFS(Tabela1[Mês],Tabela1[[#This Row],[Mês]])</f>
        <v>222</v>
      </c>
      <c r="AH274" s="25">
        <f>COUNTIFS(Tabela1[Mês],Tabela1[[#This Row],[Mês]],Tabela1[Fase atual],"Recebido")</f>
        <v>174</v>
      </c>
      <c r="AI274" s="26">
        <f>Tabela1[[#This Row],[Recebido_ Mes]]/Tabela1[[#This Row],[Total_Mes]]</f>
        <v>0.78378378378378377</v>
      </c>
      <c r="AJ274" s="19">
        <f>COUNTIFS(Tabela1[Fase atual],"Recebido",Tabela1[Mês],Tabela1[[#This Row],[Mês]],Tabela1[Ano],Tabela1[[#This Row],[Ano]])/COUNTIF(Tabela1[Mês],Tabela1[[#This Row],[Mês]])</f>
        <v>0.78378378378378377</v>
      </c>
      <c r="AK274" s="20">
        <f>100%</f>
        <v>1</v>
      </c>
    </row>
    <row r="275" spans="1:37" ht="18" customHeight="1" x14ac:dyDescent="0.25">
      <c r="A275">
        <v>1248339422</v>
      </c>
      <c r="B275" t="s">
        <v>995</v>
      </c>
      <c r="C275" t="s">
        <v>996</v>
      </c>
      <c r="D275" t="s">
        <v>784</v>
      </c>
      <c r="E275" t="s">
        <v>31</v>
      </c>
      <c r="F275" s="2">
        <v>45961.920552152777</v>
      </c>
      <c r="AC275" s="24">
        <f t="shared" ca="1" si="9"/>
        <v>172.07944784722349</v>
      </c>
      <c r="AD275" s="25" t="str">
        <f t="shared" ca="1" si="10"/>
        <v>&gt;60 dias</v>
      </c>
      <c r="AE275" s="25">
        <f>MONTH(Tabela1[[#This Row],[Criado em]])</f>
        <v>10</v>
      </c>
      <c r="AF275" s="25">
        <f>YEAR(Tabela1[[#This Row],[Criado em]])</f>
        <v>2025</v>
      </c>
      <c r="AG275" s="25">
        <f>COUNTIFS(Tabela1[Mês],Tabela1[[#This Row],[Mês]])</f>
        <v>196</v>
      </c>
      <c r="AH275" s="25">
        <f>COUNTIFS(Tabela1[Mês],Tabela1[[#This Row],[Mês]],Tabela1[Fase atual],"Recebido")</f>
        <v>138</v>
      </c>
      <c r="AI275" s="26">
        <f>Tabela1[[#This Row],[Recebido_ Mes]]/Tabela1[[#This Row],[Total_Mes]]</f>
        <v>0.70408163265306123</v>
      </c>
      <c r="AJ275" s="19">
        <f>COUNTIFS(Tabela1[Fase atual],"Recebido",Tabela1[Mês],Tabela1[[#This Row],[Mês]],Tabela1[Ano],Tabela1[[#This Row],[Ano]])/COUNTIF(Tabela1[Mês],Tabela1[[#This Row],[Mês]])</f>
        <v>0.70408163265306123</v>
      </c>
      <c r="AK275" s="20">
        <f>100%</f>
        <v>1</v>
      </c>
    </row>
    <row r="276" spans="1:37" ht="18" customHeight="1" x14ac:dyDescent="0.25">
      <c r="A276">
        <v>1304256712</v>
      </c>
      <c r="B276" t="s">
        <v>683</v>
      </c>
      <c r="C276" t="s">
        <v>684</v>
      </c>
      <c r="D276" t="s">
        <v>2179</v>
      </c>
      <c r="E276" t="s">
        <v>31</v>
      </c>
      <c r="F276" s="2">
        <v>46078.919390543982</v>
      </c>
      <c r="AC276" s="24">
        <f t="shared" ca="1" si="9"/>
        <v>55.080609456017555</v>
      </c>
      <c r="AD276" s="25" t="str">
        <f t="shared" ca="1" si="10"/>
        <v>31-60 dias</v>
      </c>
      <c r="AE276" s="25">
        <f>MONTH(Tabela1[[#This Row],[Criado em]])</f>
        <v>2</v>
      </c>
      <c r="AF276" s="25">
        <f>YEAR(Tabela1[[#This Row],[Criado em]])</f>
        <v>2026</v>
      </c>
      <c r="AG276" s="25">
        <f>COUNTIFS(Tabela1[Mês],Tabela1[[#This Row],[Mês]])</f>
        <v>197</v>
      </c>
      <c r="AH276" s="25">
        <f>COUNTIFS(Tabela1[Mês],Tabela1[[#This Row],[Mês]],Tabela1[Fase atual],"Recebido")</f>
        <v>124</v>
      </c>
      <c r="AI276" s="26">
        <f>Tabela1[[#This Row],[Recebido_ Mes]]/Tabela1[[#This Row],[Total_Mes]]</f>
        <v>0.62944162436548223</v>
      </c>
      <c r="AJ276" s="19">
        <f>COUNTIFS(Tabela1[Fase atual],"Recebido",Tabela1[Mês],Tabela1[[#This Row],[Mês]],Tabela1[Ano],Tabela1[[#This Row],[Ano]])/COUNTIF(Tabela1[Mês],Tabela1[[#This Row],[Mês]])</f>
        <v>0.62944162436548223</v>
      </c>
      <c r="AK276" s="20">
        <f>100%</f>
        <v>1</v>
      </c>
    </row>
    <row r="277" spans="1:37" ht="18" customHeight="1" x14ac:dyDescent="0.25">
      <c r="A277">
        <v>1234232428</v>
      </c>
      <c r="B277" t="s">
        <v>997</v>
      </c>
      <c r="C277" t="s">
        <v>998</v>
      </c>
      <c r="D277" t="s">
        <v>37</v>
      </c>
      <c r="E277" t="s">
        <v>31</v>
      </c>
      <c r="F277" s="2">
        <v>45943.628117442131</v>
      </c>
      <c r="AC277" s="24">
        <f t="shared" ca="1" si="9"/>
        <v>190.37188255786896</v>
      </c>
      <c r="AD277" s="25" t="str">
        <f t="shared" ca="1" si="10"/>
        <v>&gt;60 dias</v>
      </c>
      <c r="AE277" s="25">
        <f>MONTH(Tabela1[[#This Row],[Criado em]])</f>
        <v>10</v>
      </c>
      <c r="AF277" s="25">
        <f>YEAR(Tabela1[[#This Row],[Criado em]])</f>
        <v>2025</v>
      </c>
      <c r="AG277" s="25">
        <f>COUNTIFS(Tabela1[Mês],Tabela1[[#This Row],[Mês]])</f>
        <v>196</v>
      </c>
      <c r="AH277" s="25">
        <f>COUNTIFS(Tabela1[Mês],Tabela1[[#This Row],[Mês]],Tabela1[Fase atual],"Recebido")</f>
        <v>138</v>
      </c>
      <c r="AI277" s="26">
        <f>Tabela1[[#This Row],[Recebido_ Mes]]/Tabela1[[#This Row],[Total_Mes]]</f>
        <v>0.70408163265306123</v>
      </c>
      <c r="AJ277" s="19">
        <f>COUNTIFS(Tabela1[Fase atual],"Recebido",Tabela1[Mês],Tabela1[[#This Row],[Mês]],Tabela1[Ano],Tabela1[[#This Row],[Ano]])/COUNTIF(Tabela1[Mês],Tabela1[[#This Row],[Mês]])</f>
        <v>0.70408163265306123</v>
      </c>
      <c r="AK277" s="20">
        <f>100%</f>
        <v>1</v>
      </c>
    </row>
    <row r="278" spans="1:37" ht="18" customHeight="1" x14ac:dyDescent="0.25">
      <c r="A278">
        <v>1197062475</v>
      </c>
      <c r="B278" t="s">
        <v>997</v>
      </c>
      <c r="C278" t="s">
        <v>998</v>
      </c>
      <c r="D278" t="s">
        <v>37</v>
      </c>
      <c r="E278" t="s">
        <v>31</v>
      </c>
      <c r="F278" s="2">
        <v>45887.641740706022</v>
      </c>
      <c r="AC278" s="24">
        <f t="shared" ca="1" si="9"/>
        <v>246.35825929397834</v>
      </c>
      <c r="AD278" s="25" t="str">
        <f t="shared" ca="1" si="10"/>
        <v>&gt;60 dias</v>
      </c>
      <c r="AE278" s="25">
        <f>MONTH(Tabela1[[#This Row],[Criado em]])</f>
        <v>8</v>
      </c>
      <c r="AF278" s="25">
        <f>YEAR(Tabela1[[#This Row],[Criado em]])</f>
        <v>2025</v>
      </c>
      <c r="AG278" s="25">
        <f>COUNTIFS(Tabela1[Mês],Tabela1[[#This Row],[Mês]])</f>
        <v>146</v>
      </c>
      <c r="AH278" s="25">
        <f>COUNTIFS(Tabela1[Mês],Tabela1[[#This Row],[Mês]],Tabela1[Fase atual],"Recebido")</f>
        <v>115</v>
      </c>
      <c r="AI278" s="26">
        <f>Tabela1[[#This Row],[Recebido_ Mes]]/Tabela1[[#This Row],[Total_Mes]]</f>
        <v>0.78767123287671237</v>
      </c>
      <c r="AJ278" s="19">
        <f>COUNTIFS(Tabela1[Fase atual],"Recebido",Tabela1[Mês],Tabela1[[#This Row],[Mês]],Tabela1[Ano],Tabela1[[#This Row],[Ano]])/COUNTIF(Tabela1[Mês],Tabela1[[#This Row],[Mês]])</f>
        <v>0.78767123287671237</v>
      </c>
      <c r="AK278" s="20">
        <f>100%</f>
        <v>1</v>
      </c>
    </row>
    <row r="279" spans="1:37" ht="18" customHeight="1" x14ac:dyDescent="0.25">
      <c r="A279">
        <v>1201526793</v>
      </c>
      <c r="B279" t="s">
        <v>997</v>
      </c>
      <c r="C279" t="s">
        <v>999</v>
      </c>
      <c r="D279" t="s">
        <v>784</v>
      </c>
      <c r="E279" t="s">
        <v>31</v>
      </c>
      <c r="F279" s="2">
        <v>45894.641976041661</v>
      </c>
      <c r="AC279" s="24">
        <f t="shared" ca="1" si="9"/>
        <v>239.35802395833889</v>
      </c>
      <c r="AD279" s="25" t="str">
        <f t="shared" ca="1" si="10"/>
        <v>&gt;60 dias</v>
      </c>
      <c r="AE279" s="25">
        <f>MONTH(Tabela1[[#This Row],[Criado em]])</f>
        <v>8</v>
      </c>
      <c r="AF279" s="25">
        <f>YEAR(Tabela1[[#This Row],[Criado em]])</f>
        <v>2025</v>
      </c>
      <c r="AG279" s="25">
        <f>COUNTIFS(Tabela1[Mês],Tabela1[[#This Row],[Mês]])</f>
        <v>146</v>
      </c>
      <c r="AH279" s="25">
        <f>COUNTIFS(Tabela1[Mês],Tabela1[[#This Row],[Mês]],Tabela1[Fase atual],"Recebido")</f>
        <v>115</v>
      </c>
      <c r="AI279" s="26">
        <f>Tabela1[[#This Row],[Recebido_ Mes]]/Tabela1[[#This Row],[Total_Mes]]</f>
        <v>0.78767123287671237</v>
      </c>
      <c r="AJ279" s="19">
        <f>COUNTIFS(Tabela1[Fase atual],"Recebido",Tabela1[Mês],Tabela1[[#This Row],[Mês]],Tabela1[Ano],Tabela1[[#This Row],[Ano]])/COUNTIF(Tabela1[Mês],Tabela1[[#This Row],[Mês]])</f>
        <v>0.78767123287671237</v>
      </c>
      <c r="AK279" s="20">
        <f>100%</f>
        <v>1</v>
      </c>
    </row>
    <row r="280" spans="1:37" ht="18" customHeight="1" x14ac:dyDescent="0.25">
      <c r="A280">
        <v>1210992081</v>
      </c>
      <c r="B280" t="s">
        <v>1000</v>
      </c>
      <c r="C280" t="s">
        <v>1001</v>
      </c>
      <c r="D280" t="s">
        <v>37</v>
      </c>
      <c r="E280" t="s">
        <v>31</v>
      </c>
      <c r="F280" s="2">
        <v>45909.642214687497</v>
      </c>
      <c r="AC280" s="24">
        <f t="shared" ca="1" si="9"/>
        <v>224.35778531250253</v>
      </c>
      <c r="AD280" s="25" t="str">
        <f t="shared" ca="1" si="10"/>
        <v>&gt;60 dias</v>
      </c>
      <c r="AE280" s="25">
        <f>MONTH(Tabela1[[#This Row],[Criado em]])</f>
        <v>9</v>
      </c>
      <c r="AF280" s="25">
        <f>YEAR(Tabela1[[#This Row],[Criado em]])</f>
        <v>2025</v>
      </c>
      <c r="AG280" s="25">
        <f>COUNTIFS(Tabela1[Mês],Tabela1[[#This Row],[Mês]])</f>
        <v>197</v>
      </c>
      <c r="AH280" s="25">
        <f>COUNTIFS(Tabela1[Mês],Tabela1[[#This Row],[Mês]],Tabela1[Fase atual],"Recebido")</f>
        <v>152</v>
      </c>
      <c r="AI280" s="26">
        <f>Tabela1[[#This Row],[Recebido_ Mes]]/Tabela1[[#This Row],[Total_Mes]]</f>
        <v>0.77157360406091369</v>
      </c>
      <c r="AJ280" s="19">
        <f>COUNTIFS(Tabela1[Fase atual],"Recebido",Tabela1[Mês],Tabela1[[#This Row],[Mês]],Tabela1[Ano],Tabela1[[#This Row],[Ano]])/COUNTIF(Tabela1[Mês],Tabela1[[#This Row],[Mês]])</f>
        <v>0.77157360406091369</v>
      </c>
      <c r="AK280" s="20">
        <f>100%</f>
        <v>1</v>
      </c>
    </row>
    <row r="281" spans="1:37" ht="18" customHeight="1" x14ac:dyDescent="0.25">
      <c r="A281">
        <v>1214523670</v>
      </c>
      <c r="B281" t="s">
        <v>1000</v>
      </c>
      <c r="C281" t="s">
        <v>1002</v>
      </c>
      <c r="D281" t="s">
        <v>37</v>
      </c>
      <c r="E281" t="s">
        <v>31</v>
      </c>
      <c r="F281" s="2">
        <v>45915.643418148153</v>
      </c>
      <c r="AC281" s="24">
        <f t="shared" ca="1" si="9"/>
        <v>218.3565818518473</v>
      </c>
      <c r="AD281" s="25" t="str">
        <f t="shared" ca="1" si="10"/>
        <v>&gt;60 dias</v>
      </c>
      <c r="AE281" s="25">
        <f>MONTH(Tabela1[[#This Row],[Criado em]])</f>
        <v>9</v>
      </c>
      <c r="AF281" s="25">
        <f>YEAR(Tabela1[[#This Row],[Criado em]])</f>
        <v>2025</v>
      </c>
      <c r="AG281" s="25">
        <f>COUNTIFS(Tabela1[Mês],Tabela1[[#This Row],[Mês]])</f>
        <v>197</v>
      </c>
      <c r="AH281" s="25">
        <f>COUNTIFS(Tabela1[Mês],Tabela1[[#This Row],[Mês]],Tabela1[Fase atual],"Recebido")</f>
        <v>152</v>
      </c>
      <c r="AI281" s="26">
        <f>Tabela1[[#This Row],[Recebido_ Mes]]/Tabela1[[#This Row],[Total_Mes]]</f>
        <v>0.77157360406091369</v>
      </c>
      <c r="AJ281" s="19">
        <f>COUNTIFS(Tabela1[Fase atual],"Recebido",Tabela1[Mês],Tabela1[[#This Row],[Mês]],Tabela1[Ano],Tabela1[[#This Row],[Ano]])/COUNTIF(Tabela1[Mês],Tabela1[[#This Row],[Mês]])</f>
        <v>0.77157360406091369</v>
      </c>
      <c r="AK281" s="20">
        <f>100%</f>
        <v>1</v>
      </c>
    </row>
    <row r="282" spans="1:37" ht="18" customHeight="1" x14ac:dyDescent="0.25">
      <c r="A282">
        <v>1186005427</v>
      </c>
      <c r="B282" t="s">
        <v>141</v>
      </c>
      <c r="C282" t="s">
        <v>142</v>
      </c>
      <c r="D282" t="s">
        <v>37</v>
      </c>
      <c r="E282" t="s">
        <v>31</v>
      </c>
      <c r="F282" s="2">
        <v>45868.851817106479</v>
      </c>
      <c r="AC282" s="24">
        <f t="shared" ca="1" si="9"/>
        <v>265.14818289352115</v>
      </c>
      <c r="AD282" s="25" t="str">
        <f t="shared" ca="1" si="10"/>
        <v>&gt;60 dias</v>
      </c>
      <c r="AE282" s="25">
        <f>MONTH(Tabela1[[#This Row],[Criado em]])</f>
        <v>7</v>
      </c>
      <c r="AF282" s="25">
        <f>YEAR(Tabela1[[#This Row],[Criado em]])</f>
        <v>2025</v>
      </c>
      <c r="AG282" s="25">
        <f>COUNTIFS(Tabela1[Mês],Tabela1[[#This Row],[Mês]])</f>
        <v>177</v>
      </c>
      <c r="AH282" s="25">
        <f>COUNTIFS(Tabela1[Mês],Tabela1[[#This Row],[Mês]],Tabela1[Fase atual],"Recebido")</f>
        <v>130</v>
      </c>
      <c r="AI282" s="26">
        <f>Tabela1[[#This Row],[Recebido_ Mes]]/Tabela1[[#This Row],[Total_Mes]]</f>
        <v>0.7344632768361582</v>
      </c>
      <c r="AJ282" s="19">
        <f>COUNTIFS(Tabela1[Fase atual],"Recebido",Tabela1[Mês],Tabela1[[#This Row],[Mês]],Tabela1[Ano],Tabela1[[#This Row],[Ano]])/COUNTIF(Tabela1[Mês],Tabela1[[#This Row],[Mês]])</f>
        <v>0.7344632768361582</v>
      </c>
      <c r="AK282" s="20">
        <f>100%</f>
        <v>1</v>
      </c>
    </row>
    <row r="283" spans="1:37" ht="18" customHeight="1" x14ac:dyDescent="0.25">
      <c r="A283">
        <v>1301347591</v>
      </c>
      <c r="B283" t="s">
        <v>141</v>
      </c>
      <c r="C283" t="s">
        <v>142</v>
      </c>
      <c r="D283" t="s">
        <v>37</v>
      </c>
      <c r="E283" t="s">
        <v>31</v>
      </c>
      <c r="F283" s="2">
        <v>46076.545468483797</v>
      </c>
      <c r="AC283" s="24">
        <f t="shared" ca="1" si="9"/>
        <v>57.454531516203133</v>
      </c>
      <c r="AD283" s="25" t="str">
        <f t="shared" ca="1" si="10"/>
        <v>31-60 dias</v>
      </c>
      <c r="AE283" s="25">
        <f>MONTH(Tabela1[[#This Row],[Criado em]])</f>
        <v>2</v>
      </c>
      <c r="AF283" s="25">
        <f>YEAR(Tabela1[[#This Row],[Criado em]])</f>
        <v>2026</v>
      </c>
      <c r="AG283" s="25">
        <f>COUNTIFS(Tabela1[Mês],Tabela1[[#This Row],[Mês]])</f>
        <v>197</v>
      </c>
      <c r="AH283" s="25">
        <f>COUNTIFS(Tabela1[Mês],Tabela1[[#This Row],[Mês]],Tabela1[Fase atual],"Recebido")</f>
        <v>124</v>
      </c>
      <c r="AI283" s="26">
        <f>Tabela1[[#This Row],[Recebido_ Mes]]/Tabela1[[#This Row],[Total_Mes]]</f>
        <v>0.62944162436548223</v>
      </c>
      <c r="AJ283" s="19">
        <f>COUNTIFS(Tabela1[Fase atual],"Recebido",Tabela1[Mês],Tabela1[[#This Row],[Mês]],Tabela1[Ano],Tabela1[[#This Row],[Ano]])/COUNTIF(Tabela1[Mês],Tabela1[[#This Row],[Mês]])</f>
        <v>0.62944162436548223</v>
      </c>
      <c r="AK283" s="20">
        <f>100%</f>
        <v>1</v>
      </c>
    </row>
    <row r="284" spans="1:37" ht="18" customHeight="1" x14ac:dyDescent="0.25">
      <c r="A284">
        <v>1198229212</v>
      </c>
      <c r="B284" t="s">
        <v>141</v>
      </c>
      <c r="C284" t="s">
        <v>1003</v>
      </c>
      <c r="D284" t="s">
        <v>37</v>
      </c>
      <c r="E284" t="s">
        <v>31</v>
      </c>
      <c r="F284" s="2">
        <v>45889.017306851849</v>
      </c>
      <c r="AC284" s="24">
        <f t="shared" ca="1" si="9"/>
        <v>244.98269314815116</v>
      </c>
      <c r="AD284" s="25" t="str">
        <f t="shared" ca="1" si="10"/>
        <v>&gt;60 dias</v>
      </c>
      <c r="AE284" s="25">
        <f>MONTH(Tabela1[[#This Row],[Criado em]])</f>
        <v>8</v>
      </c>
      <c r="AF284" s="25">
        <f>YEAR(Tabela1[[#This Row],[Criado em]])</f>
        <v>2025</v>
      </c>
      <c r="AG284" s="25">
        <f>COUNTIFS(Tabela1[Mês],Tabela1[[#This Row],[Mês]])</f>
        <v>146</v>
      </c>
      <c r="AH284" s="25">
        <f>COUNTIFS(Tabela1[Mês],Tabela1[[#This Row],[Mês]],Tabela1[Fase atual],"Recebido")</f>
        <v>115</v>
      </c>
      <c r="AI284" s="26">
        <f>Tabela1[[#This Row],[Recebido_ Mes]]/Tabela1[[#This Row],[Total_Mes]]</f>
        <v>0.78767123287671237</v>
      </c>
      <c r="AJ284" s="19">
        <f>COUNTIFS(Tabela1[Fase atual],"Recebido",Tabela1[Mês],Tabela1[[#This Row],[Mês]],Tabela1[Ano],Tabela1[[#This Row],[Ano]])/COUNTIF(Tabela1[Mês],Tabela1[[#This Row],[Mês]])</f>
        <v>0.78767123287671237</v>
      </c>
      <c r="AK284" s="20">
        <f>100%</f>
        <v>1</v>
      </c>
    </row>
    <row r="285" spans="1:37" ht="18" customHeight="1" x14ac:dyDescent="0.25">
      <c r="A285">
        <v>1184492700</v>
      </c>
      <c r="B285" t="s">
        <v>1004</v>
      </c>
      <c r="C285" t="s">
        <v>1005</v>
      </c>
      <c r="D285" t="s">
        <v>37</v>
      </c>
      <c r="E285" t="s">
        <v>31</v>
      </c>
      <c r="F285" s="2">
        <v>45866.642756458343</v>
      </c>
      <c r="AC285" s="24">
        <f t="shared" ca="1" si="9"/>
        <v>267.35724354165723</v>
      </c>
      <c r="AD285" s="25" t="str">
        <f t="shared" ca="1" si="10"/>
        <v>&gt;60 dias</v>
      </c>
      <c r="AE285" s="25">
        <f>MONTH(Tabela1[[#This Row],[Criado em]])</f>
        <v>7</v>
      </c>
      <c r="AF285" s="25">
        <f>YEAR(Tabela1[[#This Row],[Criado em]])</f>
        <v>2025</v>
      </c>
      <c r="AG285" s="25">
        <f>COUNTIFS(Tabela1[Mês],Tabela1[[#This Row],[Mês]])</f>
        <v>177</v>
      </c>
      <c r="AH285" s="25">
        <f>COUNTIFS(Tabela1[Mês],Tabela1[[#This Row],[Mês]],Tabela1[Fase atual],"Recebido")</f>
        <v>130</v>
      </c>
      <c r="AI285" s="26">
        <f>Tabela1[[#This Row],[Recebido_ Mes]]/Tabela1[[#This Row],[Total_Mes]]</f>
        <v>0.7344632768361582</v>
      </c>
      <c r="AJ285" s="19">
        <f>COUNTIFS(Tabela1[Fase atual],"Recebido",Tabela1[Mês],Tabela1[[#This Row],[Mês]],Tabela1[Ano],Tabela1[[#This Row],[Ano]])/COUNTIF(Tabela1[Mês],Tabela1[[#This Row],[Mês]])</f>
        <v>0.7344632768361582</v>
      </c>
      <c r="AK285" s="20">
        <f>100%</f>
        <v>1</v>
      </c>
    </row>
    <row r="286" spans="1:37" ht="18" customHeight="1" x14ac:dyDescent="0.25">
      <c r="A286">
        <v>1251207934</v>
      </c>
      <c r="B286" t="s">
        <v>1006</v>
      </c>
      <c r="C286" t="s">
        <v>1007</v>
      </c>
      <c r="D286" t="s">
        <v>37</v>
      </c>
      <c r="E286" t="s">
        <v>31</v>
      </c>
      <c r="F286" s="2">
        <v>45967.793884467603</v>
      </c>
      <c r="AC286" s="24">
        <f t="shared" ca="1" si="9"/>
        <v>166.20611553239723</v>
      </c>
      <c r="AD286" s="25" t="str">
        <f t="shared" ca="1" si="10"/>
        <v>&gt;60 dias</v>
      </c>
      <c r="AE286" s="25">
        <f>MONTH(Tabela1[[#This Row],[Criado em]])</f>
        <v>11</v>
      </c>
      <c r="AF286" s="25">
        <f>YEAR(Tabela1[[#This Row],[Criado em]])</f>
        <v>2025</v>
      </c>
      <c r="AG286" s="25">
        <f>COUNTIFS(Tabela1[Mês],Tabela1[[#This Row],[Mês]])</f>
        <v>130</v>
      </c>
      <c r="AH286" s="25">
        <f>COUNTIFS(Tabela1[Mês],Tabela1[[#This Row],[Mês]],Tabela1[Fase atual],"Recebido")</f>
        <v>100</v>
      </c>
      <c r="AI286" s="26">
        <f>Tabela1[[#This Row],[Recebido_ Mes]]/Tabela1[[#This Row],[Total_Mes]]</f>
        <v>0.76923076923076927</v>
      </c>
      <c r="AJ286" s="19">
        <f>COUNTIFS(Tabela1[Fase atual],"Recebido",Tabela1[Mês],Tabela1[[#This Row],[Mês]],Tabela1[Ano],Tabela1[[#This Row],[Ano]])/COUNTIF(Tabela1[Mês],Tabela1[[#This Row],[Mês]])</f>
        <v>0.76923076923076927</v>
      </c>
      <c r="AK286" s="20">
        <f>100%</f>
        <v>1</v>
      </c>
    </row>
    <row r="287" spans="1:37" ht="18" customHeight="1" x14ac:dyDescent="0.25">
      <c r="A287">
        <v>1255860640</v>
      </c>
      <c r="B287" t="s">
        <v>1006</v>
      </c>
      <c r="C287" t="s">
        <v>1008</v>
      </c>
      <c r="D287" t="s">
        <v>37</v>
      </c>
      <c r="E287" t="s">
        <v>31</v>
      </c>
      <c r="F287" s="2">
        <v>45978.794520543983</v>
      </c>
      <c r="AC287" s="24">
        <f t="shared" ca="1" si="9"/>
        <v>155.2054794560172</v>
      </c>
      <c r="AD287" s="25" t="str">
        <f t="shared" ca="1" si="10"/>
        <v>&gt;60 dias</v>
      </c>
      <c r="AE287" s="25">
        <f>MONTH(Tabela1[[#This Row],[Criado em]])</f>
        <v>11</v>
      </c>
      <c r="AF287" s="25">
        <f>YEAR(Tabela1[[#This Row],[Criado em]])</f>
        <v>2025</v>
      </c>
      <c r="AG287" s="25">
        <f>COUNTIFS(Tabela1[Mês],Tabela1[[#This Row],[Mês]])</f>
        <v>130</v>
      </c>
      <c r="AH287" s="25">
        <f>COUNTIFS(Tabela1[Mês],Tabela1[[#This Row],[Mês]],Tabela1[Fase atual],"Recebido")</f>
        <v>100</v>
      </c>
      <c r="AI287" s="26">
        <f>Tabela1[[#This Row],[Recebido_ Mes]]/Tabela1[[#This Row],[Total_Mes]]</f>
        <v>0.76923076923076927</v>
      </c>
      <c r="AJ287" s="19">
        <f>COUNTIFS(Tabela1[Fase atual],"Recebido",Tabela1[Mês],Tabela1[[#This Row],[Mês]],Tabela1[Ano],Tabela1[[#This Row],[Ano]])/COUNTIF(Tabela1[Mês],Tabela1[[#This Row],[Mês]])</f>
        <v>0.76923076923076927</v>
      </c>
      <c r="AK287" s="20">
        <f>100%</f>
        <v>1</v>
      </c>
    </row>
    <row r="288" spans="1:37" ht="18" customHeight="1" x14ac:dyDescent="0.25">
      <c r="A288">
        <v>1227029139</v>
      </c>
      <c r="B288" t="s">
        <v>118</v>
      </c>
      <c r="C288" t="s">
        <v>1009</v>
      </c>
      <c r="D288" t="s">
        <v>34</v>
      </c>
      <c r="E288" t="s">
        <v>31</v>
      </c>
      <c r="F288" s="2">
        <v>45933.85168324074</v>
      </c>
      <c r="AC288" s="24">
        <f t="shared" ca="1" si="9"/>
        <v>200.14831675925961</v>
      </c>
      <c r="AD288" s="25" t="str">
        <f t="shared" ca="1" si="10"/>
        <v>&gt;60 dias</v>
      </c>
      <c r="AE288" s="25">
        <f>MONTH(Tabela1[[#This Row],[Criado em]])</f>
        <v>10</v>
      </c>
      <c r="AF288" s="25">
        <f>YEAR(Tabela1[[#This Row],[Criado em]])</f>
        <v>2025</v>
      </c>
      <c r="AG288" s="25">
        <f>COUNTIFS(Tabela1[Mês],Tabela1[[#This Row],[Mês]])</f>
        <v>196</v>
      </c>
      <c r="AH288" s="25">
        <f>COUNTIFS(Tabela1[Mês],Tabela1[[#This Row],[Mês]],Tabela1[Fase atual],"Recebido")</f>
        <v>138</v>
      </c>
      <c r="AI288" s="26">
        <f>Tabela1[[#This Row],[Recebido_ Mes]]/Tabela1[[#This Row],[Total_Mes]]</f>
        <v>0.70408163265306123</v>
      </c>
      <c r="AJ288" s="19">
        <f>COUNTIFS(Tabela1[Fase atual],"Recebido",Tabela1[Mês],Tabela1[[#This Row],[Mês]],Tabela1[Ano],Tabela1[[#This Row],[Ano]])/COUNTIF(Tabela1[Mês],Tabela1[[#This Row],[Mês]])</f>
        <v>0.70408163265306123</v>
      </c>
      <c r="AK288" s="20">
        <f>100%</f>
        <v>1</v>
      </c>
    </row>
    <row r="289" spans="1:37" ht="18" customHeight="1" x14ac:dyDescent="0.25">
      <c r="A289">
        <v>1269239198</v>
      </c>
      <c r="B289" t="s">
        <v>1010</v>
      </c>
      <c r="C289" t="s">
        <v>1011</v>
      </c>
      <c r="D289" t="s">
        <v>37</v>
      </c>
      <c r="E289" t="s">
        <v>31</v>
      </c>
      <c r="F289" s="2">
        <v>46007.921548310187</v>
      </c>
      <c r="AC289" s="24">
        <f t="shared" ca="1" si="9"/>
        <v>126.07845168981294</v>
      </c>
      <c r="AD289" s="25" t="str">
        <f t="shared" ca="1" si="10"/>
        <v>&gt;60 dias</v>
      </c>
      <c r="AE289" s="25">
        <f>MONTH(Tabela1[[#This Row],[Criado em]])</f>
        <v>12</v>
      </c>
      <c r="AF289" s="25">
        <f>YEAR(Tabela1[[#This Row],[Criado em]])</f>
        <v>2025</v>
      </c>
      <c r="AG289" s="25">
        <f>COUNTIFS(Tabela1[Mês],Tabela1[[#This Row],[Mês]])</f>
        <v>207</v>
      </c>
      <c r="AH289" s="25">
        <f>COUNTIFS(Tabela1[Mês],Tabela1[[#This Row],[Mês]],Tabela1[Fase atual],"Recebido")</f>
        <v>155</v>
      </c>
      <c r="AI289" s="26">
        <f>Tabela1[[#This Row],[Recebido_ Mes]]/Tabela1[[#This Row],[Total_Mes]]</f>
        <v>0.74879227053140096</v>
      </c>
      <c r="AJ289" s="19">
        <f>COUNTIFS(Tabela1[Fase atual],"Recebido",Tabela1[Mês],Tabela1[[#This Row],[Mês]],Tabela1[Ano],Tabela1[[#This Row],[Ano]])/COUNTIF(Tabela1[Mês],Tabela1[[#This Row],[Mês]])</f>
        <v>0.74879227053140096</v>
      </c>
      <c r="AK289" s="20">
        <f>100%</f>
        <v>1</v>
      </c>
    </row>
    <row r="290" spans="1:37" ht="18" customHeight="1" x14ac:dyDescent="0.25">
      <c r="A290">
        <v>1307302010</v>
      </c>
      <c r="B290" t="s">
        <v>1010</v>
      </c>
      <c r="C290" t="s">
        <v>1011</v>
      </c>
      <c r="D290" t="s">
        <v>2179</v>
      </c>
      <c r="E290" t="s">
        <v>31</v>
      </c>
      <c r="F290" s="2">
        <v>46083.795311782407</v>
      </c>
      <c r="AC290" s="24">
        <f t="shared" ca="1" si="9"/>
        <v>50.204688217592775</v>
      </c>
      <c r="AD290" s="25" t="str">
        <f t="shared" ca="1" si="10"/>
        <v>31-60 dias</v>
      </c>
      <c r="AE290" s="25">
        <f>MONTH(Tabela1[[#This Row],[Criado em]])</f>
        <v>3</v>
      </c>
      <c r="AF290" s="25">
        <f>YEAR(Tabela1[[#This Row],[Criado em]])</f>
        <v>2026</v>
      </c>
      <c r="AG290" s="25">
        <f>COUNTIFS(Tabela1[Mês],Tabela1[[#This Row],[Mês]])</f>
        <v>62</v>
      </c>
      <c r="AH290" s="25">
        <f>COUNTIFS(Tabela1[Mês],Tabela1[[#This Row],[Mês]],Tabela1[Fase atual],"Recebido")</f>
        <v>13</v>
      </c>
      <c r="AI290" s="26">
        <f>Tabela1[[#This Row],[Recebido_ Mes]]/Tabela1[[#This Row],[Total_Mes]]</f>
        <v>0.20967741935483872</v>
      </c>
      <c r="AJ290" s="19">
        <f>COUNTIFS(Tabela1[Fase atual],"Recebido",Tabela1[Mês],Tabela1[[#This Row],[Mês]],Tabela1[Ano],Tabela1[[#This Row],[Ano]])/COUNTIF(Tabela1[Mês],Tabela1[[#This Row],[Mês]])</f>
        <v>0.20967741935483872</v>
      </c>
      <c r="AK290" s="20">
        <f>100%</f>
        <v>1</v>
      </c>
    </row>
    <row r="291" spans="1:37" ht="18" customHeight="1" x14ac:dyDescent="0.25">
      <c r="A291">
        <v>1245234359</v>
      </c>
      <c r="B291" t="s">
        <v>1010</v>
      </c>
      <c r="C291" t="s">
        <v>1012</v>
      </c>
      <c r="D291" t="s">
        <v>37</v>
      </c>
      <c r="E291" t="s">
        <v>31</v>
      </c>
      <c r="F291" s="2">
        <v>45957.545899780089</v>
      </c>
      <c r="AC291" s="24">
        <f t="shared" ca="1" si="9"/>
        <v>176.4541002199112</v>
      </c>
      <c r="AD291" s="25" t="str">
        <f t="shared" ca="1" si="10"/>
        <v>&gt;60 dias</v>
      </c>
      <c r="AE291" s="25">
        <f>MONTH(Tabela1[[#This Row],[Criado em]])</f>
        <v>10</v>
      </c>
      <c r="AF291" s="25">
        <f>YEAR(Tabela1[[#This Row],[Criado em]])</f>
        <v>2025</v>
      </c>
      <c r="AG291" s="25">
        <f>COUNTIFS(Tabela1[Mês],Tabela1[[#This Row],[Mês]])</f>
        <v>196</v>
      </c>
      <c r="AH291" s="25">
        <f>COUNTIFS(Tabela1[Mês],Tabela1[[#This Row],[Mês]],Tabela1[Fase atual],"Recebido")</f>
        <v>138</v>
      </c>
      <c r="AI291" s="26">
        <f>Tabela1[[#This Row],[Recebido_ Mes]]/Tabela1[[#This Row],[Total_Mes]]</f>
        <v>0.70408163265306123</v>
      </c>
      <c r="AJ291" s="19">
        <f>COUNTIFS(Tabela1[Fase atual],"Recebido",Tabela1[Mês],Tabela1[[#This Row],[Mês]],Tabela1[Ano],Tabela1[[#This Row],[Ano]])/COUNTIF(Tabela1[Mês],Tabela1[[#This Row],[Mês]])</f>
        <v>0.70408163265306123</v>
      </c>
      <c r="AK291" s="20">
        <f>100%</f>
        <v>1</v>
      </c>
    </row>
    <row r="292" spans="1:37" ht="18" customHeight="1" x14ac:dyDescent="0.25">
      <c r="A292">
        <v>1217277358</v>
      </c>
      <c r="B292" t="s">
        <v>1013</v>
      </c>
      <c r="C292" t="s">
        <v>1014</v>
      </c>
      <c r="D292" t="s">
        <v>784</v>
      </c>
      <c r="E292" t="s">
        <v>31</v>
      </c>
      <c r="F292" s="2">
        <v>45919.702919699077</v>
      </c>
      <c r="AC292" s="24">
        <f t="shared" ca="1" si="9"/>
        <v>214.29708030092297</v>
      </c>
      <c r="AD292" s="25" t="str">
        <f t="shared" ca="1" si="10"/>
        <v>&gt;60 dias</v>
      </c>
      <c r="AE292" s="25">
        <f>MONTH(Tabela1[[#This Row],[Criado em]])</f>
        <v>9</v>
      </c>
      <c r="AF292" s="25">
        <f>YEAR(Tabela1[[#This Row],[Criado em]])</f>
        <v>2025</v>
      </c>
      <c r="AG292" s="25">
        <f>COUNTIFS(Tabela1[Mês],Tabela1[[#This Row],[Mês]])</f>
        <v>197</v>
      </c>
      <c r="AH292" s="25">
        <f>COUNTIFS(Tabela1[Mês],Tabela1[[#This Row],[Mês]],Tabela1[Fase atual],"Recebido")</f>
        <v>152</v>
      </c>
      <c r="AI292" s="26">
        <f>Tabela1[[#This Row],[Recebido_ Mes]]/Tabela1[[#This Row],[Total_Mes]]</f>
        <v>0.77157360406091369</v>
      </c>
      <c r="AJ292" s="19">
        <f>COUNTIFS(Tabela1[Fase atual],"Recebido",Tabela1[Mês],Tabela1[[#This Row],[Mês]],Tabela1[Ano],Tabela1[[#This Row],[Ano]])/COUNTIF(Tabela1[Mês],Tabela1[[#This Row],[Mês]])</f>
        <v>0.77157360406091369</v>
      </c>
      <c r="AK292" s="20">
        <f>100%</f>
        <v>1</v>
      </c>
    </row>
    <row r="293" spans="1:37" ht="18" customHeight="1" x14ac:dyDescent="0.25">
      <c r="A293">
        <v>1273097759</v>
      </c>
      <c r="B293" t="s">
        <v>1013</v>
      </c>
      <c r="C293" t="s">
        <v>1014</v>
      </c>
      <c r="D293" t="s">
        <v>40</v>
      </c>
      <c r="E293" t="s">
        <v>31</v>
      </c>
      <c r="F293" s="2">
        <v>46017.529062581023</v>
      </c>
      <c r="AC293" s="24">
        <f t="shared" ca="1" si="9"/>
        <v>116.47093741897697</v>
      </c>
      <c r="AD293" s="25" t="str">
        <f t="shared" ca="1" si="10"/>
        <v>&gt;60 dias</v>
      </c>
      <c r="AE293" s="25">
        <f>MONTH(Tabela1[[#This Row],[Criado em]])</f>
        <v>12</v>
      </c>
      <c r="AF293" s="25">
        <f>YEAR(Tabela1[[#This Row],[Criado em]])</f>
        <v>2025</v>
      </c>
      <c r="AG293" s="25">
        <f>COUNTIFS(Tabela1[Mês],Tabela1[[#This Row],[Mês]])</f>
        <v>207</v>
      </c>
      <c r="AH293" s="25">
        <f>COUNTIFS(Tabela1[Mês],Tabela1[[#This Row],[Mês]],Tabela1[Fase atual],"Recebido")</f>
        <v>155</v>
      </c>
      <c r="AI293" s="26">
        <f>Tabela1[[#This Row],[Recebido_ Mes]]/Tabela1[[#This Row],[Total_Mes]]</f>
        <v>0.74879227053140096</v>
      </c>
      <c r="AJ293" s="19">
        <f>COUNTIFS(Tabela1[Fase atual],"Recebido",Tabela1[Mês],Tabela1[[#This Row],[Mês]],Tabela1[Ano],Tabela1[[#This Row],[Ano]])/COUNTIF(Tabela1[Mês],Tabela1[[#This Row],[Mês]])</f>
        <v>0.74879227053140096</v>
      </c>
      <c r="AK293" s="20">
        <f>100%</f>
        <v>1</v>
      </c>
    </row>
    <row r="294" spans="1:37" ht="18" customHeight="1" x14ac:dyDescent="0.25">
      <c r="A294">
        <v>1242497800</v>
      </c>
      <c r="B294" t="s">
        <v>1015</v>
      </c>
      <c r="C294" t="s">
        <v>1016</v>
      </c>
      <c r="D294" t="s">
        <v>784</v>
      </c>
      <c r="E294" t="s">
        <v>31</v>
      </c>
      <c r="F294" s="2">
        <v>45953.794205300917</v>
      </c>
      <c r="AC294" s="24">
        <f t="shared" ca="1" si="9"/>
        <v>180.20579469908262</v>
      </c>
      <c r="AD294" s="25" t="str">
        <f t="shared" ca="1" si="10"/>
        <v>&gt;60 dias</v>
      </c>
      <c r="AE294" s="25">
        <f>MONTH(Tabela1[[#This Row],[Criado em]])</f>
        <v>10</v>
      </c>
      <c r="AF294" s="25">
        <f>YEAR(Tabela1[[#This Row],[Criado em]])</f>
        <v>2025</v>
      </c>
      <c r="AG294" s="25">
        <f>COUNTIFS(Tabela1[Mês],Tabela1[[#This Row],[Mês]])</f>
        <v>196</v>
      </c>
      <c r="AH294" s="25">
        <f>COUNTIFS(Tabela1[Mês],Tabela1[[#This Row],[Mês]],Tabela1[Fase atual],"Recebido")</f>
        <v>138</v>
      </c>
      <c r="AI294" s="26">
        <f>Tabela1[[#This Row],[Recebido_ Mes]]/Tabela1[[#This Row],[Total_Mes]]</f>
        <v>0.70408163265306123</v>
      </c>
      <c r="AJ294" s="19">
        <f>COUNTIFS(Tabela1[Fase atual],"Recebido",Tabela1[Mês],Tabela1[[#This Row],[Mês]],Tabela1[Ano],Tabela1[[#This Row],[Ano]])/COUNTIF(Tabela1[Mês],Tabela1[[#This Row],[Mês]])</f>
        <v>0.70408163265306123</v>
      </c>
      <c r="AK294" s="20">
        <f>100%</f>
        <v>1</v>
      </c>
    </row>
    <row r="295" spans="1:37" ht="18" customHeight="1" x14ac:dyDescent="0.25">
      <c r="A295">
        <v>1249098034</v>
      </c>
      <c r="B295" t="s">
        <v>722</v>
      </c>
      <c r="C295" t="s">
        <v>1017</v>
      </c>
      <c r="D295" t="s">
        <v>202</v>
      </c>
      <c r="E295" t="s">
        <v>31</v>
      </c>
      <c r="F295" s="2">
        <v>45964.80572019676</v>
      </c>
      <c r="AC295" s="24">
        <f t="shared" ca="1" si="9"/>
        <v>169.19427980323962</v>
      </c>
      <c r="AD295" s="25" t="str">
        <f t="shared" ca="1" si="10"/>
        <v>&gt;60 dias</v>
      </c>
      <c r="AE295" s="25">
        <f>MONTH(Tabela1[[#This Row],[Criado em]])</f>
        <v>11</v>
      </c>
      <c r="AF295" s="25">
        <f>YEAR(Tabela1[[#This Row],[Criado em]])</f>
        <v>2025</v>
      </c>
      <c r="AG295" s="25">
        <f>COUNTIFS(Tabela1[Mês],Tabela1[[#This Row],[Mês]])</f>
        <v>130</v>
      </c>
      <c r="AH295" s="25">
        <f>COUNTIFS(Tabela1[Mês],Tabela1[[#This Row],[Mês]],Tabela1[Fase atual],"Recebido")</f>
        <v>100</v>
      </c>
      <c r="AI295" s="26">
        <f>Tabela1[[#This Row],[Recebido_ Mes]]/Tabela1[[#This Row],[Total_Mes]]</f>
        <v>0.76923076923076927</v>
      </c>
      <c r="AJ295" s="19">
        <f>COUNTIFS(Tabela1[Fase atual],"Recebido",Tabela1[Mês],Tabela1[[#This Row],[Mês]],Tabela1[Ano],Tabela1[[#This Row],[Ano]])/COUNTIF(Tabela1[Mês],Tabela1[[#This Row],[Mês]])</f>
        <v>0.76923076923076927</v>
      </c>
      <c r="AK295" s="20">
        <f>100%</f>
        <v>1</v>
      </c>
    </row>
    <row r="296" spans="1:37" ht="18" customHeight="1" x14ac:dyDescent="0.25">
      <c r="A296">
        <v>1188964387</v>
      </c>
      <c r="B296" t="s">
        <v>1018</v>
      </c>
      <c r="C296" t="s">
        <v>1019</v>
      </c>
      <c r="D296" t="s">
        <v>37</v>
      </c>
      <c r="E296" t="s">
        <v>31</v>
      </c>
      <c r="F296" s="2">
        <v>45874.717807638888</v>
      </c>
      <c r="AC296" s="24">
        <f t="shared" ca="1" si="9"/>
        <v>259.28219236111181</v>
      </c>
      <c r="AD296" s="25" t="str">
        <f t="shared" ca="1" si="10"/>
        <v>&gt;60 dias</v>
      </c>
      <c r="AE296" s="25">
        <f>MONTH(Tabela1[[#This Row],[Criado em]])</f>
        <v>8</v>
      </c>
      <c r="AF296" s="25">
        <f>YEAR(Tabela1[[#This Row],[Criado em]])</f>
        <v>2025</v>
      </c>
      <c r="AG296" s="25">
        <f>COUNTIFS(Tabela1[Mês],Tabela1[[#This Row],[Mês]])</f>
        <v>146</v>
      </c>
      <c r="AH296" s="25">
        <f>COUNTIFS(Tabela1[Mês],Tabela1[[#This Row],[Mês]],Tabela1[Fase atual],"Recebido")</f>
        <v>115</v>
      </c>
      <c r="AI296" s="26">
        <f>Tabela1[[#This Row],[Recebido_ Mes]]/Tabela1[[#This Row],[Total_Mes]]</f>
        <v>0.78767123287671237</v>
      </c>
      <c r="AJ296" s="19">
        <f>COUNTIFS(Tabela1[Fase atual],"Recebido",Tabela1[Mês],Tabela1[[#This Row],[Mês]],Tabela1[Ano],Tabela1[[#This Row],[Ano]])/COUNTIF(Tabela1[Mês],Tabela1[[#This Row],[Mês]])</f>
        <v>0.78767123287671237</v>
      </c>
      <c r="AK296" s="20">
        <f>100%</f>
        <v>1</v>
      </c>
    </row>
    <row r="297" spans="1:37" ht="18" customHeight="1" x14ac:dyDescent="0.25">
      <c r="A297">
        <v>1176577447</v>
      </c>
      <c r="B297" t="s">
        <v>1018</v>
      </c>
      <c r="C297" t="s">
        <v>1019</v>
      </c>
      <c r="D297" t="s">
        <v>37</v>
      </c>
      <c r="E297" t="s">
        <v>31</v>
      </c>
      <c r="F297" s="2">
        <v>45853.578176122683</v>
      </c>
      <c r="AC297" s="24">
        <f t="shared" ca="1" si="9"/>
        <v>280.42182387731737</v>
      </c>
      <c r="AD297" s="25" t="str">
        <f t="shared" ca="1" si="10"/>
        <v>&gt;60 dias</v>
      </c>
      <c r="AE297" s="25">
        <f>MONTH(Tabela1[[#This Row],[Criado em]])</f>
        <v>7</v>
      </c>
      <c r="AF297" s="25">
        <f>YEAR(Tabela1[[#This Row],[Criado em]])</f>
        <v>2025</v>
      </c>
      <c r="AG297" s="25">
        <f>COUNTIFS(Tabela1[Mês],Tabela1[[#This Row],[Mês]])</f>
        <v>177</v>
      </c>
      <c r="AH297" s="25">
        <f>COUNTIFS(Tabela1[Mês],Tabela1[[#This Row],[Mês]],Tabela1[Fase atual],"Recebido")</f>
        <v>130</v>
      </c>
      <c r="AI297" s="26">
        <f>Tabela1[[#This Row],[Recebido_ Mes]]/Tabela1[[#This Row],[Total_Mes]]</f>
        <v>0.7344632768361582</v>
      </c>
      <c r="AJ297" s="19">
        <f>COUNTIFS(Tabela1[Fase atual],"Recebido",Tabela1[Mês],Tabela1[[#This Row],[Mês]],Tabela1[Ano],Tabela1[[#This Row],[Ano]])/COUNTIF(Tabela1[Mês],Tabela1[[#This Row],[Mês]])</f>
        <v>0.7344632768361582</v>
      </c>
      <c r="AK297" s="20">
        <f>100%</f>
        <v>1</v>
      </c>
    </row>
    <row r="298" spans="1:37" ht="18" customHeight="1" x14ac:dyDescent="0.25">
      <c r="A298">
        <v>1224447444</v>
      </c>
      <c r="B298" t="s">
        <v>1020</v>
      </c>
      <c r="C298" t="s">
        <v>1021</v>
      </c>
      <c r="D298" t="s">
        <v>37</v>
      </c>
      <c r="E298" t="s">
        <v>31</v>
      </c>
      <c r="F298" s="2">
        <v>45930.642959884273</v>
      </c>
      <c r="AC298" s="24">
        <f t="shared" ca="1" si="9"/>
        <v>203.3570401157267</v>
      </c>
      <c r="AD298" s="25" t="str">
        <f t="shared" ca="1" si="10"/>
        <v>&gt;60 dias</v>
      </c>
      <c r="AE298" s="25">
        <f>MONTH(Tabela1[[#This Row],[Criado em]])</f>
        <v>9</v>
      </c>
      <c r="AF298" s="25">
        <f>YEAR(Tabela1[[#This Row],[Criado em]])</f>
        <v>2025</v>
      </c>
      <c r="AG298" s="25">
        <f>COUNTIFS(Tabela1[Mês],Tabela1[[#This Row],[Mês]])</f>
        <v>197</v>
      </c>
      <c r="AH298" s="25">
        <f>COUNTIFS(Tabela1[Mês],Tabela1[[#This Row],[Mês]],Tabela1[Fase atual],"Recebido")</f>
        <v>152</v>
      </c>
      <c r="AI298" s="26">
        <f>Tabela1[[#This Row],[Recebido_ Mes]]/Tabela1[[#This Row],[Total_Mes]]</f>
        <v>0.77157360406091369</v>
      </c>
      <c r="AJ298" s="19">
        <f>COUNTIFS(Tabela1[Fase atual],"Recebido",Tabela1[Mês],Tabela1[[#This Row],[Mês]],Tabela1[Ano],Tabela1[[#This Row],[Ano]])/COUNTIF(Tabela1[Mês],Tabela1[[#This Row],[Mês]])</f>
        <v>0.77157360406091369</v>
      </c>
      <c r="AK298" s="20">
        <f>100%</f>
        <v>1</v>
      </c>
    </row>
    <row r="299" spans="1:37" ht="18" customHeight="1" x14ac:dyDescent="0.25">
      <c r="A299">
        <v>1275238207</v>
      </c>
      <c r="B299" t="s">
        <v>1022</v>
      </c>
      <c r="C299" t="s">
        <v>1023</v>
      </c>
      <c r="D299" t="s">
        <v>37</v>
      </c>
      <c r="E299" t="s">
        <v>31</v>
      </c>
      <c r="F299" s="2">
        <v>46022.631379062499</v>
      </c>
      <c r="AC299" s="24">
        <f t="shared" ca="1" si="9"/>
        <v>111.36862093750096</v>
      </c>
      <c r="AD299" s="25" t="str">
        <f t="shared" ca="1" si="10"/>
        <v>&gt;60 dias</v>
      </c>
      <c r="AE299" s="25">
        <f>MONTH(Tabela1[[#This Row],[Criado em]])</f>
        <v>12</v>
      </c>
      <c r="AF299" s="25">
        <f>YEAR(Tabela1[[#This Row],[Criado em]])</f>
        <v>2025</v>
      </c>
      <c r="AG299" s="25">
        <f>COUNTIFS(Tabela1[Mês],Tabela1[[#This Row],[Mês]])</f>
        <v>207</v>
      </c>
      <c r="AH299" s="25">
        <f>COUNTIFS(Tabela1[Mês],Tabela1[[#This Row],[Mês]],Tabela1[Fase atual],"Recebido")</f>
        <v>155</v>
      </c>
      <c r="AI299" s="26">
        <f>Tabela1[[#This Row],[Recebido_ Mes]]/Tabela1[[#This Row],[Total_Mes]]</f>
        <v>0.74879227053140096</v>
      </c>
      <c r="AJ299" s="19">
        <f>COUNTIFS(Tabela1[Fase atual],"Recebido",Tabela1[Mês],Tabela1[[#This Row],[Mês]],Tabela1[Ano],Tabela1[[#This Row],[Ano]])/COUNTIF(Tabela1[Mês],Tabela1[[#This Row],[Mês]])</f>
        <v>0.74879227053140096</v>
      </c>
      <c r="AK299" s="20">
        <f>100%</f>
        <v>1</v>
      </c>
    </row>
    <row r="300" spans="1:37" ht="18" customHeight="1" x14ac:dyDescent="0.25">
      <c r="A300">
        <v>1293338958</v>
      </c>
      <c r="B300" t="s">
        <v>143</v>
      </c>
      <c r="C300" t="s">
        <v>144</v>
      </c>
      <c r="D300" t="s">
        <v>37</v>
      </c>
      <c r="E300" t="s">
        <v>31</v>
      </c>
      <c r="F300" s="2">
        <v>46057.796312893523</v>
      </c>
      <c r="AC300" s="24">
        <f t="shared" ca="1" si="9"/>
        <v>76.203687106477446</v>
      </c>
      <c r="AD300" s="25" t="str">
        <f t="shared" ca="1" si="10"/>
        <v>&gt;60 dias</v>
      </c>
      <c r="AE300" s="25">
        <f>MONTH(Tabela1[[#This Row],[Criado em]])</f>
        <v>2</v>
      </c>
      <c r="AF300" s="25">
        <f>YEAR(Tabela1[[#This Row],[Criado em]])</f>
        <v>2026</v>
      </c>
      <c r="AG300" s="25">
        <f>COUNTIFS(Tabela1[Mês],Tabela1[[#This Row],[Mês]])</f>
        <v>197</v>
      </c>
      <c r="AH300" s="25">
        <f>COUNTIFS(Tabela1[Mês],Tabela1[[#This Row],[Mês]],Tabela1[Fase atual],"Recebido")</f>
        <v>124</v>
      </c>
      <c r="AI300" s="26">
        <f>Tabela1[[#This Row],[Recebido_ Mes]]/Tabela1[[#This Row],[Total_Mes]]</f>
        <v>0.62944162436548223</v>
      </c>
      <c r="AJ300" s="19">
        <f>COUNTIFS(Tabela1[Fase atual],"Recebido",Tabela1[Mês],Tabela1[[#This Row],[Mês]],Tabela1[Ano],Tabela1[[#This Row],[Ano]])/COUNTIF(Tabela1[Mês],Tabela1[[#This Row],[Mês]])</f>
        <v>0.62944162436548223</v>
      </c>
      <c r="AK300" s="20">
        <f>100%</f>
        <v>1</v>
      </c>
    </row>
    <row r="301" spans="1:37" ht="18" customHeight="1" x14ac:dyDescent="0.25">
      <c r="A301">
        <v>1197075458</v>
      </c>
      <c r="B301" t="s">
        <v>1024</v>
      </c>
      <c r="C301" t="s">
        <v>1025</v>
      </c>
      <c r="D301" t="s">
        <v>37</v>
      </c>
      <c r="E301" t="s">
        <v>31</v>
      </c>
      <c r="F301" s="2">
        <v>45887.659627118061</v>
      </c>
      <c r="AC301" s="24">
        <f t="shared" ca="1" si="9"/>
        <v>246.3403728819394</v>
      </c>
      <c r="AD301" s="25" t="str">
        <f t="shared" ca="1" si="10"/>
        <v>&gt;60 dias</v>
      </c>
      <c r="AE301" s="25">
        <f>MONTH(Tabela1[[#This Row],[Criado em]])</f>
        <v>8</v>
      </c>
      <c r="AF301" s="25">
        <f>YEAR(Tabela1[[#This Row],[Criado em]])</f>
        <v>2025</v>
      </c>
      <c r="AG301" s="25">
        <f>COUNTIFS(Tabela1[Mês],Tabela1[[#This Row],[Mês]])</f>
        <v>146</v>
      </c>
      <c r="AH301" s="25">
        <f>COUNTIFS(Tabela1[Mês],Tabela1[[#This Row],[Mês]],Tabela1[Fase atual],"Recebido")</f>
        <v>115</v>
      </c>
      <c r="AI301" s="26">
        <f>Tabela1[[#This Row],[Recebido_ Mes]]/Tabela1[[#This Row],[Total_Mes]]</f>
        <v>0.78767123287671237</v>
      </c>
      <c r="AJ301" s="19">
        <f>COUNTIFS(Tabela1[Fase atual],"Recebido",Tabela1[Mês],Tabela1[[#This Row],[Mês]],Tabela1[Ano],Tabela1[[#This Row],[Ano]])/COUNTIF(Tabela1[Mês],Tabela1[[#This Row],[Mês]])</f>
        <v>0.78767123287671237</v>
      </c>
      <c r="AK301" s="20">
        <f>100%</f>
        <v>1</v>
      </c>
    </row>
    <row r="302" spans="1:37" ht="18" customHeight="1" x14ac:dyDescent="0.25">
      <c r="A302">
        <v>1181276121</v>
      </c>
      <c r="B302" t="s">
        <v>1026</v>
      </c>
      <c r="C302" t="s">
        <v>1027</v>
      </c>
      <c r="D302" t="s">
        <v>37</v>
      </c>
      <c r="E302" t="s">
        <v>31</v>
      </c>
      <c r="F302" s="2">
        <v>45860.851681018517</v>
      </c>
      <c r="AC302" s="24">
        <f t="shared" ca="1" si="9"/>
        <v>273.14831898148259</v>
      </c>
      <c r="AD302" s="25" t="str">
        <f t="shared" ca="1" si="10"/>
        <v>&gt;60 dias</v>
      </c>
      <c r="AE302" s="25">
        <f>MONTH(Tabela1[[#This Row],[Criado em]])</f>
        <v>7</v>
      </c>
      <c r="AF302" s="25">
        <f>YEAR(Tabela1[[#This Row],[Criado em]])</f>
        <v>2025</v>
      </c>
      <c r="AG302" s="25">
        <f>COUNTIFS(Tabela1[Mês],Tabela1[[#This Row],[Mês]])</f>
        <v>177</v>
      </c>
      <c r="AH302" s="25">
        <f>COUNTIFS(Tabela1[Mês],Tabela1[[#This Row],[Mês]],Tabela1[Fase atual],"Recebido")</f>
        <v>130</v>
      </c>
      <c r="AI302" s="26">
        <f>Tabela1[[#This Row],[Recebido_ Mes]]/Tabela1[[#This Row],[Total_Mes]]</f>
        <v>0.7344632768361582</v>
      </c>
      <c r="AJ302" s="19">
        <f>COUNTIFS(Tabela1[Fase atual],"Recebido",Tabela1[Mês],Tabela1[[#This Row],[Mês]],Tabela1[Ano],Tabela1[[#This Row],[Ano]])/COUNTIF(Tabela1[Mês],Tabela1[[#This Row],[Mês]])</f>
        <v>0.7344632768361582</v>
      </c>
      <c r="AK302" s="20">
        <f>100%</f>
        <v>1</v>
      </c>
    </row>
    <row r="303" spans="1:37" ht="18" customHeight="1" x14ac:dyDescent="0.25">
      <c r="A303">
        <v>1212890552</v>
      </c>
      <c r="B303" t="s">
        <v>1028</v>
      </c>
      <c r="C303" t="s">
        <v>1029</v>
      </c>
      <c r="D303" t="s">
        <v>37</v>
      </c>
      <c r="E303" t="s">
        <v>31</v>
      </c>
      <c r="F303" s="2">
        <v>45912.018168101851</v>
      </c>
      <c r="AC303" s="24">
        <f t="shared" ca="1" si="9"/>
        <v>221.98183189814881</v>
      </c>
      <c r="AD303" s="25" t="str">
        <f t="shared" ca="1" si="10"/>
        <v>&gt;60 dias</v>
      </c>
      <c r="AE303" s="25">
        <f>MONTH(Tabela1[[#This Row],[Criado em]])</f>
        <v>9</v>
      </c>
      <c r="AF303" s="25">
        <f>YEAR(Tabela1[[#This Row],[Criado em]])</f>
        <v>2025</v>
      </c>
      <c r="AG303" s="25">
        <f>COUNTIFS(Tabela1[Mês],Tabela1[[#This Row],[Mês]])</f>
        <v>197</v>
      </c>
      <c r="AH303" s="25">
        <f>COUNTIFS(Tabela1[Mês],Tabela1[[#This Row],[Mês]],Tabela1[Fase atual],"Recebido")</f>
        <v>152</v>
      </c>
      <c r="AI303" s="26">
        <f>Tabela1[[#This Row],[Recebido_ Mes]]/Tabela1[[#This Row],[Total_Mes]]</f>
        <v>0.77157360406091369</v>
      </c>
      <c r="AJ303" s="19">
        <f>COUNTIFS(Tabela1[Fase atual],"Recebido",Tabela1[Mês],Tabela1[[#This Row],[Mês]],Tabela1[Ano],Tabela1[[#This Row],[Ano]])/COUNTIF(Tabela1[Mês],Tabela1[[#This Row],[Mês]])</f>
        <v>0.77157360406091369</v>
      </c>
      <c r="AK303" s="20">
        <f>100%</f>
        <v>1</v>
      </c>
    </row>
    <row r="304" spans="1:37" ht="18" customHeight="1" x14ac:dyDescent="0.25">
      <c r="A304">
        <v>1266213139</v>
      </c>
      <c r="B304" t="s">
        <v>700</v>
      </c>
      <c r="C304" t="s">
        <v>1030</v>
      </c>
      <c r="D304" t="s">
        <v>37</v>
      </c>
      <c r="E304" t="s">
        <v>31</v>
      </c>
      <c r="F304" s="2">
        <v>46000.921825925921</v>
      </c>
      <c r="AC304" s="24">
        <f t="shared" ca="1" si="9"/>
        <v>133.07817407407856</v>
      </c>
      <c r="AD304" s="25" t="str">
        <f t="shared" ca="1" si="10"/>
        <v>&gt;60 dias</v>
      </c>
      <c r="AE304" s="25">
        <f>MONTH(Tabela1[[#This Row],[Criado em]])</f>
        <v>12</v>
      </c>
      <c r="AF304" s="25">
        <f>YEAR(Tabela1[[#This Row],[Criado em]])</f>
        <v>2025</v>
      </c>
      <c r="AG304" s="25">
        <f>COUNTIFS(Tabela1[Mês],Tabela1[[#This Row],[Mês]])</f>
        <v>207</v>
      </c>
      <c r="AH304" s="25">
        <f>COUNTIFS(Tabela1[Mês],Tabela1[[#This Row],[Mês]],Tabela1[Fase atual],"Recebido")</f>
        <v>155</v>
      </c>
      <c r="AI304" s="26">
        <f>Tabela1[[#This Row],[Recebido_ Mes]]/Tabela1[[#This Row],[Total_Mes]]</f>
        <v>0.74879227053140096</v>
      </c>
      <c r="AJ304" s="19">
        <f>COUNTIFS(Tabela1[Fase atual],"Recebido",Tabela1[Mês],Tabela1[[#This Row],[Mês]],Tabela1[Ano],Tabela1[[#This Row],[Ano]])/COUNTIF(Tabela1[Mês],Tabela1[[#This Row],[Mês]])</f>
        <v>0.74879227053140096</v>
      </c>
      <c r="AK304" s="20">
        <f>100%</f>
        <v>1</v>
      </c>
    </row>
    <row r="305" spans="1:37" ht="18" customHeight="1" x14ac:dyDescent="0.25">
      <c r="A305">
        <v>1185365110</v>
      </c>
      <c r="B305" t="s">
        <v>1031</v>
      </c>
      <c r="C305" t="s">
        <v>1032</v>
      </c>
      <c r="D305" t="s">
        <v>37</v>
      </c>
      <c r="E305" t="s">
        <v>31</v>
      </c>
      <c r="F305" s="2">
        <v>45867.851753819443</v>
      </c>
      <c r="AC305" s="24">
        <f t="shared" ca="1" si="9"/>
        <v>266.14824618055718</v>
      </c>
      <c r="AD305" s="25" t="str">
        <f t="shared" ca="1" si="10"/>
        <v>&gt;60 dias</v>
      </c>
      <c r="AE305" s="25">
        <f>MONTH(Tabela1[[#This Row],[Criado em]])</f>
        <v>7</v>
      </c>
      <c r="AF305" s="25">
        <f>YEAR(Tabela1[[#This Row],[Criado em]])</f>
        <v>2025</v>
      </c>
      <c r="AG305" s="25">
        <f>COUNTIFS(Tabela1[Mês],Tabela1[[#This Row],[Mês]])</f>
        <v>177</v>
      </c>
      <c r="AH305" s="25">
        <f>COUNTIFS(Tabela1[Mês],Tabela1[[#This Row],[Mês]],Tabela1[Fase atual],"Recebido")</f>
        <v>130</v>
      </c>
      <c r="AI305" s="26">
        <f>Tabela1[[#This Row],[Recebido_ Mes]]/Tabela1[[#This Row],[Total_Mes]]</f>
        <v>0.7344632768361582</v>
      </c>
      <c r="AJ305" s="19">
        <f>COUNTIFS(Tabela1[Fase atual],"Recebido",Tabela1[Mês],Tabela1[[#This Row],[Mês]],Tabela1[Ano],Tabela1[[#This Row],[Ano]])/COUNTIF(Tabela1[Mês],Tabela1[[#This Row],[Mês]])</f>
        <v>0.7344632768361582</v>
      </c>
      <c r="AK305" s="20">
        <f>100%</f>
        <v>1</v>
      </c>
    </row>
    <row r="306" spans="1:37" ht="18" customHeight="1" x14ac:dyDescent="0.25">
      <c r="A306">
        <v>1209249661</v>
      </c>
      <c r="B306" t="s">
        <v>1033</v>
      </c>
      <c r="C306" t="s">
        <v>1034</v>
      </c>
      <c r="D306" t="s">
        <v>37</v>
      </c>
      <c r="E306" t="s">
        <v>31</v>
      </c>
      <c r="F306" s="2">
        <v>45905.851901678237</v>
      </c>
      <c r="AC306" s="24">
        <f t="shared" ca="1" si="9"/>
        <v>228.14809832176252</v>
      </c>
      <c r="AD306" s="25" t="str">
        <f t="shared" ca="1" si="10"/>
        <v>&gt;60 dias</v>
      </c>
      <c r="AE306" s="25">
        <f>MONTH(Tabela1[[#This Row],[Criado em]])</f>
        <v>9</v>
      </c>
      <c r="AF306" s="25">
        <f>YEAR(Tabela1[[#This Row],[Criado em]])</f>
        <v>2025</v>
      </c>
      <c r="AG306" s="25">
        <f>COUNTIFS(Tabela1[Mês],Tabela1[[#This Row],[Mês]])</f>
        <v>197</v>
      </c>
      <c r="AH306" s="25">
        <f>COUNTIFS(Tabela1[Mês],Tabela1[[#This Row],[Mês]],Tabela1[Fase atual],"Recebido")</f>
        <v>152</v>
      </c>
      <c r="AI306" s="26">
        <f>Tabela1[[#This Row],[Recebido_ Mes]]/Tabela1[[#This Row],[Total_Mes]]</f>
        <v>0.77157360406091369</v>
      </c>
      <c r="AJ306" s="19">
        <f>COUNTIFS(Tabela1[Fase atual],"Recebido",Tabela1[Mês],Tabela1[[#This Row],[Mês]],Tabela1[Ano],Tabela1[[#This Row],[Ano]])/COUNTIF(Tabela1[Mês],Tabela1[[#This Row],[Mês]])</f>
        <v>0.77157360406091369</v>
      </c>
      <c r="AK306" s="20">
        <f>100%</f>
        <v>1</v>
      </c>
    </row>
    <row r="307" spans="1:37" ht="18" customHeight="1" x14ac:dyDescent="0.25">
      <c r="A307">
        <v>1180443258</v>
      </c>
      <c r="B307" t="s">
        <v>661</v>
      </c>
      <c r="C307" t="s">
        <v>1035</v>
      </c>
      <c r="D307" t="s">
        <v>40</v>
      </c>
      <c r="E307" t="s">
        <v>31</v>
      </c>
      <c r="F307" s="2">
        <v>45859.851881192131</v>
      </c>
      <c r="AC307" s="24">
        <f t="shared" ca="1" si="9"/>
        <v>274.14811880786874</v>
      </c>
      <c r="AD307" s="25" t="str">
        <f t="shared" ca="1" si="10"/>
        <v>&gt;60 dias</v>
      </c>
      <c r="AE307" s="25">
        <f>MONTH(Tabela1[[#This Row],[Criado em]])</f>
        <v>7</v>
      </c>
      <c r="AF307" s="25">
        <f>YEAR(Tabela1[[#This Row],[Criado em]])</f>
        <v>2025</v>
      </c>
      <c r="AG307" s="25">
        <f>COUNTIFS(Tabela1[Mês],Tabela1[[#This Row],[Mês]])</f>
        <v>177</v>
      </c>
      <c r="AH307" s="25">
        <f>COUNTIFS(Tabela1[Mês],Tabela1[[#This Row],[Mês]],Tabela1[Fase atual],"Recebido")</f>
        <v>130</v>
      </c>
      <c r="AI307" s="26">
        <f>Tabela1[[#This Row],[Recebido_ Mes]]/Tabela1[[#This Row],[Total_Mes]]</f>
        <v>0.7344632768361582</v>
      </c>
      <c r="AJ307" s="19">
        <f>COUNTIFS(Tabela1[Fase atual],"Recebido",Tabela1[Mês],Tabela1[[#This Row],[Mês]],Tabela1[Ano],Tabela1[[#This Row],[Ano]])/COUNTIF(Tabela1[Mês],Tabela1[[#This Row],[Mês]])</f>
        <v>0.7344632768361582</v>
      </c>
      <c r="AK307" s="20">
        <f>100%</f>
        <v>1</v>
      </c>
    </row>
    <row r="308" spans="1:37" ht="18" customHeight="1" x14ac:dyDescent="0.25">
      <c r="A308">
        <v>1221522251</v>
      </c>
      <c r="B308" t="s">
        <v>1036</v>
      </c>
      <c r="C308" t="s">
        <v>1037</v>
      </c>
      <c r="D308" t="s">
        <v>37</v>
      </c>
      <c r="E308" t="s">
        <v>31</v>
      </c>
      <c r="F308" s="2">
        <v>45925.851281608797</v>
      </c>
      <c r="AC308" s="24">
        <f t="shared" ca="1" si="9"/>
        <v>208.14871839120315</v>
      </c>
      <c r="AD308" s="25" t="str">
        <f t="shared" ca="1" si="10"/>
        <v>&gt;60 dias</v>
      </c>
      <c r="AE308" s="25">
        <f>MONTH(Tabela1[[#This Row],[Criado em]])</f>
        <v>9</v>
      </c>
      <c r="AF308" s="25">
        <f>YEAR(Tabela1[[#This Row],[Criado em]])</f>
        <v>2025</v>
      </c>
      <c r="AG308" s="25">
        <f>COUNTIFS(Tabela1[Mês],Tabela1[[#This Row],[Mês]])</f>
        <v>197</v>
      </c>
      <c r="AH308" s="25">
        <f>COUNTIFS(Tabela1[Mês],Tabela1[[#This Row],[Mês]],Tabela1[Fase atual],"Recebido")</f>
        <v>152</v>
      </c>
      <c r="AI308" s="26">
        <f>Tabela1[[#This Row],[Recebido_ Mes]]/Tabela1[[#This Row],[Total_Mes]]</f>
        <v>0.77157360406091369</v>
      </c>
      <c r="AJ308" s="19">
        <f>COUNTIFS(Tabela1[Fase atual],"Recebido",Tabela1[Mês],Tabela1[[#This Row],[Mês]],Tabela1[Ano],Tabela1[[#This Row],[Ano]])/COUNTIF(Tabela1[Mês],Tabela1[[#This Row],[Mês]])</f>
        <v>0.77157360406091369</v>
      </c>
      <c r="AK308" s="20">
        <f>100%</f>
        <v>1</v>
      </c>
    </row>
    <row r="309" spans="1:37" ht="18" customHeight="1" x14ac:dyDescent="0.25">
      <c r="A309">
        <v>1295113610</v>
      </c>
      <c r="B309" t="s">
        <v>145</v>
      </c>
      <c r="C309" t="s">
        <v>146</v>
      </c>
      <c r="D309" t="s">
        <v>37</v>
      </c>
      <c r="E309" t="s">
        <v>31</v>
      </c>
      <c r="F309" s="2">
        <v>46062.544719189813</v>
      </c>
      <c r="AC309" s="24">
        <f t="shared" ca="1" si="9"/>
        <v>71.455280810187105</v>
      </c>
      <c r="AD309" s="25" t="str">
        <f t="shared" ca="1" si="10"/>
        <v>&gt;60 dias</v>
      </c>
      <c r="AE309" s="25">
        <f>MONTH(Tabela1[[#This Row],[Criado em]])</f>
        <v>2</v>
      </c>
      <c r="AF309" s="25">
        <f>YEAR(Tabela1[[#This Row],[Criado em]])</f>
        <v>2026</v>
      </c>
      <c r="AG309" s="25">
        <f>COUNTIFS(Tabela1[Mês],Tabela1[[#This Row],[Mês]])</f>
        <v>197</v>
      </c>
      <c r="AH309" s="25">
        <f>COUNTIFS(Tabela1[Mês],Tabela1[[#This Row],[Mês]],Tabela1[Fase atual],"Recebido")</f>
        <v>124</v>
      </c>
      <c r="AI309" s="26">
        <f>Tabela1[[#This Row],[Recebido_ Mes]]/Tabela1[[#This Row],[Total_Mes]]</f>
        <v>0.62944162436548223</v>
      </c>
      <c r="AJ309" s="19">
        <f>COUNTIFS(Tabela1[Fase atual],"Recebido",Tabela1[Mês],Tabela1[[#This Row],[Mês]],Tabela1[Ano],Tabela1[[#This Row],[Ano]])/COUNTIF(Tabela1[Mês],Tabela1[[#This Row],[Mês]])</f>
        <v>0.62944162436548223</v>
      </c>
      <c r="AK309" s="20">
        <f>100%</f>
        <v>1</v>
      </c>
    </row>
    <row r="310" spans="1:37" ht="18" customHeight="1" x14ac:dyDescent="0.25">
      <c r="A310">
        <v>1295112873</v>
      </c>
      <c r="B310" t="s">
        <v>145</v>
      </c>
      <c r="C310" t="s">
        <v>146</v>
      </c>
      <c r="D310" t="s">
        <v>37</v>
      </c>
      <c r="E310" t="s">
        <v>31</v>
      </c>
      <c r="F310" s="2">
        <v>46062.544228159721</v>
      </c>
      <c r="AC310" s="24">
        <f t="shared" ca="1" si="9"/>
        <v>71.45577184027934</v>
      </c>
      <c r="AD310" s="25" t="str">
        <f t="shared" ca="1" si="10"/>
        <v>&gt;60 dias</v>
      </c>
      <c r="AE310" s="25">
        <f>MONTH(Tabela1[[#This Row],[Criado em]])</f>
        <v>2</v>
      </c>
      <c r="AF310" s="25">
        <f>YEAR(Tabela1[[#This Row],[Criado em]])</f>
        <v>2026</v>
      </c>
      <c r="AG310" s="25">
        <f>COUNTIFS(Tabela1[Mês],Tabela1[[#This Row],[Mês]])</f>
        <v>197</v>
      </c>
      <c r="AH310" s="25">
        <f>COUNTIFS(Tabela1[Mês],Tabela1[[#This Row],[Mês]],Tabela1[Fase atual],"Recebido")</f>
        <v>124</v>
      </c>
      <c r="AI310" s="26">
        <f>Tabela1[[#This Row],[Recebido_ Mes]]/Tabela1[[#This Row],[Total_Mes]]</f>
        <v>0.62944162436548223</v>
      </c>
      <c r="AJ310" s="19">
        <f>COUNTIFS(Tabela1[Fase atual],"Recebido",Tabela1[Mês],Tabela1[[#This Row],[Mês]],Tabela1[Ano],Tabela1[[#This Row],[Ano]])/COUNTIF(Tabela1[Mês],Tabela1[[#This Row],[Mês]])</f>
        <v>0.62944162436548223</v>
      </c>
      <c r="AK310" s="20">
        <f>100%</f>
        <v>1</v>
      </c>
    </row>
    <row r="311" spans="1:37" ht="18" customHeight="1" x14ac:dyDescent="0.25">
      <c r="A311">
        <v>1291011503</v>
      </c>
      <c r="B311" t="s">
        <v>145</v>
      </c>
      <c r="C311" t="s">
        <v>147</v>
      </c>
      <c r="D311" t="s">
        <v>37</v>
      </c>
      <c r="E311" t="s">
        <v>31</v>
      </c>
      <c r="F311" s="2">
        <v>46052.702885671293</v>
      </c>
      <c r="AC311" s="24">
        <f t="shared" ca="1" si="9"/>
        <v>81.297114328706812</v>
      </c>
      <c r="AD311" s="25" t="str">
        <f t="shared" ca="1" si="10"/>
        <v>&gt;60 dias</v>
      </c>
      <c r="AE311" s="25">
        <f>MONTH(Tabela1[[#This Row],[Criado em]])</f>
        <v>1</v>
      </c>
      <c r="AF311" s="25">
        <f>YEAR(Tabela1[[#This Row],[Criado em]])</f>
        <v>2026</v>
      </c>
      <c r="AG311" s="25">
        <f>COUNTIFS(Tabela1[Mês],Tabela1[[#This Row],[Mês]])</f>
        <v>222</v>
      </c>
      <c r="AH311" s="25">
        <f>COUNTIFS(Tabela1[Mês],Tabela1[[#This Row],[Mês]],Tabela1[Fase atual],"Recebido")</f>
        <v>174</v>
      </c>
      <c r="AI311" s="26">
        <f>Tabela1[[#This Row],[Recebido_ Mes]]/Tabela1[[#This Row],[Total_Mes]]</f>
        <v>0.78378378378378377</v>
      </c>
      <c r="AJ311" s="19">
        <f>COUNTIFS(Tabela1[Fase atual],"Recebido",Tabela1[Mês],Tabela1[[#This Row],[Mês]],Tabela1[Ano],Tabela1[[#This Row],[Ano]])/COUNTIF(Tabela1[Mês],Tabela1[[#This Row],[Mês]])</f>
        <v>0.78378378378378377</v>
      </c>
      <c r="AK311" s="20">
        <f>100%</f>
        <v>1</v>
      </c>
    </row>
    <row r="312" spans="1:37" ht="18" customHeight="1" x14ac:dyDescent="0.25">
      <c r="A312">
        <v>1294339031</v>
      </c>
      <c r="B312" t="s">
        <v>145</v>
      </c>
      <c r="C312" t="s">
        <v>147</v>
      </c>
      <c r="D312" t="s">
        <v>37</v>
      </c>
      <c r="E312" t="s">
        <v>31</v>
      </c>
      <c r="F312" s="2">
        <v>46059.626823969913</v>
      </c>
      <c r="AC312" s="24">
        <f t="shared" ca="1" si="9"/>
        <v>74.373176030087052</v>
      </c>
      <c r="AD312" s="25" t="str">
        <f t="shared" ca="1" si="10"/>
        <v>&gt;60 dias</v>
      </c>
      <c r="AE312" s="25">
        <f>MONTH(Tabela1[[#This Row],[Criado em]])</f>
        <v>2</v>
      </c>
      <c r="AF312" s="25">
        <f>YEAR(Tabela1[[#This Row],[Criado em]])</f>
        <v>2026</v>
      </c>
      <c r="AG312" s="25">
        <f>COUNTIFS(Tabela1[Mês],Tabela1[[#This Row],[Mês]])</f>
        <v>197</v>
      </c>
      <c r="AH312" s="25">
        <f>COUNTIFS(Tabela1[Mês],Tabela1[[#This Row],[Mês]],Tabela1[Fase atual],"Recebido")</f>
        <v>124</v>
      </c>
      <c r="AI312" s="26">
        <f>Tabela1[[#This Row],[Recebido_ Mes]]/Tabela1[[#This Row],[Total_Mes]]</f>
        <v>0.62944162436548223</v>
      </c>
      <c r="AJ312" s="19">
        <f>COUNTIFS(Tabela1[Fase atual],"Recebido",Tabela1[Mês],Tabela1[[#This Row],[Mês]],Tabela1[Ano],Tabela1[[#This Row],[Ano]])/COUNTIF(Tabela1[Mês],Tabela1[[#This Row],[Mês]])</f>
        <v>0.62944162436548223</v>
      </c>
      <c r="AK312" s="20">
        <f>100%</f>
        <v>1</v>
      </c>
    </row>
    <row r="313" spans="1:37" ht="18" customHeight="1" x14ac:dyDescent="0.25">
      <c r="A313">
        <v>1290299889</v>
      </c>
      <c r="B313" t="s">
        <v>148</v>
      </c>
      <c r="C313" t="s">
        <v>149</v>
      </c>
      <c r="D313" t="s">
        <v>37</v>
      </c>
      <c r="E313" t="s">
        <v>31</v>
      </c>
      <c r="F313" s="2">
        <v>46051.601769675923</v>
      </c>
      <c r="AC313" s="24">
        <f t="shared" ca="1" si="9"/>
        <v>82.398230324077304</v>
      </c>
      <c r="AD313" s="25" t="str">
        <f t="shared" ca="1" si="10"/>
        <v>&gt;60 dias</v>
      </c>
      <c r="AE313" s="25">
        <f>MONTH(Tabela1[[#This Row],[Criado em]])</f>
        <v>1</v>
      </c>
      <c r="AF313" s="25">
        <f>YEAR(Tabela1[[#This Row],[Criado em]])</f>
        <v>2026</v>
      </c>
      <c r="AG313" s="25">
        <f>COUNTIFS(Tabela1[Mês],Tabela1[[#This Row],[Mês]])</f>
        <v>222</v>
      </c>
      <c r="AH313" s="25">
        <f>COUNTIFS(Tabela1[Mês],Tabela1[[#This Row],[Mês]],Tabela1[Fase atual],"Recebido")</f>
        <v>174</v>
      </c>
      <c r="AI313" s="26">
        <f>Tabela1[[#This Row],[Recebido_ Mes]]/Tabela1[[#This Row],[Total_Mes]]</f>
        <v>0.78378378378378377</v>
      </c>
      <c r="AJ313" s="19">
        <f>COUNTIFS(Tabela1[Fase atual],"Recebido",Tabela1[Mês],Tabela1[[#This Row],[Mês]],Tabela1[Ano],Tabela1[[#This Row],[Ano]])/COUNTIF(Tabela1[Mês],Tabela1[[#This Row],[Mês]])</f>
        <v>0.78378378378378377</v>
      </c>
      <c r="AK313" s="20">
        <f>100%</f>
        <v>1</v>
      </c>
    </row>
    <row r="314" spans="1:37" ht="18" customHeight="1" x14ac:dyDescent="0.25">
      <c r="A314">
        <v>1265626817</v>
      </c>
      <c r="B314" t="s">
        <v>1038</v>
      </c>
      <c r="C314" t="s">
        <v>1039</v>
      </c>
      <c r="D314" t="s">
        <v>37</v>
      </c>
      <c r="E314" t="s">
        <v>31</v>
      </c>
      <c r="F314" s="2">
        <v>45999.921222395831</v>
      </c>
      <c r="AC314" s="24">
        <f t="shared" ca="1" si="9"/>
        <v>134.07877760416886</v>
      </c>
      <c r="AD314" s="25" t="str">
        <f t="shared" ca="1" si="10"/>
        <v>&gt;60 dias</v>
      </c>
      <c r="AE314" s="25">
        <f>MONTH(Tabela1[[#This Row],[Criado em]])</f>
        <v>12</v>
      </c>
      <c r="AF314" s="25">
        <f>YEAR(Tabela1[[#This Row],[Criado em]])</f>
        <v>2025</v>
      </c>
      <c r="AG314" s="25">
        <f>COUNTIFS(Tabela1[Mês],Tabela1[[#This Row],[Mês]])</f>
        <v>207</v>
      </c>
      <c r="AH314" s="25">
        <f>COUNTIFS(Tabela1[Mês],Tabela1[[#This Row],[Mês]],Tabela1[Fase atual],"Recebido")</f>
        <v>155</v>
      </c>
      <c r="AI314" s="26">
        <f>Tabela1[[#This Row],[Recebido_ Mes]]/Tabela1[[#This Row],[Total_Mes]]</f>
        <v>0.74879227053140096</v>
      </c>
      <c r="AJ314" s="19">
        <f>COUNTIFS(Tabela1[Fase atual],"Recebido",Tabela1[Mês],Tabela1[[#This Row],[Mês]],Tabela1[Ano],Tabela1[[#This Row],[Ano]])/COUNTIF(Tabela1[Mês],Tabela1[[#This Row],[Mês]])</f>
        <v>0.74879227053140096</v>
      </c>
      <c r="AK314" s="20">
        <f>100%</f>
        <v>1</v>
      </c>
    </row>
    <row r="315" spans="1:37" ht="18" customHeight="1" x14ac:dyDescent="0.25">
      <c r="A315">
        <v>1216185327</v>
      </c>
      <c r="B315" t="s">
        <v>150</v>
      </c>
      <c r="C315" t="s">
        <v>151</v>
      </c>
      <c r="D315" t="s">
        <v>37</v>
      </c>
      <c r="E315" t="s">
        <v>31</v>
      </c>
      <c r="F315" s="2">
        <v>45917.850745625001</v>
      </c>
      <c r="AC315" s="24">
        <f t="shared" ca="1" si="9"/>
        <v>216.14925437499915</v>
      </c>
      <c r="AD315" s="25" t="str">
        <f t="shared" ca="1" si="10"/>
        <v>&gt;60 dias</v>
      </c>
      <c r="AE315" s="25">
        <f>MONTH(Tabela1[[#This Row],[Criado em]])</f>
        <v>9</v>
      </c>
      <c r="AF315" s="25">
        <f>YEAR(Tabela1[[#This Row],[Criado em]])</f>
        <v>2025</v>
      </c>
      <c r="AG315" s="25">
        <f>COUNTIFS(Tabela1[Mês],Tabela1[[#This Row],[Mês]])</f>
        <v>197</v>
      </c>
      <c r="AH315" s="25">
        <f>COUNTIFS(Tabela1[Mês],Tabela1[[#This Row],[Mês]],Tabela1[Fase atual],"Recebido")</f>
        <v>152</v>
      </c>
      <c r="AI315" s="26">
        <f>Tabela1[[#This Row],[Recebido_ Mes]]/Tabela1[[#This Row],[Total_Mes]]</f>
        <v>0.77157360406091369</v>
      </c>
      <c r="AJ315" s="19">
        <f>COUNTIFS(Tabela1[Fase atual],"Recebido",Tabela1[Mês],Tabela1[[#This Row],[Mês]],Tabela1[Ano],Tabela1[[#This Row],[Ano]])/COUNTIF(Tabela1[Mês],Tabela1[[#This Row],[Mês]])</f>
        <v>0.77157360406091369</v>
      </c>
      <c r="AK315" s="20">
        <f>100%</f>
        <v>1</v>
      </c>
    </row>
    <row r="316" spans="1:37" ht="18" customHeight="1" x14ac:dyDescent="0.25">
      <c r="A316">
        <v>1281254189</v>
      </c>
      <c r="B316" t="s">
        <v>150</v>
      </c>
      <c r="C316" t="s">
        <v>151</v>
      </c>
      <c r="D316" t="s">
        <v>37</v>
      </c>
      <c r="E316" t="s">
        <v>31</v>
      </c>
      <c r="F316" s="2">
        <v>46035.795421585637</v>
      </c>
      <c r="AC316" s="24">
        <f t="shared" ca="1" si="9"/>
        <v>98.204578414362913</v>
      </c>
      <c r="AD316" s="25" t="str">
        <f t="shared" ca="1" si="10"/>
        <v>&gt;60 dias</v>
      </c>
      <c r="AE316" s="25">
        <f>MONTH(Tabela1[[#This Row],[Criado em]])</f>
        <v>1</v>
      </c>
      <c r="AF316" s="25">
        <f>YEAR(Tabela1[[#This Row],[Criado em]])</f>
        <v>2026</v>
      </c>
      <c r="AG316" s="25">
        <f>COUNTIFS(Tabela1[Mês],Tabela1[[#This Row],[Mês]])</f>
        <v>222</v>
      </c>
      <c r="AH316" s="25">
        <f>COUNTIFS(Tabela1[Mês],Tabela1[[#This Row],[Mês]],Tabela1[Fase atual],"Recebido")</f>
        <v>174</v>
      </c>
      <c r="AI316" s="26">
        <f>Tabela1[[#This Row],[Recebido_ Mes]]/Tabela1[[#This Row],[Total_Mes]]</f>
        <v>0.78378378378378377</v>
      </c>
      <c r="AJ316" s="19">
        <f>COUNTIFS(Tabela1[Fase atual],"Recebido",Tabela1[Mês],Tabela1[[#This Row],[Mês]],Tabela1[Ano],Tabela1[[#This Row],[Ano]])/COUNTIF(Tabela1[Mês],Tabela1[[#This Row],[Mês]])</f>
        <v>0.78378378378378377</v>
      </c>
      <c r="AK316" s="20">
        <f>100%</f>
        <v>1</v>
      </c>
    </row>
    <row r="317" spans="1:37" ht="18" customHeight="1" x14ac:dyDescent="0.25">
      <c r="A317">
        <v>1297691118</v>
      </c>
      <c r="B317" t="s">
        <v>150</v>
      </c>
      <c r="C317" t="s">
        <v>151</v>
      </c>
      <c r="D317" t="s">
        <v>37</v>
      </c>
      <c r="E317" t="s">
        <v>31</v>
      </c>
      <c r="F317" s="2">
        <v>46066.796522673612</v>
      </c>
      <c r="AC317" s="24">
        <f t="shared" ca="1" si="9"/>
        <v>67.203477326387656</v>
      </c>
      <c r="AD317" s="25" t="str">
        <f t="shared" ca="1" si="10"/>
        <v>&gt;60 dias</v>
      </c>
      <c r="AE317" s="25">
        <f>MONTH(Tabela1[[#This Row],[Criado em]])</f>
        <v>2</v>
      </c>
      <c r="AF317" s="25">
        <f>YEAR(Tabela1[[#This Row],[Criado em]])</f>
        <v>2026</v>
      </c>
      <c r="AG317" s="25">
        <f>COUNTIFS(Tabela1[Mês],Tabela1[[#This Row],[Mês]])</f>
        <v>197</v>
      </c>
      <c r="AH317" s="25">
        <f>COUNTIFS(Tabela1[Mês],Tabela1[[#This Row],[Mês]],Tabela1[Fase atual],"Recebido")</f>
        <v>124</v>
      </c>
      <c r="AI317" s="26">
        <f>Tabela1[[#This Row],[Recebido_ Mes]]/Tabela1[[#This Row],[Total_Mes]]</f>
        <v>0.62944162436548223</v>
      </c>
      <c r="AJ317" s="19">
        <f>COUNTIFS(Tabela1[Fase atual],"Recebido",Tabela1[Mês],Tabela1[[#This Row],[Mês]],Tabela1[Ano],Tabela1[[#This Row],[Ano]])/COUNTIF(Tabela1[Mês],Tabela1[[#This Row],[Mês]])</f>
        <v>0.62944162436548223</v>
      </c>
      <c r="AK317" s="20">
        <f>100%</f>
        <v>1</v>
      </c>
    </row>
    <row r="318" spans="1:37" ht="18" customHeight="1" x14ac:dyDescent="0.25">
      <c r="A318">
        <v>1303239402</v>
      </c>
      <c r="B318" t="s">
        <v>150</v>
      </c>
      <c r="C318" t="s">
        <v>151</v>
      </c>
      <c r="D318" t="s">
        <v>37</v>
      </c>
      <c r="E318" t="s">
        <v>31</v>
      </c>
      <c r="F318" s="2">
        <v>46077.795850879629</v>
      </c>
      <c r="AC318" s="24">
        <f t="shared" ca="1" si="9"/>
        <v>56.204149120370857</v>
      </c>
      <c r="AD318" s="25" t="str">
        <f t="shared" ca="1" si="10"/>
        <v>31-60 dias</v>
      </c>
      <c r="AE318" s="25">
        <f>MONTH(Tabela1[[#This Row],[Criado em]])</f>
        <v>2</v>
      </c>
      <c r="AF318" s="25">
        <f>YEAR(Tabela1[[#This Row],[Criado em]])</f>
        <v>2026</v>
      </c>
      <c r="AG318" s="25">
        <f>COUNTIFS(Tabela1[Mês],Tabela1[[#This Row],[Mês]])</f>
        <v>197</v>
      </c>
      <c r="AH318" s="25">
        <f>COUNTIFS(Tabela1[Mês],Tabela1[[#This Row],[Mês]],Tabela1[Fase atual],"Recebido")</f>
        <v>124</v>
      </c>
      <c r="AI318" s="26">
        <f>Tabela1[[#This Row],[Recebido_ Mes]]/Tabela1[[#This Row],[Total_Mes]]</f>
        <v>0.62944162436548223</v>
      </c>
      <c r="AJ318" s="19">
        <f>COUNTIFS(Tabela1[Fase atual],"Recebido",Tabela1[Mês],Tabela1[[#This Row],[Mês]],Tabela1[Ano],Tabela1[[#This Row],[Ano]])/COUNTIF(Tabela1[Mês],Tabela1[[#This Row],[Mês]])</f>
        <v>0.62944162436548223</v>
      </c>
      <c r="AK318" s="20">
        <f>100%</f>
        <v>1</v>
      </c>
    </row>
    <row r="319" spans="1:37" ht="18" customHeight="1" x14ac:dyDescent="0.25">
      <c r="A319">
        <v>1282982121</v>
      </c>
      <c r="B319" t="s">
        <v>150</v>
      </c>
      <c r="C319" t="s">
        <v>152</v>
      </c>
      <c r="D319" t="s">
        <v>37</v>
      </c>
      <c r="E319" t="s">
        <v>31</v>
      </c>
      <c r="F319" s="2">
        <v>46038.794771238427</v>
      </c>
      <c r="AC319" s="24">
        <f t="shared" ca="1" si="9"/>
        <v>95.20522876157338</v>
      </c>
      <c r="AD319" s="25" t="str">
        <f t="shared" ca="1" si="10"/>
        <v>&gt;60 dias</v>
      </c>
      <c r="AE319" s="25">
        <f>MONTH(Tabela1[[#This Row],[Criado em]])</f>
        <v>1</v>
      </c>
      <c r="AF319" s="25">
        <f>YEAR(Tabela1[[#This Row],[Criado em]])</f>
        <v>2026</v>
      </c>
      <c r="AG319" s="25">
        <f>COUNTIFS(Tabela1[Mês],Tabela1[[#This Row],[Mês]])</f>
        <v>222</v>
      </c>
      <c r="AH319" s="25">
        <f>COUNTIFS(Tabela1[Mês],Tabela1[[#This Row],[Mês]],Tabela1[Fase atual],"Recebido")</f>
        <v>174</v>
      </c>
      <c r="AI319" s="26">
        <f>Tabela1[[#This Row],[Recebido_ Mes]]/Tabela1[[#This Row],[Total_Mes]]</f>
        <v>0.78378378378378377</v>
      </c>
      <c r="AJ319" s="19">
        <f>COUNTIFS(Tabela1[Fase atual],"Recebido",Tabela1[Mês],Tabela1[[#This Row],[Mês]],Tabela1[Ano],Tabela1[[#This Row],[Ano]])/COUNTIF(Tabela1[Mês],Tabela1[[#This Row],[Mês]])</f>
        <v>0.78378378378378377</v>
      </c>
      <c r="AK319" s="20">
        <f>100%</f>
        <v>1</v>
      </c>
    </row>
    <row r="320" spans="1:37" ht="18" customHeight="1" x14ac:dyDescent="0.25">
      <c r="A320">
        <v>1288044964</v>
      </c>
      <c r="B320" t="s">
        <v>153</v>
      </c>
      <c r="C320" t="s">
        <v>154</v>
      </c>
      <c r="D320" t="s">
        <v>40</v>
      </c>
      <c r="E320" t="s">
        <v>31</v>
      </c>
      <c r="F320" s="2">
        <v>46048.544154317133</v>
      </c>
      <c r="AC320" s="24">
        <f t="shared" ca="1" si="9"/>
        <v>85.455845682867221</v>
      </c>
      <c r="AD320" s="25" t="str">
        <f t="shared" ca="1" si="10"/>
        <v>&gt;60 dias</v>
      </c>
      <c r="AE320" s="25">
        <f>MONTH(Tabela1[[#This Row],[Criado em]])</f>
        <v>1</v>
      </c>
      <c r="AF320" s="25">
        <f>YEAR(Tabela1[[#This Row],[Criado em]])</f>
        <v>2026</v>
      </c>
      <c r="AG320" s="25">
        <f>COUNTIFS(Tabela1[Mês],Tabela1[[#This Row],[Mês]])</f>
        <v>222</v>
      </c>
      <c r="AH320" s="25">
        <f>COUNTIFS(Tabela1[Mês],Tabela1[[#This Row],[Mês]],Tabela1[Fase atual],"Recebido")</f>
        <v>174</v>
      </c>
      <c r="AI320" s="26">
        <f>Tabela1[[#This Row],[Recebido_ Mes]]/Tabela1[[#This Row],[Total_Mes]]</f>
        <v>0.78378378378378377</v>
      </c>
      <c r="AJ320" s="19">
        <f>COUNTIFS(Tabela1[Fase atual],"Recebido",Tabela1[Mês],Tabela1[[#This Row],[Mês]],Tabela1[Ano],Tabela1[[#This Row],[Ano]])/COUNTIF(Tabela1[Mês],Tabela1[[#This Row],[Mês]])</f>
        <v>0.78378378378378377</v>
      </c>
      <c r="AK320" s="20">
        <f>100%</f>
        <v>1</v>
      </c>
    </row>
    <row r="321" spans="1:37" ht="18" customHeight="1" x14ac:dyDescent="0.25">
      <c r="A321">
        <v>1295383946</v>
      </c>
      <c r="B321" t="s">
        <v>50</v>
      </c>
      <c r="C321" t="s">
        <v>155</v>
      </c>
      <c r="D321" t="s">
        <v>37</v>
      </c>
      <c r="E321" t="s">
        <v>31</v>
      </c>
      <c r="F321" s="2">
        <v>46062.795723622679</v>
      </c>
      <c r="AC321" s="24">
        <f t="shared" ca="1" si="9"/>
        <v>71.204276377320639</v>
      </c>
      <c r="AD321" s="25" t="str">
        <f t="shared" ca="1" si="10"/>
        <v>&gt;60 dias</v>
      </c>
      <c r="AE321" s="25">
        <f>MONTH(Tabela1[[#This Row],[Criado em]])</f>
        <v>2</v>
      </c>
      <c r="AF321" s="25">
        <f>YEAR(Tabela1[[#This Row],[Criado em]])</f>
        <v>2026</v>
      </c>
      <c r="AG321" s="25">
        <f>COUNTIFS(Tabela1[Mês],Tabela1[[#This Row],[Mês]])</f>
        <v>197</v>
      </c>
      <c r="AH321" s="25">
        <f>COUNTIFS(Tabela1[Mês],Tabela1[[#This Row],[Mês]],Tabela1[Fase atual],"Recebido")</f>
        <v>124</v>
      </c>
      <c r="AI321" s="26">
        <f>Tabela1[[#This Row],[Recebido_ Mes]]/Tabela1[[#This Row],[Total_Mes]]</f>
        <v>0.62944162436548223</v>
      </c>
      <c r="AJ321" s="19">
        <f>COUNTIFS(Tabela1[Fase atual],"Recebido",Tabela1[Mês],Tabela1[[#This Row],[Mês]],Tabela1[Ano],Tabela1[[#This Row],[Ano]])/COUNTIF(Tabela1[Mês],Tabela1[[#This Row],[Mês]])</f>
        <v>0.62944162436548223</v>
      </c>
      <c r="AK321" s="20">
        <f>100%</f>
        <v>1</v>
      </c>
    </row>
    <row r="322" spans="1:37" ht="18" customHeight="1" x14ac:dyDescent="0.25">
      <c r="A322">
        <v>1268643973</v>
      </c>
      <c r="B322" t="s">
        <v>1040</v>
      </c>
      <c r="C322" t="s">
        <v>1041</v>
      </c>
      <c r="D322" t="s">
        <v>37</v>
      </c>
      <c r="E322" t="s">
        <v>31</v>
      </c>
      <c r="F322" s="2">
        <v>46006.796995046301</v>
      </c>
      <c r="AC322" s="24">
        <f t="shared" ca="1" si="9"/>
        <v>127.20300495369884</v>
      </c>
      <c r="AD322" s="25" t="str">
        <f t="shared" ca="1" si="10"/>
        <v>&gt;60 dias</v>
      </c>
      <c r="AE322" s="25">
        <f>MONTH(Tabela1[[#This Row],[Criado em]])</f>
        <v>12</v>
      </c>
      <c r="AF322" s="25">
        <f>YEAR(Tabela1[[#This Row],[Criado em]])</f>
        <v>2025</v>
      </c>
      <c r="AG322" s="25">
        <f>COUNTIFS(Tabela1[Mês],Tabela1[[#This Row],[Mês]])</f>
        <v>207</v>
      </c>
      <c r="AH322" s="25">
        <f>COUNTIFS(Tabela1[Mês],Tabela1[[#This Row],[Mês]],Tabela1[Fase atual],"Recebido")</f>
        <v>155</v>
      </c>
      <c r="AI322" s="26">
        <f>Tabela1[[#This Row],[Recebido_ Mes]]/Tabela1[[#This Row],[Total_Mes]]</f>
        <v>0.74879227053140096</v>
      </c>
      <c r="AJ322" s="19">
        <f>COUNTIFS(Tabela1[Fase atual],"Recebido",Tabela1[Mês],Tabela1[[#This Row],[Mês]],Tabela1[Ano],Tabela1[[#This Row],[Ano]])/COUNTIF(Tabela1[Mês],Tabela1[[#This Row],[Mês]])</f>
        <v>0.74879227053140096</v>
      </c>
      <c r="AK322" s="20">
        <f>100%</f>
        <v>1</v>
      </c>
    </row>
    <row r="323" spans="1:37" ht="18" customHeight="1" x14ac:dyDescent="0.25">
      <c r="A323">
        <v>1189596541</v>
      </c>
      <c r="B323" t="s">
        <v>1042</v>
      </c>
      <c r="C323" t="s">
        <v>1043</v>
      </c>
      <c r="D323" t="s">
        <v>40</v>
      </c>
      <c r="E323" t="s">
        <v>31</v>
      </c>
      <c r="F323" s="2">
        <v>45875.642865902773</v>
      </c>
      <c r="AC323" s="24">
        <f t="shared" ref="AC323:AC386" ca="1" si="11">TODAY() - F323</f>
        <v>258.35713409722666</v>
      </c>
      <c r="AD323" s="25" t="str">
        <f t="shared" ref="AD323:AD386" ca="1" si="12">IF(AC323&lt;=14,"0-14 dias",
IF(AC323&lt;=19,"15-19 dias",
IF(AC323&lt;=24,"20-24 dias",
IF(AC323&lt;=30,"25-30 dias",
IF(AC323&lt;=60,"31-60 dias",
"&gt;60 dias")))))</f>
        <v>&gt;60 dias</v>
      </c>
      <c r="AE323" s="25">
        <f>MONTH(Tabela1[[#This Row],[Criado em]])</f>
        <v>8</v>
      </c>
      <c r="AF323" s="25">
        <f>YEAR(Tabela1[[#This Row],[Criado em]])</f>
        <v>2025</v>
      </c>
      <c r="AG323" s="25">
        <f>COUNTIFS(Tabela1[Mês],Tabela1[[#This Row],[Mês]])</f>
        <v>146</v>
      </c>
      <c r="AH323" s="25">
        <f>COUNTIFS(Tabela1[Mês],Tabela1[[#This Row],[Mês]],Tabela1[Fase atual],"Recebido")</f>
        <v>115</v>
      </c>
      <c r="AI323" s="26">
        <f>Tabela1[[#This Row],[Recebido_ Mes]]/Tabela1[[#This Row],[Total_Mes]]</f>
        <v>0.78767123287671237</v>
      </c>
      <c r="AJ323" s="19">
        <f>COUNTIFS(Tabela1[Fase atual],"Recebido",Tabela1[Mês],Tabela1[[#This Row],[Mês]],Tabela1[Ano],Tabela1[[#This Row],[Ano]])/COUNTIF(Tabela1[Mês],Tabela1[[#This Row],[Mês]])</f>
        <v>0.78767123287671237</v>
      </c>
      <c r="AK323" s="20">
        <f>100%</f>
        <v>1</v>
      </c>
    </row>
    <row r="324" spans="1:37" ht="18" customHeight="1" x14ac:dyDescent="0.25">
      <c r="A324">
        <v>1178000789</v>
      </c>
      <c r="B324" t="s">
        <v>1042</v>
      </c>
      <c r="C324" t="s">
        <v>1044</v>
      </c>
      <c r="D324" t="s">
        <v>202</v>
      </c>
      <c r="E324" t="s">
        <v>31</v>
      </c>
      <c r="F324" s="2">
        <v>45855.642760972223</v>
      </c>
      <c r="AC324" s="24">
        <f t="shared" ca="1" si="11"/>
        <v>278.35723902777681</v>
      </c>
      <c r="AD324" s="25" t="str">
        <f t="shared" ca="1" si="12"/>
        <v>&gt;60 dias</v>
      </c>
      <c r="AE324" s="25">
        <f>MONTH(Tabela1[[#This Row],[Criado em]])</f>
        <v>7</v>
      </c>
      <c r="AF324" s="25">
        <f>YEAR(Tabela1[[#This Row],[Criado em]])</f>
        <v>2025</v>
      </c>
      <c r="AG324" s="25">
        <f>COUNTIFS(Tabela1[Mês],Tabela1[[#This Row],[Mês]])</f>
        <v>177</v>
      </c>
      <c r="AH324" s="25">
        <f>COUNTIFS(Tabela1[Mês],Tabela1[[#This Row],[Mês]],Tabela1[Fase atual],"Recebido")</f>
        <v>130</v>
      </c>
      <c r="AI324" s="26">
        <f>Tabela1[[#This Row],[Recebido_ Mes]]/Tabela1[[#This Row],[Total_Mes]]</f>
        <v>0.7344632768361582</v>
      </c>
      <c r="AJ324" s="19">
        <f>COUNTIFS(Tabela1[Fase atual],"Recebido",Tabela1[Mês],Tabela1[[#This Row],[Mês]],Tabela1[Ano],Tabela1[[#This Row],[Ano]])/COUNTIF(Tabela1[Mês],Tabela1[[#This Row],[Mês]])</f>
        <v>0.7344632768361582</v>
      </c>
      <c r="AK324" s="20">
        <f>100%</f>
        <v>1</v>
      </c>
    </row>
    <row r="325" spans="1:37" ht="18" customHeight="1" x14ac:dyDescent="0.25">
      <c r="A325">
        <v>1245233619</v>
      </c>
      <c r="B325" t="s">
        <v>1045</v>
      </c>
      <c r="C325" t="s">
        <v>1046</v>
      </c>
      <c r="D325" t="s">
        <v>784</v>
      </c>
      <c r="E325" t="s">
        <v>31</v>
      </c>
      <c r="F325" s="2">
        <v>45957.545394259258</v>
      </c>
      <c r="AC325" s="24">
        <f t="shared" ca="1" si="11"/>
        <v>176.45460574074241</v>
      </c>
      <c r="AD325" s="25" t="str">
        <f t="shared" ca="1" si="12"/>
        <v>&gt;60 dias</v>
      </c>
      <c r="AE325" s="25">
        <f>MONTH(Tabela1[[#This Row],[Criado em]])</f>
        <v>10</v>
      </c>
      <c r="AF325" s="25">
        <f>YEAR(Tabela1[[#This Row],[Criado em]])</f>
        <v>2025</v>
      </c>
      <c r="AG325" s="25">
        <f>COUNTIFS(Tabela1[Mês],Tabela1[[#This Row],[Mês]])</f>
        <v>196</v>
      </c>
      <c r="AH325" s="25">
        <f>COUNTIFS(Tabela1[Mês],Tabela1[[#This Row],[Mês]],Tabela1[Fase atual],"Recebido")</f>
        <v>138</v>
      </c>
      <c r="AI325" s="26">
        <f>Tabela1[[#This Row],[Recebido_ Mes]]/Tabela1[[#This Row],[Total_Mes]]</f>
        <v>0.70408163265306123</v>
      </c>
      <c r="AJ325" s="19">
        <f>COUNTIFS(Tabela1[Fase atual],"Recebido",Tabela1[Mês],Tabela1[[#This Row],[Mês]],Tabela1[Ano],Tabela1[[#This Row],[Ano]])/COUNTIF(Tabela1[Mês],Tabela1[[#This Row],[Mês]])</f>
        <v>0.70408163265306123</v>
      </c>
      <c r="AK325" s="20">
        <f>100%</f>
        <v>1</v>
      </c>
    </row>
    <row r="326" spans="1:37" ht="18" customHeight="1" x14ac:dyDescent="0.25">
      <c r="A326">
        <v>1256482287</v>
      </c>
      <c r="B326" t="s">
        <v>1047</v>
      </c>
      <c r="C326" t="s">
        <v>1048</v>
      </c>
      <c r="D326" t="s">
        <v>37</v>
      </c>
      <c r="E326" t="s">
        <v>31</v>
      </c>
      <c r="F326" s="2">
        <v>45979.794881435177</v>
      </c>
      <c r="AC326" s="24">
        <f t="shared" ca="1" si="11"/>
        <v>154.20511856482335</v>
      </c>
      <c r="AD326" s="25" t="str">
        <f t="shared" ca="1" si="12"/>
        <v>&gt;60 dias</v>
      </c>
      <c r="AE326" s="25">
        <f>MONTH(Tabela1[[#This Row],[Criado em]])</f>
        <v>11</v>
      </c>
      <c r="AF326" s="25">
        <f>YEAR(Tabela1[[#This Row],[Criado em]])</f>
        <v>2025</v>
      </c>
      <c r="AG326" s="25">
        <f>COUNTIFS(Tabela1[Mês],Tabela1[[#This Row],[Mês]])</f>
        <v>130</v>
      </c>
      <c r="AH326" s="25">
        <f>COUNTIFS(Tabela1[Mês],Tabela1[[#This Row],[Mês]],Tabela1[Fase atual],"Recebido")</f>
        <v>100</v>
      </c>
      <c r="AI326" s="26">
        <f>Tabela1[[#This Row],[Recebido_ Mes]]/Tabela1[[#This Row],[Total_Mes]]</f>
        <v>0.76923076923076927</v>
      </c>
      <c r="AJ326" s="19">
        <f>COUNTIFS(Tabela1[Fase atual],"Recebido",Tabela1[Mês],Tabela1[[#This Row],[Mês]],Tabela1[Ano],Tabela1[[#This Row],[Ano]])/COUNTIF(Tabela1[Mês],Tabela1[[#This Row],[Mês]])</f>
        <v>0.76923076923076927</v>
      </c>
      <c r="AK326" s="20">
        <f>100%</f>
        <v>1</v>
      </c>
    </row>
    <row r="327" spans="1:37" ht="18" customHeight="1" x14ac:dyDescent="0.25">
      <c r="A327">
        <v>1213737504</v>
      </c>
      <c r="B327" t="s">
        <v>1049</v>
      </c>
      <c r="C327" t="s">
        <v>1050</v>
      </c>
      <c r="D327" t="s">
        <v>37</v>
      </c>
      <c r="E327" t="s">
        <v>31</v>
      </c>
      <c r="F327" s="2">
        <v>45913.643859432872</v>
      </c>
      <c r="AC327" s="24">
        <f t="shared" ca="1" si="11"/>
        <v>220.35614056712802</v>
      </c>
      <c r="AD327" s="25" t="str">
        <f t="shared" ca="1" si="12"/>
        <v>&gt;60 dias</v>
      </c>
      <c r="AE327" s="25">
        <f>MONTH(Tabela1[[#This Row],[Criado em]])</f>
        <v>9</v>
      </c>
      <c r="AF327" s="25">
        <f>YEAR(Tabela1[[#This Row],[Criado em]])</f>
        <v>2025</v>
      </c>
      <c r="AG327" s="25">
        <f>COUNTIFS(Tabela1[Mês],Tabela1[[#This Row],[Mês]])</f>
        <v>197</v>
      </c>
      <c r="AH327" s="25">
        <f>COUNTIFS(Tabela1[Mês],Tabela1[[#This Row],[Mês]],Tabela1[Fase atual],"Recebido")</f>
        <v>152</v>
      </c>
      <c r="AI327" s="26">
        <f>Tabela1[[#This Row],[Recebido_ Mes]]/Tabela1[[#This Row],[Total_Mes]]</f>
        <v>0.77157360406091369</v>
      </c>
      <c r="AJ327" s="19">
        <f>COUNTIFS(Tabela1[Fase atual],"Recebido",Tabela1[Mês],Tabela1[[#This Row],[Mês]],Tabela1[Ano],Tabela1[[#This Row],[Ano]])/COUNTIF(Tabela1[Mês],Tabela1[[#This Row],[Mês]])</f>
        <v>0.77157360406091369</v>
      </c>
      <c r="AK327" s="20">
        <f>100%</f>
        <v>1</v>
      </c>
    </row>
    <row r="328" spans="1:37" ht="18" customHeight="1" x14ac:dyDescent="0.25">
      <c r="A328">
        <v>1206008541</v>
      </c>
      <c r="B328" t="s">
        <v>1051</v>
      </c>
      <c r="C328" t="s">
        <v>1052</v>
      </c>
      <c r="D328" t="s">
        <v>34</v>
      </c>
      <c r="E328" t="s">
        <v>31</v>
      </c>
      <c r="F328" s="2">
        <v>45901.767761296287</v>
      </c>
      <c r="AC328" s="24">
        <f t="shared" ca="1" si="11"/>
        <v>232.23223870371294</v>
      </c>
      <c r="AD328" s="25" t="str">
        <f t="shared" ca="1" si="12"/>
        <v>&gt;60 dias</v>
      </c>
      <c r="AE328" s="25">
        <f>MONTH(Tabela1[[#This Row],[Criado em]])</f>
        <v>9</v>
      </c>
      <c r="AF328" s="25">
        <f>YEAR(Tabela1[[#This Row],[Criado em]])</f>
        <v>2025</v>
      </c>
      <c r="AG328" s="25">
        <f>COUNTIFS(Tabela1[Mês],Tabela1[[#This Row],[Mês]])</f>
        <v>197</v>
      </c>
      <c r="AH328" s="25">
        <f>COUNTIFS(Tabela1[Mês],Tabela1[[#This Row],[Mês]],Tabela1[Fase atual],"Recebido")</f>
        <v>152</v>
      </c>
      <c r="AI328" s="26">
        <f>Tabela1[[#This Row],[Recebido_ Mes]]/Tabela1[[#This Row],[Total_Mes]]</f>
        <v>0.77157360406091369</v>
      </c>
      <c r="AJ328" s="19">
        <f>COUNTIFS(Tabela1[Fase atual],"Recebido",Tabela1[Mês],Tabela1[[#This Row],[Mês]],Tabela1[Ano],Tabela1[[#This Row],[Ano]])/COUNTIF(Tabela1[Mês],Tabela1[[#This Row],[Mês]])</f>
        <v>0.77157360406091369</v>
      </c>
      <c r="AK328" s="20">
        <f>100%</f>
        <v>1</v>
      </c>
    </row>
    <row r="329" spans="1:37" ht="18" customHeight="1" x14ac:dyDescent="0.25">
      <c r="A329">
        <v>1242498426</v>
      </c>
      <c r="B329" t="s">
        <v>1053</v>
      </c>
      <c r="C329" t="s">
        <v>1054</v>
      </c>
      <c r="D329" t="s">
        <v>37</v>
      </c>
      <c r="E329" t="s">
        <v>31</v>
      </c>
      <c r="F329" s="2">
        <v>45953.794619305547</v>
      </c>
      <c r="AC329" s="24">
        <f t="shared" ca="1" si="11"/>
        <v>180.2053806944532</v>
      </c>
      <c r="AD329" s="25" t="str">
        <f t="shared" ca="1" si="12"/>
        <v>&gt;60 dias</v>
      </c>
      <c r="AE329" s="25">
        <f>MONTH(Tabela1[[#This Row],[Criado em]])</f>
        <v>10</v>
      </c>
      <c r="AF329" s="25">
        <f>YEAR(Tabela1[[#This Row],[Criado em]])</f>
        <v>2025</v>
      </c>
      <c r="AG329" s="25">
        <f>COUNTIFS(Tabela1[Mês],Tabela1[[#This Row],[Mês]])</f>
        <v>196</v>
      </c>
      <c r="AH329" s="25">
        <f>COUNTIFS(Tabela1[Mês],Tabela1[[#This Row],[Mês]],Tabela1[Fase atual],"Recebido")</f>
        <v>138</v>
      </c>
      <c r="AI329" s="26">
        <f>Tabela1[[#This Row],[Recebido_ Mes]]/Tabela1[[#This Row],[Total_Mes]]</f>
        <v>0.70408163265306123</v>
      </c>
      <c r="AJ329" s="19">
        <f>COUNTIFS(Tabela1[Fase atual],"Recebido",Tabela1[Mês],Tabela1[[#This Row],[Mês]],Tabela1[Ano],Tabela1[[#This Row],[Ano]])/COUNTIF(Tabela1[Mês],Tabela1[[#This Row],[Mês]])</f>
        <v>0.70408163265306123</v>
      </c>
      <c r="AK329" s="20">
        <f>100%</f>
        <v>1</v>
      </c>
    </row>
    <row r="330" spans="1:37" ht="18" customHeight="1" x14ac:dyDescent="0.25">
      <c r="A330">
        <v>1278360705</v>
      </c>
      <c r="B330" t="s">
        <v>156</v>
      </c>
      <c r="C330" t="s">
        <v>157</v>
      </c>
      <c r="D330" t="s">
        <v>37</v>
      </c>
      <c r="E330" t="s">
        <v>31</v>
      </c>
      <c r="F330" s="2">
        <v>46029.795667858787</v>
      </c>
      <c r="AC330" s="24">
        <f t="shared" ca="1" si="11"/>
        <v>104.20433214121294</v>
      </c>
      <c r="AD330" s="25" t="str">
        <f t="shared" ca="1" si="12"/>
        <v>&gt;60 dias</v>
      </c>
      <c r="AE330" s="25">
        <f>MONTH(Tabela1[[#This Row],[Criado em]])</f>
        <v>1</v>
      </c>
      <c r="AF330" s="25">
        <f>YEAR(Tabela1[[#This Row],[Criado em]])</f>
        <v>2026</v>
      </c>
      <c r="AG330" s="25">
        <f>COUNTIFS(Tabela1[Mês],Tabela1[[#This Row],[Mês]])</f>
        <v>222</v>
      </c>
      <c r="AH330" s="25">
        <f>COUNTIFS(Tabela1[Mês],Tabela1[[#This Row],[Mês]],Tabela1[Fase atual],"Recebido")</f>
        <v>174</v>
      </c>
      <c r="AI330" s="26">
        <f>Tabela1[[#This Row],[Recebido_ Mes]]/Tabela1[[#This Row],[Total_Mes]]</f>
        <v>0.78378378378378377</v>
      </c>
      <c r="AJ330" s="19">
        <f>COUNTIFS(Tabela1[Fase atual],"Recebido",Tabela1[Mês],Tabela1[[#This Row],[Mês]],Tabela1[Ano],Tabela1[[#This Row],[Ano]])/COUNTIF(Tabela1[Mês],Tabela1[[#This Row],[Mês]])</f>
        <v>0.78378378378378377</v>
      </c>
      <c r="AK330" s="20">
        <f>100%</f>
        <v>1</v>
      </c>
    </row>
    <row r="331" spans="1:37" ht="18" customHeight="1" x14ac:dyDescent="0.25">
      <c r="A331">
        <v>1277777604</v>
      </c>
      <c r="B331" t="s">
        <v>158</v>
      </c>
      <c r="C331" t="s">
        <v>159</v>
      </c>
      <c r="D331" t="s">
        <v>37</v>
      </c>
      <c r="E331" t="s">
        <v>31</v>
      </c>
      <c r="F331" s="2">
        <v>46028.920762650458</v>
      </c>
      <c r="AC331" s="24">
        <f t="shared" ca="1" si="11"/>
        <v>105.07923734954238</v>
      </c>
      <c r="AD331" s="25" t="str">
        <f t="shared" ca="1" si="12"/>
        <v>&gt;60 dias</v>
      </c>
      <c r="AE331" s="25">
        <f>MONTH(Tabela1[[#This Row],[Criado em]])</f>
        <v>1</v>
      </c>
      <c r="AF331" s="25">
        <f>YEAR(Tabela1[[#This Row],[Criado em]])</f>
        <v>2026</v>
      </c>
      <c r="AG331" s="25">
        <f>COUNTIFS(Tabela1[Mês],Tabela1[[#This Row],[Mês]])</f>
        <v>222</v>
      </c>
      <c r="AH331" s="25">
        <f>COUNTIFS(Tabela1[Mês],Tabela1[[#This Row],[Mês]],Tabela1[Fase atual],"Recebido")</f>
        <v>174</v>
      </c>
      <c r="AI331" s="26">
        <f>Tabela1[[#This Row],[Recebido_ Mes]]/Tabela1[[#This Row],[Total_Mes]]</f>
        <v>0.78378378378378377</v>
      </c>
      <c r="AJ331" s="19">
        <f>COUNTIFS(Tabela1[Fase atual],"Recebido",Tabela1[Mês],Tabela1[[#This Row],[Mês]],Tabela1[Ano],Tabela1[[#This Row],[Ano]])/COUNTIF(Tabela1[Mês],Tabela1[[#This Row],[Mês]])</f>
        <v>0.78378378378378377</v>
      </c>
      <c r="AK331" s="20">
        <f>100%</f>
        <v>1</v>
      </c>
    </row>
    <row r="332" spans="1:37" ht="18" customHeight="1" x14ac:dyDescent="0.25">
      <c r="A332">
        <v>1186004909</v>
      </c>
      <c r="B332" t="s">
        <v>1055</v>
      </c>
      <c r="C332" t="s">
        <v>1056</v>
      </c>
      <c r="D332" t="s">
        <v>784</v>
      </c>
      <c r="E332" t="s">
        <v>31</v>
      </c>
      <c r="F332" s="2">
        <v>45868.851195150462</v>
      </c>
      <c r="AC332" s="24">
        <f t="shared" ca="1" si="11"/>
        <v>265.14880484953756</v>
      </c>
      <c r="AD332" s="25" t="str">
        <f t="shared" ca="1" si="12"/>
        <v>&gt;60 dias</v>
      </c>
      <c r="AE332" s="25">
        <f>MONTH(Tabela1[[#This Row],[Criado em]])</f>
        <v>7</v>
      </c>
      <c r="AF332" s="25">
        <f>YEAR(Tabela1[[#This Row],[Criado em]])</f>
        <v>2025</v>
      </c>
      <c r="AG332" s="25">
        <f>COUNTIFS(Tabela1[Mês],Tabela1[[#This Row],[Mês]])</f>
        <v>177</v>
      </c>
      <c r="AH332" s="25">
        <f>COUNTIFS(Tabela1[Mês],Tabela1[[#This Row],[Mês]],Tabela1[Fase atual],"Recebido")</f>
        <v>130</v>
      </c>
      <c r="AI332" s="26">
        <f>Tabela1[[#This Row],[Recebido_ Mes]]/Tabela1[[#This Row],[Total_Mes]]</f>
        <v>0.7344632768361582</v>
      </c>
      <c r="AJ332" s="19">
        <f>COUNTIFS(Tabela1[Fase atual],"Recebido",Tabela1[Mês],Tabela1[[#This Row],[Mês]],Tabela1[Ano],Tabela1[[#This Row],[Ano]])/COUNTIF(Tabela1[Mês],Tabela1[[#This Row],[Mês]])</f>
        <v>0.7344632768361582</v>
      </c>
      <c r="AK332" s="20">
        <f>100%</f>
        <v>1</v>
      </c>
    </row>
    <row r="333" spans="1:37" ht="18" customHeight="1" x14ac:dyDescent="0.25">
      <c r="A333">
        <v>1300426412</v>
      </c>
      <c r="B333" t="s">
        <v>160</v>
      </c>
      <c r="C333" t="s">
        <v>161</v>
      </c>
      <c r="D333" t="s">
        <v>2184</v>
      </c>
      <c r="E333" t="s">
        <v>31</v>
      </c>
      <c r="F333" s="2">
        <v>46073.795685787038</v>
      </c>
      <c r="AC333" s="24">
        <f t="shared" ca="1" si="11"/>
        <v>60.204314212962345</v>
      </c>
      <c r="AD333" s="25" t="str">
        <f t="shared" ca="1" si="12"/>
        <v>&gt;60 dias</v>
      </c>
      <c r="AE333" s="25">
        <f>MONTH(Tabela1[[#This Row],[Criado em]])</f>
        <v>2</v>
      </c>
      <c r="AF333" s="25">
        <f>YEAR(Tabela1[[#This Row],[Criado em]])</f>
        <v>2026</v>
      </c>
      <c r="AG333" s="25">
        <f>COUNTIFS(Tabela1[Mês],Tabela1[[#This Row],[Mês]])</f>
        <v>197</v>
      </c>
      <c r="AH333" s="25">
        <f>COUNTIFS(Tabela1[Mês],Tabela1[[#This Row],[Mês]],Tabela1[Fase atual],"Recebido")</f>
        <v>124</v>
      </c>
      <c r="AI333" s="26">
        <f>Tabela1[[#This Row],[Recebido_ Mes]]/Tabela1[[#This Row],[Total_Mes]]</f>
        <v>0.62944162436548223</v>
      </c>
      <c r="AJ333" s="19">
        <f>COUNTIFS(Tabela1[Fase atual],"Recebido",Tabela1[Mês],Tabela1[[#This Row],[Mês]],Tabela1[Ano],Tabela1[[#This Row],[Ano]])/COUNTIF(Tabela1[Mês],Tabela1[[#This Row],[Mês]])</f>
        <v>0.62944162436548223</v>
      </c>
      <c r="AK333" s="20">
        <f>100%</f>
        <v>1</v>
      </c>
    </row>
    <row r="334" spans="1:37" ht="18" customHeight="1" x14ac:dyDescent="0.25">
      <c r="A334">
        <v>1294483655</v>
      </c>
      <c r="B334" t="s">
        <v>162</v>
      </c>
      <c r="C334" t="s">
        <v>163</v>
      </c>
      <c r="D334" t="s">
        <v>37</v>
      </c>
      <c r="E334" t="s">
        <v>31</v>
      </c>
      <c r="F334" s="2">
        <v>46059.79404922454</v>
      </c>
      <c r="AC334" s="24">
        <f t="shared" ca="1" si="11"/>
        <v>74.205950775460224</v>
      </c>
      <c r="AD334" s="25" t="str">
        <f t="shared" ca="1" si="12"/>
        <v>&gt;60 dias</v>
      </c>
      <c r="AE334" s="25">
        <f>MONTH(Tabela1[[#This Row],[Criado em]])</f>
        <v>2</v>
      </c>
      <c r="AF334" s="25">
        <f>YEAR(Tabela1[[#This Row],[Criado em]])</f>
        <v>2026</v>
      </c>
      <c r="AG334" s="25">
        <f>COUNTIFS(Tabela1[Mês],Tabela1[[#This Row],[Mês]])</f>
        <v>197</v>
      </c>
      <c r="AH334" s="25">
        <f>COUNTIFS(Tabela1[Mês],Tabela1[[#This Row],[Mês]],Tabela1[Fase atual],"Recebido")</f>
        <v>124</v>
      </c>
      <c r="AI334" s="26">
        <f>Tabela1[[#This Row],[Recebido_ Mes]]/Tabela1[[#This Row],[Total_Mes]]</f>
        <v>0.62944162436548223</v>
      </c>
      <c r="AJ334" s="19">
        <f>COUNTIFS(Tabela1[Fase atual],"Recebido",Tabela1[Mês],Tabela1[[#This Row],[Mês]],Tabela1[Ano],Tabela1[[#This Row],[Ano]])/COUNTIF(Tabela1[Mês],Tabela1[[#This Row],[Mês]])</f>
        <v>0.62944162436548223</v>
      </c>
      <c r="AK334" s="20">
        <f>100%</f>
        <v>1</v>
      </c>
    </row>
    <row r="335" spans="1:37" ht="18" customHeight="1" x14ac:dyDescent="0.25">
      <c r="A335">
        <v>1297686522</v>
      </c>
      <c r="B335" t="s">
        <v>164</v>
      </c>
      <c r="C335" t="s">
        <v>165</v>
      </c>
      <c r="D335" t="s">
        <v>37</v>
      </c>
      <c r="E335" t="s">
        <v>31</v>
      </c>
      <c r="F335" s="2">
        <v>46066.793451689809</v>
      </c>
      <c r="AC335" s="24">
        <f t="shared" ca="1" si="11"/>
        <v>67.206548310190556</v>
      </c>
      <c r="AD335" s="25" t="str">
        <f t="shared" ca="1" si="12"/>
        <v>&gt;60 dias</v>
      </c>
      <c r="AE335" s="25">
        <f>MONTH(Tabela1[[#This Row],[Criado em]])</f>
        <v>2</v>
      </c>
      <c r="AF335" s="25">
        <f>YEAR(Tabela1[[#This Row],[Criado em]])</f>
        <v>2026</v>
      </c>
      <c r="AG335" s="25">
        <f>COUNTIFS(Tabela1[Mês],Tabela1[[#This Row],[Mês]])</f>
        <v>197</v>
      </c>
      <c r="AH335" s="25">
        <f>COUNTIFS(Tabela1[Mês],Tabela1[[#This Row],[Mês]],Tabela1[Fase atual],"Recebido")</f>
        <v>124</v>
      </c>
      <c r="AI335" s="26">
        <f>Tabela1[[#This Row],[Recebido_ Mes]]/Tabela1[[#This Row],[Total_Mes]]</f>
        <v>0.62944162436548223</v>
      </c>
      <c r="AJ335" s="19">
        <f>COUNTIFS(Tabela1[Fase atual],"Recebido",Tabela1[Mês],Tabela1[[#This Row],[Mês]],Tabela1[Ano],Tabela1[[#This Row],[Ano]])/COUNTIF(Tabela1[Mês],Tabela1[[#This Row],[Mês]])</f>
        <v>0.62944162436548223</v>
      </c>
      <c r="AK335" s="20">
        <f>100%</f>
        <v>1</v>
      </c>
    </row>
    <row r="336" spans="1:37" ht="18" customHeight="1" x14ac:dyDescent="0.25">
      <c r="A336">
        <v>1290438955</v>
      </c>
      <c r="B336" t="s">
        <v>166</v>
      </c>
      <c r="C336" t="s">
        <v>167</v>
      </c>
      <c r="D336" t="s">
        <v>37</v>
      </c>
      <c r="E336" t="s">
        <v>31</v>
      </c>
      <c r="F336" s="2">
        <v>46051.696695092593</v>
      </c>
      <c r="AC336" s="24">
        <f t="shared" ca="1" si="11"/>
        <v>82.303304907407437</v>
      </c>
      <c r="AD336" s="25" t="str">
        <f t="shared" ca="1" si="12"/>
        <v>&gt;60 dias</v>
      </c>
      <c r="AE336" s="25">
        <f>MONTH(Tabela1[[#This Row],[Criado em]])</f>
        <v>1</v>
      </c>
      <c r="AF336" s="25">
        <f>YEAR(Tabela1[[#This Row],[Criado em]])</f>
        <v>2026</v>
      </c>
      <c r="AG336" s="25">
        <f>COUNTIFS(Tabela1[Mês],Tabela1[[#This Row],[Mês]])</f>
        <v>222</v>
      </c>
      <c r="AH336" s="25">
        <f>COUNTIFS(Tabela1[Mês],Tabela1[[#This Row],[Mês]],Tabela1[Fase atual],"Recebido")</f>
        <v>174</v>
      </c>
      <c r="AI336" s="26">
        <f>Tabela1[[#This Row],[Recebido_ Mes]]/Tabela1[[#This Row],[Total_Mes]]</f>
        <v>0.78378378378378377</v>
      </c>
      <c r="AJ336" s="19">
        <f>COUNTIFS(Tabela1[Fase atual],"Recebido",Tabela1[Mês],Tabela1[[#This Row],[Mês]],Tabela1[Ano],Tabela1[[#This Row],[Ano]])/COUNTIF(Tabela1[Mês],Tabela1[[#This Row],[Mês]])</f>
        <v>0.78378378378378377</v>
      </c>
      <c r="AK336" s="20">
        <f>100%</f>
        <v>1</v>
      </c>
    </row>
    <row r="337" spans="1:37" ht="18" customHeight="1" x14ac:dyDescent="0.25">
      <c r="A337">
        <v>1294577541</v>
      </c>
      <c r="B337" t="s">
        <v>168</v>
      </c>
      <c r="C337" t="s">
        <v>169</v>
      </c>
      <c r="D337" t="s">
        <v>37</v>
      </c>
      <c r="E337" t="s">
        <v>31</v>
      </c>
      <c r="F337" s="2">
        <v>46059.920060219913</v>
      </c>
      <c r="AC337" s="24">
        <f t="shared" ca="1" si="11"/>
        <v>74.079939780087443</v>
      </c>
      <c r="AD337" s="25" t="str">
        <f t="shared" ca="1" si="12"/>
        <v>&gt;60 dias</v>
      </c>
      <c r="AE337" s="25">
        <f>MONTH(Tabela1[[#This Row],[Criado em]])</f>
        <v>2</v>
      </c>
      <c r="AF337" s="25">
        <f>YEAR(Tabela1[[#This Row],[Criado em]])</f>
        <v>2026</v>
      </c>
      <c r="AG337" s="25">
        <f>COUNTIFS(Tabela1[Mês],Tabela1[[#This Row],[Mês]])</f>
        <v>197</v>
      </c>
      <c r="AH337" s="25">
        <f>COUNTIFS(Tabela1[Mês],Tabela1[[#This Row],[Mês]],Tabela1[Fase atual],"Recebido")</f>
        <v>124</v>
      </c>
      <c r="AI337" s="26">
        <f>Tabela1[[#This Row],[Recebido_ Mes]]/Tabela1[[#This Row],[Total_Mes]]</f>
        <v>0.62944162436548223</v>
      </c>
      <c r="AJ337" s="19">
        <f>COUNTIFS(Tabela1[Fase atual],"Recebido",Tabela1[Mês],Tabela1[[#This Row],[Mês]],Tabela1[Ano],Tabela1[[#This Row],[Ano]])/COUNTIF(Tabela1[Mês],Tabela1[[#This Row],[Mês]])</f>
        <v>0.62944162436548223</v>
      </c>
      <c r="AK337" s="20">
        <f>100%</f>
        <v>1</v>
      </c>
    </row>
    <row r="338" spans="1:37" ht="18" customHeight="1" x14ac:dyDescent="0.25">
      <c r="A338">
        <v>1293339015</v>
      </c>
      <c r="B338" t="s">
        <v>170</v>
      </c>
      <c r="C338" t="s">
        <v>171</v>
      </c>
      <c r="D338" t="s">
        <v>37</v>
      </c>
      <c r="E338" t="s">
        <v>31</v>
      </c>
      <c r="F338" s="2">
        <v>46057.796367696763</v>
      </c>
      <c r="AC338" s="24">
        <f t="shared" ca="1" si="11"/>
        <v>76.2036323032371</v>
      </c>
      <c r="AD338" s="25" t="str">
        <f t="shared" ca="1" si="12"/>
        <v>&gt;60 dias</v>
      </c>
      <c r="AE338" s="25">
        <f>MONTH(Tabela1[[#This Row],[Criado em]])</f>
        <v>2</v>
      </c>
      <c r="AF338" s="25">
        <f>YEAR(Tabela1[[#This Row],[Criado em]])</f>
        <v>2026</v>
      </c>
      <c r="AG338" s="25">
        <f>COUNTIFS(Tabela1[Mês],Tabela1[[#This Row],[Mês]])</f>
        <v>197</v>
      </c>
      <c r="AH338" s="25">
        <f>COUNTIFS(Tabela1[Mês],Tabela1[[#This Row],[Mês]],Tabela1[Fase atual],"Recebido")</f>
        <v>124</v>
      </c>
      <c r="AI338" s="26">
        <f>Tabela1[[#This Row],[Recebido_ Mes]]/Tabela1[[#This Row],[Total_Mes]]</f>
        <v>0.62944162436548223</v>
      </c>
      <c r="AJ338" s="19">
        <f>COUNTIFS(Tabela1[Fase atual],"Recebido",Tabela1[Mês],Tabela1[[#This Row],[Mês]],Tabela1[Ano],Tabela1[[#This Row],[Ano]])/COUNTIF(Tabela1[Mês],Tabela1[[#This Row],[Mês]])</f>
        <v>0.62944162436548223</v>
      </c>
      <c r="AK338" s="20">
        <f>100%</f>
        <v>1</v>
      </c>
    </row>
    <row r="339" spans="1:37" ht="18" customHeight="1" x14ac:dyDescent="0.25">
      <c r="A339">
        <v>1308389578</v>
      </c>
      <c r="B339" t="s">
        <v>2193</v>
      </c>
      <c r="C339" t="s">
        <v>2194</v>
      </c>
      <c r="D339" t="s">
        <v>2179</v>
      </c>
      <c r="E339" t="s">
        <v>31</v>
      </c>
      <c r="F339" s="2">
        <v>46084.794248900464</v>
      </c>
      <c r="AC339" s="24">
        <f t="shared" ca="1" si="11"/>
        <v>49.205751099536428</v>
      </c>
      <c r="AD339" s="25" t="str">
        <f t="shared" ca="1" si="12"/>
        <v>31-60 dias</v>
      </c>
      <c r="AE339" s="25">
        <f>MONTH(Tabela1[[#This Row],[Criado em]])</f>
        <v>3</v>
      </c>
      <c r="AF339" s="25">
        <f>YEAR(Tabela1[[#This Row],[Criado em]])</f>
        <v>2026</v>
      </c>
      <c r="AG339" s="25">
        <f>COUNTIFS(Tabela1[Mês],Tabela1[[#This Row],[Mês]])</f>
        <v>62</v>
      </c>
      <c r="AH339" s="25">
        <f>COUNTIFS(Tabela1[Mês],Tabela1[[#This Row],[Mês]],Tabela1[Fase atual],"Recebido")</f>
        <v>13</v>
      </c>
      <c r="AI339" s="26">
        <f>Tabela1[[#This Row],[Recebido_ Mes]]/Tabela1[[#This Row],[Total_Mes]]</f>
        <v>0.20967741935483872</v>
      </c>
      <c r="AJ339" s="19">
        <f>COUNTIFS(Tabela1[Fase atual],"Recebido",Tabela1[Mês],Tabela1[[#This Row],[Mês]],Tabela1[Ano],Tabela1[[#This Row],[Ano]])/COUNTIF(Tabela1[Mês],Tabela1[[#This Row],[Mês]])</f>
        <v>0.20967741935483872</v>
      </c>
      <c r="AK339" s="20">
        <f>100%</f>
        <v>1</v>
      </c>
    </row>
    <row r="340" spans="1:37" ht="18" customHeight="1" x14ac:dyDescent="0.25">
      <c r="A340">
        <v>1231461907</v>
      </c>
      <c r="B340" t="s">
        <v>1057</v>
      </c>
      <c r="C340" t="s">
        <v>1058</v>
      </c>
      <c r="D340" t="s">
        <v>37</v>
      </c>
      <c r="E340" t="s">
        <v>31</v>
      </c>
      <c r="F340" s="2">
        <v>45939.851489212961</v>
      </c>
      <c r="AC340" s="24">
        <f t="shared" ca="1" si="11"/>
        <v>194.14851078703941</v>
      </c>
      <c r="AD340" s="25" t="str">
        <f t="shared" ca="1" si="12"/>
        <v>&gt;60 dias</v>
      </c>
      <c r="AE340" s="25">
        <f>MONTH(Tabela1[[#This Row],[Criado em]])</f>
        <v>10</v>
      </c>
      <c r="AF340" s="25">
        <f>YEAR(Tabela1[[#This Row],[Criado em]])</f>
        <v>2025</v>
      </c>
      <c r="AG340" s="25">
        <f>COUNTIFS(Tabela1[Mês],Tabela1[[#This Row],[Mês]])</f>
        <v>196</v>
      </c>
      <c r="AH340" s="25">
        <f>COUNTIFS(Tabela1[Mês],Tabela1[[#This Row],[Mês]],Tabela1[Fase atual],"Recebido")</f>
        <v>138</v>
      </c>
      <c r="AI340" s="26">
        <f>Tabela1[[#This Row],[Recebido_ Mes]]/Tabela1[[#This Row],[Total_Mes]]</f>
        <v>0.70408163265306123</v>
      </c>
      <c r="AJ340" s="19">
        <f>COUNTIFS(Tabela1[Fase atual],"Recebido",Tabela1[Mês],Tabela1[[#This Row],[Mês]],Tabela1[Ano],Tabela1[[#This Row],[Ano]])/COUNTIF(Tabela1[Mês],Tabela1[[#This Row],[Mês]])</f>
        <v>0.70408163265306123</v>
      </c>
      <c r="AK340" s="20">
        <f>100%</f>
        <v>1</v>
      </c>
    </row>
    <row r="341" spans="1:37" ht="18" customHeight="1" x14ac:dyDescent="0.25">
      <c r="A341">
        <v>1305500109</v>
      </c>
      <c r="B341" t="s">
        <v>150</v>
      </c>
      <c r="C341" t="s">
        <v>2195</v>
      </c>
      <c r="D341" t="s">
        <v>37</v>
      </c>
      <c r="E341" t="s">
        <v>31</v>
      </c>
      <c r="F341" s="2">
        <v>46080.795203865739</v>
      </c>
      <c r="AC341" s="24">
        <f t="shared" ca="1" si="11"/>
        <v>53.204796134261414</v>
      </c>
      <c r="AD341" s="25" t="str">
        <f t="shared" ca="1" si="12"/>
        <v>31-60 dias</v>
      </c>
      <c r="AE341" s="25">
        <f>MONTH(Tabela1[[#This Row],[Criado em]])</f>
        <v>2</v>
      </c>
      <c r="AF341" s="25">
        <f>YEAR(Tabela1[[#This Row],[Criado em]])</f>
        <v>2026</v>
      </c>
      <c r="AG341" s="25">
        <f>COUNTIFS(Tabela1[Mês],Tabela1[[#This Row],[Mês]])</f>
        <v>197</v>
      </c>
      <c r="AH341" s="25">
        <f>COUNTIFS(Tabela1[Mês],Tabela1[[#This Row],[Mês]],Tabela1[Fase atual],"Recebido")</f>
        <v>124</v>
      </c>
      <c r="AI341" s="26">
        <f>Tabela1[[#This Row],[Recebido_ Mes]]/Tabela1[[#This Row],[Total_Mes]]</f>
        <v>0.62944162436548223</v>
      </c>
      <c r="AJ341" s="19">
        <f>COUNTIFS(Tabela1[Fase atual],"Recebido",Tabela1[Mês],Tabela1[[#This Row],[Mês]],Tabela1[Ano],Tabela1[[#This Row],[Ano]])/COUNTIF(Tabela1[Mês],Tabela1[[#This Row],[Mês]])</f>
        <v>0.62944162436548223</v>
      </c>
      <c r="AK341" s="20">
        <f>100%</f>
        <v>1</v>
      </c>
    </row>
    <row r="342" spans="1:37" ht="18" customHeight="1" x14ac:dyDescent="0.25">
      <c r="A342">
        <v>1220845125</v>
      </c>
      <c r="B342" t="s">
        <v>150</v>
      </c>
      <c r="C342" t="s">
        <v>1059</v>
      </c>
      <c r="D342" t="s">
        <v>37</v>
      </c>
      <c r="E342" t="s">
        <v>31</v>
      </c>
      <c r="F342" s="2">
        <v>45924.853062349539</v>
      </c>
      <c r="AC342" s="24">
        <f t="shared" ca="1" si="11"/>
        <v>209.14693765046104</v>
      </c>
      <c r="AD342" s="25" t="str">
        <f t="shared" ca="1" si="12"/>
        <v>&gt;60 dias</v>
      </c>
      <c r="AE342" s="25">
        <f>MONTH(Tabela1[[#This Row],[Criado em]])</f>
        <v>9</v>
      </c>
      <c r="AF342" s="25">
        <f>YEAR(Tabela1[[#This Row],[Criado em]])</f>
        <v>2025</v>
      </c>
      <c r="AG342" s="25">
        <f>COUNTIFS(Tabela1[Mês],Tabela1[[#This Row],[Mês]])</f>
        <v>197</v>
      </c>
      <c r="AH342" s="25">
        <f>COUNTIFS(Tabela1[Mês],Tabela1[[#This Row],[Mês]],Tabela1[Fase atual],"Recebido")</f>
        <v>152</v>
      </c>
      <c r="AI342" s="26">
        <f>Tabela1[[#This Row],[Recebido_ Mes]]/Tabela1[[#This Row],[Total_Mes]]</f>
        <v>0.77157360406091369</v>
      </c>
      <c r="AJ342" s="19">
        <f>COUNTIFS(Tabela1[Fase atual],"Recebido",Tabela1[Mês],Tabela1[[#This Row],[Mês]],Tabela1[Ano],Tabela1[[#This Row],[Ano]])/COUNTIF(Tabela1[Mês],Tabela1[[#This Row],[Mês]])</f>
        <v>0.77157360406091369</v>
      </c>
      <c r="AK342" s="20">
        <f>100%</f>
        <v>1</v>
      </c>
    </row>
    <row r="343" spans="1:37" ht="18" customHeight="1" x14ac:dyDescent="0.25">
      <c r="A343">
        <v>1216185618</v>
      </c>
      <c r="B343" t="s">
        <v>1060</v>
      </c>
      <c r="C343" t="s">
        <v>1061</v>
      </c>
      <c r="D343" t="s">
        <v>37</v>
      </c>
      <c r="E343" t="s">
        <v>31</v>
      </c>
      <c r="F343" s="2">
        <v>45917.851061273148</v>
      </c>
      <c r="AC343" s="24">
        <f t="shared" ca="1" si="11"/>
        <v>216.14893872685207</v>
      </c>
      <c r="AD343" s="25" t="str">
        <f t="shared" ca="1" si="12"/>
        <v>&gt;60 dias</v>
      </c>
      <c r="AE343" s="25">
        <f>MONTH(Tabela1[[#This Row],[Criado em]])</f>
        <v>9</v>
      </c>
      <c r="AF343" s="25">
        <f>YEAR(Tabela1[[#This Row],[Criado em]])</f>
        <v>2025</v>
      </c>
      <c r="AG343" s="25">
        <f>COUNTIFS(Tabela1[Mês],Tabela1[[#This Row],[Mês]])</f>
        <v>197</v>
      </c>
      <c r="AH343" s="25">
        <f>COUNTIFS(Tabela1[Mês],Tabela1[[#This Row],[Mês]],Tabela1[Fase atual],"Recebido")</f>
        <v>152</v>
      </c>
      <c r="AI343" s="26">
        <f>Tabela1[[#This Row],[Recebido_ Mes]]/Tabela1[[#This Row],[Total_Mes]]</f>
        <v>0.77157360406091369</v>
      </c>
      <c r="AJ343" s="19">
        <f>COUNTIFS(Tabela1[Fase atual],"Recebido",Tabela1[Mês],Tabela1[[#This Row],[Mês]],Tabela1[Ano],Tabela1[[#This Row],[Ano]])/COUNTIF(Tabela1[Mês],Tabela1[[#This Row],[Mês]])</f>
        <v>0.77157360406091369</v>
      </c>
      <c r="AK343" s="20">
        <f>100%</f>
        <v>1</v>
      </c>
    </row>
    <row r="344" spans="1:37" ht="18" customHeight="1" x14ac:dyDescent="0.25">
      <c r="A344">
        <v>1219402446</v>
      </c>
      <c r="B344" t="s">
        <v>1060</v>
      </c>
      <c r="C344" t="s">
        <v>1061</v>
      </c>
      <c r="D344" t="s">
        <v>37</v>
      </c>
      <c r="E344" t="s">
        <v>31</v>
      </c>
      <c r="F344" s="2">
        <v>45922.851681782413</v>
      </c>
      <c r="AC344" s="24">
        <f t="shared" ca="1" si="11"/>
        <v>211.14831821758708</v>
      </c>
      <c r="AD344" s="25" t="str">
        <f t="shared" ca="1" si="12"/>
        <v>&gt;60 dias</v>
      </c>
      <c r="AE344" s="25">
        <f>MONTH(Tabela1[[#This Row],[Criado em]])</f>
        <v>9</v>
      </c>
      <c r="AF344" s="25">
        <f>YEAR(Tabela1[[#This Row],[Criado em]])</f>
        <v>2025</v>
      </c>
      <c r="AG344" s="25">
        <f>COUNTIFS(Tabela1[Mês],Tabela1[[#This Row],[Mês]])</f>
        <v>197</v>
      </c>
      <c r="AH344" s="25">
        <f>COUNTIFS(Tabela1[Mês],Tabela1[[#This Row],[Mês]],Tabela1[Fase atual],"Recebido")</f>
        <v>152</v>
      </c>
      <c r="AI344" s="26">
        <f>Tabela1[[#This Row],[Recebido_ Mes]]/Tabela1[[#This Row],[Total_Mes]]</f>
        <v>0.77157360406091369</v>
      </c>
      <c r="AJ344" s="19">
        <f>COUNTIFS(Tabela1[Fase atual],"Recebido",Tabela1[Mês],Tabela1[[#This Row],[Mês]],Tabela1[Ano],Tabela1[[#This Row],[Ano]])/COUNTIF(Tabela1[Mês],Tabela1[[#This Row],[Mês]])</f>
        <v>0.77157360406091369</v>
      </c>
      <c r="AK344" s="20">
        <f>100%</f>
        <v>1</v>
      </c>
    </row>
    <row r="345" spans="1:37" ht="18" customHeight="1" x14ac:dyDescent="0.25">
      <c r="A345">
        <v>1173145914</v>
      </c>
      <c r="B345" t="s">
        <v>1062</v>
      </c>
      <c r="C345" t="s">
        <v>1063</v>
      </c>
      <c r="D345" t="s">
        <v>37</v>
      </c>
      <c r="E345" t="s">
        <v>31</v>
      </c>
      <c r="F345" s="2">
        <v>45846.642179039351</v>
      </c>
      <c r="AC345" s="24">
        <f t="shared" ca="1" si="11"/>
        <v>287.35782096064941</v>
      </c>
      <c r="AD345" s="25" t="str">
        <f t="shared" ca="1" si="12"/>
        <v>&gt;60 dias</v>
      </c>
      <c r="AE345" s="25">
        <f>MONTH(Tabela1[[#This Row],[Criado em]])</f>
        <v>7</v>
      </c>
      <c r="AF345" s="25">
        <f>YEAR(Tabela1[[#This Row],[Criado em]])</f>
        <v>2025</v>
      </c>
      <c r="AG345" s="25">
        <f>COUNTIFS(Tabela1[Mês],Tabela1[[#This Row],[Mês]])</f>
        <v>177</v>
      </c>
      <c r="AH345" s="25">
        <f>COUNTIFS(Tabela1[Mês],Tabela1[[#This Row],[Mês]],Tabela1[Fase atual],"Recebido")</f>
        <v>130</v>
      </c>
      <c r="AI345" s="26">
        <f>Tabela1[[#This Row],[Recebido_ Mes]]/Tabela1[[#This Row],[Total_Mes]]</f>
        <v>0.7344632768361582</v>
      </c>
      <c r="AJ345" s="19">
        <f>COUNTIFS(Tabela1[Fase atual],"Recebido",Tabela1[Mês],Tabela1[[#This Row],[Mês]],Tabela1[Ano],Tabela1[[#This Row],[Ano]])/COUNTIF(Tabela1[Mês],Tabela1[[#This Row],[Mês]])</f>
        <v>0.7344632768361582</v>
      </c>
      <c r="AK345" s="20">
        <f>100%</f>
        <v>1</v>
      </c>
    </row>
    <row r="346" spans="1:37" ht="18" customHeight="1" x14ac:dyDescent="0.25">
      <c r="A346">
        <v>1270228365</v>
      </c>
      <c r="B346" t="s">
        <v>1064</v>
      </c>
      <c r="C346" t="s">
        <v>1065</v>
      </c>
      <c r="D346" t="s">
        <v>40</v>
      </c>
      <c r="E346" t="s">
        <v>31</v>
      </c>
      <c r="F346" s="2">
        <v>46009.844469050928</v>
      </c>
      <c r="AC346" s="24">
        <f t="shared" ca="1" si="11"/>
        <v>124.15553094907227</v>
      </c>
      <c r="AD346" s="25" t="str">
        <f t="shared" ca="1" si="12"/>
        <v>&gt;60 dias</v>
      </c>
      <c r="AE346" s="25">
        <f>MONTH(Tabela1[[#This Row],[Criado em]])</f>
        <v>12</v>
      </c>
      <c r="AF346" s="25">
        <f>YEAR(Tabela1[[#This Row],[Criado em]])</f>
        <v>2025</v>
      </c>
      <c r="AG346" s="25">
        <f>COUNTIFS(Tabela1[Mês],Tabela1[[#This Row],[Mês]])</f>
        <v>207</v>
      </c>
      <c r="AH346" s="25">
        <f>COUNTIFS(Tabela1[Mês],Tabela1[[#This Row],[Mês]],Tabela1[Fase atual],"Recebido")</f>
        <v>155</v>
      </c>
      <c r="AI346" s="26">
        <f>Tabela1[[#This Row],[Recebido_ Mes]]/Tabela1[[#This Row],[Total_Mes]]</f>
        <v>0.74879227053140096</v>
      </c>
      <c r="AJ346" s="19">
        <f>COUNTIFS(Tabela1[Fase atual],"Recebido",Tabela1[Mês],Tabela1[[#This Row],[Mês]],Tabela1[Ano],Tabela1[[#This Row],[Ano]])/COUNTIF(Tabela1[Mês],Tabela1[[#This Row],[Mês]])</f>
        <v>0.74879227053140096</v>
      </c>
      <c r="AK346" s="20">
        <f>100%</f>
        <v>1</v>
      </c>
    </row>
    <row r="347" spans="1:37" ht="18" customHeight="1" x14ac:dyDescent="0.25">
      <c r="A347">
        <v>1217449763</v>
      </c>
      <c r="B347" t="s">
        <v>1066</v>
      </c>
      <c r="C347" t="s">
        <v>1067</v>
      </c>
      <c r="D347" t="s">
        <v>37</v>
      </c>
      <c r="E347" t="s">
        <v>31</v>
      </c>
      <c r="F347" s="2">
        <v>45919.850379583339</v>
      </c>
      <c r="AC347" s="24">
        <f t="shared" ca="1" si="11"/>
        <v>214.14962041666149</v>
      </c>
      <c r="AD347" s="25" t="str">
        <f t="shared" ca="1" si="12"/>
        <v>&gt;60 dias</v>
      </c>
      <c r="AE347" s="25">
        <f>MONTH(Tabela1[[#This Row],[Criado em]])</f>
        <v>9</v>
      </c>
      <c r="AF347" s="25">
        <f>YEAR(Tabela1[[#This Row],[Criado em]])</f>
        <v>2025</v>
      </c>
      <c r="AG347" s="25">
        <f>COUNTIFS(Tabela1[Mês],Tabela1[[#This Row],[Mês]])</f>
        <v>197</v>
      </c>
      <c r="AH347" s="25">
        <f>COUNTIFS(Tabela1[Mês],Tabela1[[#This Row],[Mês]],Tabela1[Fase atual],"Recebido")</f>
        <v>152</v>
      </c>
      <c r="AI347" s="26">
        <f>Tabela1[[#This Row],[Recebido_ Mes]]/Tabela1[[#This Row],[Total_Mes]]</f>
        <v>0.77157360406091369</v>
      </c>
      <c r="AJ347" s="19">
        <f>COUNTIFS(Tabela1[Fase atual],"Recebido",Tabela1[Mês],Tabela1[[#This Row],[Mês]],Tabela1[Ano],Tabela1[[#This Row],[Ano]])/COUNTIF(Tabela1[Mês],Tabela1[[#This Row],[Mês]])</f>
        <v>0.77157360406091369</v>
      </c>
      <c r="AK347" s="20">
        <f>100%</f>
        <v>1</v>
      </c>
    </row>
    <row r="348" spans="1:37" ht="18" customHeight="1" x14ac:dyDescent="0.25">
      <c r="A348">
        <v>1204521495</v>
      </c>
      <c r="B348" t="s">
        <v>1068</v>
      </c>
      <c r="C348" t="s">
        <v>1069</v>
      </c>
      <c r="D348" t="s">
        <v>34</v>
      </c>
      <c r="E348" t="s">
        <v>31</v>
      </c>
      <c r="F348" s="2">
        <v>45898.642031006937</v>
      </c>
      <c r="AC348" s="24">
        <f t="shared" ca="1" si="11"/>
        <v>235.35796899306297</v>
      </c>
      <c r="AD348" s="25" t="str">
        <f t="shared" ca="1" si="12"/>
        <v>&gt;60 dias</v>
      </c>
      <c r="AE348" s="25">
        <f>MONTH(Tabela1[[#This Row],[Criado em]])</f>
        <v>8</v>
      </c>
      <c r="AF348" s="25">
        <f>YEAR(Tabela1[[#This Row],[Criado em]])</f>
        <v>2025</v>
      </c>
      <c r="AG348" s="25">
        <f>COUNTIFS(Tabela1[Mês],Tabela1[[#This Row],[Mês]])</f>
        <v>146</v>
      </c>
      <c r="AH348" s="25">
        <f>COUNTIFS(Tabela1[Mês],Tabela1[[#This Row],[Mês]],Tabela1[Fase atual],"Recebido")</f>
        <v>115</v>
      </c>
      <c r="AI348" s="26">
        <f>Tabela1[[#This Row],[Recebido_ Mes]]/Tabela1[[#This Row],[Total_Mes]]</f>
        <v>0.78767123287671237</v>
      </c>
      <c r="AJ348" s="19">
        <f>COUNTIFS(Tabela1[Fase atual],"Recebido",Tabela1[Mês],Tabela1[[#This Row],[Mês]],Tabela1[Ano],Tabela1[[#This Row],[Ano]])/COUNTIF(Tabela1[Mês],Tabela1[[#This Row],[Mês]])</f>
        <v>0.78767123287671237</v>
      </c>
      <c r="AK348" s="20">
        <f>100%</f>
        <v>1</v>
      </c>
    </row>
    <row r="349" spans="1:37" ht="18" customHeight="1" x14ac:dyDescent="0.25">
      <c r="A349">
        <v>1243199407</v>
      </c>
      <c r="B349" t="s">
        <v>1070</v>
      </c>
      <c r="C349" t="s">
        <v>1071</v>
      </c>
      <c r="D349" t="s">
        <v>784</v>
      </c>
      <c r="E349" t="s">
        <v>31</v>
      </c>
      <c r="F349" s="2">
        <v>45954.627888819443</v>
      </c>
      <c r="AC349" s="24">
        <f t="shared" ca="1" si="11"/>
        <v>179.37211118055711</v>
      </c>
      <c r="AD349" s="25" t="str">
        <f t="shared" ca="1" si="12"/>
        <v>&gt;60 dias</v>
      </c>
      <c r="AE349" s="25">
        <f>MONTH(Tabela1[[#This Row],[Criado em]])</f>
        <v>10</v>
      </c>
      <c r="AF349" s="25">
        <f>YEAR(Tabela1[[#This Row],[Criado em]])</f>
        <v>2025</v>
      </c>
      <c r="AG349" s="25">
        <f>COUNTIFS(Tabela1[Mês],Tabela1[[#This Row],[Mês]])</f>
        <v>196</v>
      </c>
      <c r="AH349" s="25">
        <f>COUNTIFS(Tabela1[Mês],Tabela1[[#This Row],[Mês]],Tabela1[Fase atual],"Recebido")</f>
        <v>138</v>
      </c>
      <c r="AI349" s="26">
        <f>Tabela1[[#This Row],[Recebido_ Mes]]/Tabela1[[#This Row],[Total_Mes]]</f>
        <v>0.70408163265306123</v>
      </c>
      <c r="AJ349" s="19">
        <f>COUNTIFS(Tabela1[Fase atual],"Recebido",Tabela1[Mês],Tabela1[[#This Row],[Mês]],Tabela1[Ano],Tabela1[[#This Row],[Ano]])/COUNTIF(Tabela1[Mês],Tabela1[[#This Row],[Mês]])</f>
        <v>0.70408163265306123</v>
      </c>
      <c r="AK349" s="20">
        <f>100%</f>
        <v>1</v>
      </c>
    </row>
    <row r="350" spans="1:37" ht="18" customHeight="1" x14ac:dyDescent="0.25">
      <c r="A350">
        <v>1180443509</v>
      </c>
      <c r="B350" t="s">
        <v>1072</v>
      </c>
      <c r="C350" t="s">
        <v>1073</v>
      </c>
      <c r="D350" t="s">
        <v>37</v>
      </c>
      <c r="E350" t="s">
        <v>31</v>
      </c>
      <c r="F350" s="2">
        <v>45859.85208921296</v>
      </c>
      <c r="AC350" s="24">
        <f t="shared" ca="1" si="11"/>
        <v>274.14791078704002</v>
      </c>
      <c r="AD350" s="25" t="str">
        <f t="shared" ca="1" si="12"/>
        <v>&gt;60 dias</v>
      </c>
      <c r="AE350" s="25">
        <f>MONTH(Tabela1[[#This Row],[Criado em]])</f>
        <v>7</v>
      </c>
      <c r="AF350" s="25">
        <f>YEAR(Tabela1[[#This Row],[Criado em]])</f>
        <v>2025</v>
      </c>
      <c r="AG350" s="25">
        <f>COUNTIFS(Tabela1[Mês],Tabela1[[#This Row],[Mês]])</f>
        <v>177</v>
      </c>
      <c r="AH350" s="25">
        <f>COUNTIFS(Tabela1[Mês],Tabela1[[#This Row],[Mês]],Tabela1[Fase atual],"Recebido")</f>
        <v>130</v>
      </c>
      <c r="AI350" s="26">
        <f>Tabela1[[#This Row],[Recebido_ Mes]]/Tabela1[[#This Row],[Total_Mes]]</f>
        <v>0.7344632768361582</v>
      </c>
      <c r="AJ350" s="19">
        <f>COUNTIFS(Tabela1[Fase atual],"Recebido",Tabela1[Mês],Tabela1[[#This Row],[Mês]],Tabela1[Ano],Tabela1[[#This Row],[Ano]])/COUNTIF(Tabela1[Mês],Tabela1[[#This Row],[Mês]])</f>
        <v>0.7344632768361582</v>
      </c>
      <c r="AK350" s="20">
        <f>100%</f>
        <v>1</v>
      </c>
    </row>
    <row r="351" spans="1:37" ht="18" customHeight="1" x14ac:dyDescent="0.25">
      <c r="A351">
        <v>1187038133</v>
      </c>
      <c r="B351" t="s">
        <v>1074</v>
      </c>
      <c r="C351" t="s">
        <v>1075</v>
      </c>
      <c r="D351" t="s">
        <v>37</v>
      </c>
      <c r="E351" t="s">
        <v>31</v>
      </c>
      <c r="F351" s="2">
        <v>45870.680705092593</v>
      </c>
      <c r="AC351" s="24">
        <f t="shared" ca="1" si="11"/>
        <v>263.31929490740731</v>
      </c>
      <c r="AD351" s="25" t="str">
        <f t="shared" ca="1" si="12"/>
        <v>&gt;60 dias</v>
      </c>
      <c r="AE351" s="25">
        <f>MONTH(Tabela1[[#This Row],[Criado em]])</f>
        <v>8</v>
      </c>
      <c r="AF351" s="25">
        <f>YEAR(Tabela1[[#This Row],[Criado em]])</f>
        <v>2025</v>
      </c>
      <c r="AG351" s="25">
        <f>COUNTIFS(Tabela1[Mês],Tabela1[[#This Row],[Mês]])</f>
        <v>146</v>
      </c>
      <c r="AH351" s="25">
        <f>COUNTIFS(Tabela1[Mês],Tabela1[[#This Row],[Mês]],Tabela1[Fase atual],"Recebido")</f>
        <v>115</v>
      </c>
      <c r="AI351" s="26">
        <f>Tabela1[[#This Row],[Recebido_ Mes]]/Tabela1[[#This Row],[Total_Mes]]</f>
        <v>0.78767123287671237</v>
      </c>
      <c r="AJ351" s="19">
        <f>COUNTIFS(Tabela1[Fase atual],"Recebido",Tabela1[Mês],Tabela1[[#This Row],[Mês]],Tabela1[Ano],Tabela1[[#This Row],[Ano]])/COUNTIF(Tabela1[Mês],Tabela1[[#This Row],[Mês]])</f>
        <v>0.78767123287671237</v>
      </c>
      <c r="AK351" s="20">
        <f>100%</f>
        <v>1</v>
      </c>
    </row>
    <row r="352" spans="1:37" ht="18" customHeight="1" x14ac:dyDescent="0.25">
      <c r="A352">
        <v>1241218657</v>
      </c>
      <c r="B352" t="s">
        <v>1076</v>
      </c>
      <c r="C352" t="s">
        <v>1077</v>
      </c>
      <c r="D352" t="s">
        <v>37</v>
      </c>
      <c r="E352" t="s">
        <v>31</v>
      </c>
      <c r="F352" s="2">
        <v>45952.593586736111</v>
      </c>
      <c r="AC352" s="24">
        <f t="shared" ca="1" si="11"/>
        <v>181.40641326388868</v>
      </c>
      <c r="AD352" s="25" t="str">
        <f t="shared" ca="1" si="12"/>
        <v>&gt;60 dias</v>
      </c>
      <c r="AE352" s="25">
        <f>MONTH(Tabela1[[#This Row],[Criado em]])</f>
        <v>10</v>
      </c>
      <c r="AF352" s="25">
        <f>YEAR(Tabela1[[#This Row],[Criado em]])</f>
        <v>2025</v>
      </c>
      <c r="AG352" s="25">
        <f>COUNTIFS(Tabela1[Mês],Tabela1[[#This Row],[Mês]])</f>
        <v>196</v>
      </c>
      <c r="AH352" s="25">
        <f>COUNTIFS(Tabela1[Mês],Tabela1[[#This Row],[Mês]],Tabela1[Fase atual],"Recebido")</f>
        <v>138</v>
      </c>
      <c r="AI352" s="26">
        <f>Tabela1[[#This Row],[Recebido_ Mes]]/Tabela1[[#This Row],[Total_Mes]]</f>
        <v>0.70408163265306123</v>
      </c>
      <c r="AJ352" s="19">
        <f>COUNTIFS(Tabela1[Fase atual],"Recebido",Tabela1[Mês],Tabela1[[#This Row],[Mês]],Tabela1[Ano],Tabela1[[#This Row],[Ano]])/COUNTIF(Tabela1[Mês],Tabela1[[#This Row],[Mês]])</f>
        <v>0.70408163265306123</v>
      </c>
      <c r="AK352" s="20">
        <f>100%</f>
        <v>1</v>
      </c>
    </row>
    <row r="353" spans="1:37" ht="18" customHeight="1" x14ac:dyDescent="0.25">
      <c r="A353">
        <v>1309288794</v>
      </c>
      <c r="B353" t="s">
        <v>2196</v>
      </c>
      <c r="C353" t="s">
        <v>2197</v>
      </c>
      <c r="D353" t="s">
        <v>2179</v>
      </c>
      <c r="E353" t="s">
        <v>31</v>
      </c>
      <c r="F353" s="2">
        <v>46085.795481354173</v>
      </c>
      <c r="AC353" s="24">
        <f t="shared" ca="1" si="11"/>
        <v>48.204518645827193</v>
      </c>
      <c r="AD353" s="25" t="str">
        <f t="shared" ca="1" si="12"/>
        <v>31-60 dias</v>
      </c>
      <c r="AE353" s="25">
        <f>MONTH(Tabela1[[#This Row],[Criado em]])</f>
        <v>3</v>
      </c>
      <c r="AF353" s="25">
        <f>YEAR(Tabela1[[#This Row],[Criado em]])</f>
        <v>2026</v>
      </c>
      <c r="AG353" s="25">
        <f>COUNTIFS(Tabela1[Mês],Tabela1[[#This Row],[Mês]])</f>
        <v>62</v>
      </c>
      <c r="AH353" s="25">
        <f>COUNTIFS(Tabela1[Mês],Tabela1[[#This Row],[Mês]],Tabela1[Fase atual],"Recebido")</f>
        <v>13</v>
      </c>
      <c r="AI353" s="26">
        <f>Tabela1[[#This Row],[Recebido_ Mes]]/Tabela1[[#This Row],[Total_Mes]]</f>
        <v>0.20967741935483872</v>
      </c>
      <c r="AJ353" s="19">
        <f>COUNTIFS(Tabela1[Fase atual],"Recebido",Tabela1[Mês],Tabela1[[#This Row],[Mês]],Tabela1[Ano],Tabela1[[#This Row],[Ano]])/COUNTIF(Tabela1[Mês],Tabela1[[#This Row],[Mês]])</f>
        <v>0.20967741935483872</v>
      </c>
      <c r="AK353" s="20">
        <f>100%</f>
        <v>1</v>
      </c>
    </row>
    <row r="354" spans="1:37" ht="18" customHeight="1" x14ac:dyDescent="0.25">
      <c r="A354">
        <v>1234442814</v>
      </c>
      <c r="B354" t="s">
        <v>1078</v>
      </c>
      <c r="C354" t="s">
        <v>1079</v>
      </c>
      <c r="D354" t="s">
        <v>37</v>
      </c>
      <c r="E354" t="s">
        <v>31</v>
      </c>
      <c r="F354" s="2">
        <v>45943.795755925923</v>
      </c>
      <c r="AC354" s="24">
        <f t="shared" ca="1" si="11"/>
        <v>190.204244074077</v>
      </c>
      <c r="AD354" s="25" t="str">
        <f t="shared" ca="1" si="12"/>
        <v>&gt;60 dias</v>
      </c>
      <c r="AE354" s="25">
        <f>MONTH(Tabela1[[#This Row],[Criado em]])</f>
        <v>10</v>
      </c>
      <c r="AF354" s="25">
        <f>YEAR(Tabela1[[#This Row],[Criado em]])</f>
        <v>2025</v>
      </c>
      <c r="AG354" s="25">
        <f>COUNTIFS(Tabela1[Mês],Tabela1[[#This Row],[Mês]])</f>
        <v>196</v>
      </c>
      <c r="AH354" s="25">
        <f>COUNTIFS(Tabela1[Mês],Tabela1[[#This Row],[Mês]],Tabela1[Fase atual],"Recebido")</f>
        <v>138</v>
      </c>
      <c r="AI354" s="26">
        <f>Tabela1[[#This Row],[Recebido_ Mes]]/Tabela1[[#This Row],[Total_Mes]]</f>
        <v>0.70408163265306123</v>
      </c>
      <c r="AJ354" s="19">
        <f>COUNTIFS(Tabela1[Fase atual],"Recebido",Tabela1[Mês],Tabela1[[#This Row],[Mês]],Tabela1[Ano],Tabela1[[#This Row],[Ano]])/COUNTIF(Tabela1[Mês],Tabela1[[#This Row],[Mês]])</f>
        <v>0.70408163265306123</v>
      </c>
      <c r="AK354" s="20">
        <f>100%</f>
        <v>1</v>
      </c>
    </row>
    <row r="355" spans="1:37" ht="18" customHeight="1" x14ac:dyDescent="0.25">
      <c r="A355">
        <v>1282564305</v>
      </c>
      <c r="B355" t="s">
        <v>172</v>
      </c>
      <c r="C355" t="s">
        <v>173</v>
      </c>
      <c r="D355" t="s">
        <v>37</v>
      </c>
      <c r="E355" t="s">
        <v>31</v>
      </c>
      <c r="F355" s="2">
        <v>46037.921126423607</v>
      </c>
      <c r="AC355" s="24">
        <f t="shared" ca="1" si="11"/>
        <v>96.078873576392652</v>
      </c>
      <c r="AD355" s="25" t="str">
        <f t="shared" ca="1" si="12"/>
        <v>&gt;60 dias</v>
      </c>
      <c r="AE355" s="25">
        <f>MONTH(Tabela1[[#This Row],[Criado em]])</f>
        <v>1</v>
      </c>
      <c r="AF355" s="25">
        <f>YEAR(Tabela1[[#This Row],[Criado em]])</f>
        <v>2026</v>
      </c>
      <c r="AG355" s="25">
        <f>COUNTIFS(Tabela1[Mês],Tabela1[[#This Row],[Mês]])</f>
        <v>222</v>
      </c>
      <c r="AH355" s="25">
        <f>COUNTIFS(Tabela1[Mês],Tabela1[[#This Row],[Mês]],Tabela1[Fase atual],"Recebido")</f>
        <v>174</v>
      </c>
      <c r="AI355" s="26">
        <f>Tabela1[[#This Row],[Recebido_ Mes]]/Tabela1[[#This Row],[Total_Mes]]</f>
        <v>0.78378378378378377</v>
      </c>
      <c r="AJ355" s="19">
        <f>COUNTIFS(Tabela1[Fase atual],"Recebido",Tabela1[Mês],Tabela1[[#This Row],[Mês]],Tabela1[Ano],Tabela1[[#This Row],[Ano]])/COUNTIF(Tabela1[Mês],Tabela1[[#This Row],[Mês]])</f>
        <v>0.78378378378378377</v>
      </c>
      <c r="AK355" s="20">
        <f>100%</f>
        <v>1</v>
      </c>
    </row>
    <row r="356" spans="1:37" ht="18" customHeight="1" x14ac:dyDescent="0.25">
      <c r="A356">
        <v>1278360223</v>
      </c>
      <c r="B356" t="s">
        <v>172</v>
      </c>
      <c r="C356" t="s">
        <v>173</v>
      </c>
      <c r="D356" t="s">
        <v>37</v>
      </c>
      <c r="E356" t="s">
        <v>31</v>
      </c>
      <c r="F356" s="2">
        <v>46029.795198599539</v>
      </c>
      <c r="AC356" s="24">
        <f t="shared" ca="1" si="11"/>
        <v>104.20480140046129</v>
      </c>
      <c r="AD356" s="25" t="str">
        <f t="shared" ca="1" si="12"/>
        <v>&gt;60 dias</v>
      </c>
      <c r="AE356" s="25">
        <f>MONTH(Tabela1[[#This Row],[Criado em]])</f>
        <v>1</v>
      </c>
      <c r="AF356" s="25">
        <f>YEAR(Tabela1[[#This Row],[Criado em]])</f>
        <v>2026</v>
      </c>
      <c r="AG356" s="25">
        <f>COUNTIFS(Tabela1[Mês],Tabela1[[#This Row],[Mês]])</f>
        <v>222</v>
      </c>
      <c r="AH356" s="25">
        <f>COUNTIFS(Tabela1[Mês],Tabela1[[#This Row],[Mês]],Tabela1[Fase atual],"Recebido")</f>
        <v>174</v>
      </c>
      <c r="AI356" s="26">
        <f>Tabela1[[#This Row],[Recebido_ Mes]]/Tabela1[[#This Row],[Total_Mes]]</f>
        <v>0.78378378378378377</v>
      </c>
      <c r="AJ356" s="19">
        <f>COUNTIFS(Tabela1[Fase atual],"Recebido",Tabela1[Mês],Tabela1[[#This Row],[Mês]],Tabela1[Ano],Tabela1[[#This Row],[Ano]])/COUNTIF(Tabela1[Mês],Tabela1[[#This Row],[Mês]])</f>
        <v>0.78378378378378377</v>
      </c>
      <c r="AK356" s="20">
        <f>100%</f>
        <v>1</v>
      </c>
    </row>
    <row r="357" spans="1:37" ht="18" customHeight="1" x14ac:dyDescent="0.25">
      <c r="A357">
        <v>1223942114</v>
      </c>
      <c r="B357" t="s">
        <v>1080</v>
      </c>
      <c r="C357" t="s">
        <v>1081</v>
      </c>
      <c r="D357" t="s">
        <v>37</v>
      </c>
      <c r="E357" t="s">
        <v>31</v>
      </c>
      <c r="F357" s="2">
        <v>45929.851893749998</v>
      </c>
      <c r="AC357" s="24">
        <f t="shared" ca="1" si="11"/>
        <v>204.14810625000246</v>
      </c>
      <c r="AD357" s="25" t="str">
        <f t="shared" ca="1" si="12"/>
        <v>&gt;60 dias</v>
      </c>
      <c r="AE357" s="25">
        <f>MONTH(Tabela1[[#This Row],[Criado em]])</f>
        <v>9</v>
      </c>
      <c r="AF357" s="25">
        <f>YEAR(Tabela1[[#This Row],[Criado em]])</f>
        <v>2025</v>
      </c>
      <c r="AG357" s="25">
        <f>COUNTIFS(Tabela1[Mês],Tabela1[[#This Row],[Mês]])</f>
        <v>197</v>
      </c>
      <c r="AH357" s="25">
        <f>COUNTIFS(Tabela1[Mês],Tabela1[[#This Row],[Mês]],Tabela1[Fase atual],"Recebido")</f>
        <v>152</v>
      </c>
      <c r="AI357" s="26">
        <f>Tabela1[[#This Row],[Recebido_ Mes]]/Tabela1[[#This Row],[Total_Mes]]</f>
        <v>0.77157360406091369</v>
      </c>
      <c r="AJ357" s="19">
        <f>COUNTIFS(Tabela1[Fase atual],"Recebido",Tabela1[Mês],Tabela1[[#This Row],[Mês]],Tabela1[Ano],Tabela1[[#This Row],[Ano]])/COUNTIF(Tabela1[Mês],Tabela1[[#This Row],[Mês]])</f>
        <v>0.77157360406091369</v>
      </c>
      <c r="AK357" s="20">
        <f>100%</f>
        <v>1</v>
      </c>
    </row>
    <row r="358" spans="1:37" ht="18" customHeight="1" x14ac:dyDescent="0.25">
      <c r="A358">
        <v>1263586650</v>
      </c>
      <c r="B358" t="s">
        <v>1082</v>
      </c>
      <c r="C358" t="s">
        <v>1083</v>
      </c>
      <c r="D358" t="s">
        <v>37</v>
      </c>
      <c r="E358" t="s">
        <v>31</v>
      </c>
      <c r="F358" s="2">
        <v>45994.922033078699</v>
      </c>
      <c r="AC358" s="24">
        <f t="shared" ca="1" si="11"/>
        <v>139.07796692130069</v>
      </c>
      <c r="AD358" s="25" t="str">
        <f t="shared" ca="1" si="12"/>
        <v>&gt;60 dias</v>
      </c>
      <c r="AE358" s="25">
        <f>MONTH(Tabela1[[#This Row],[Criado em]])</f>
        <v>12</v>
      </c>
      <c r="AF358" s="25">
        <f>YEAR(Tabela1[[#This Row],[Criado em]])</f>
        <v>2025</v>
      </c>
      <c r="AG358" s="25">
        <f>COUNTIFS(Tabela1[Mês],Tabela1[[#This Row],[Mês]])</f>
        <v>207</v>
      </c>
      <c r="AH358" s="25">
        <f>COUNTIFS(Tabela1[Mês],Tabela1[[#This Row],[Mês]],Tabela1[Fase atual],"Recebido")</f>
        <v>155</v>
      </c>
      <c r="AI358" s="26">
        <f>Tabela1[[#This Row],[Recebido_ Mes]]/Tabela1[[#This Row],[Total_Mes]]</f>
        <v>0.74879227053140096</v>
      </c>
      <c r="AJ358" s="19">
        <f>COUNTIFS(Tabela1[Fase atual],"Recebido",Tabela1[Mês],Tabela1[[#This Row],[Mês]],Tabela1[Ano],Tabela1[[#This Row],[Ano]])/COUNTIF(Tabela1[Mês],Tabela1[[#This Row],[Mês]])</f>
        <v>0.74879227053140096</v>
      </c>
      <c r="AK358" s="20">
        <f>100%</f>
        <v>1</v>
      </c>
    </row>
    <row r="359" spans="1:37" ht="18" customHeight="1" x14ac:dyDescent="0.25">
      <c r="A359">
        <v>1174283448</v>
      </c>
      <c r="B359" t="s">
        <v>1082</v>
      </c>
      <c r="C359" t="s">
        <v>1083</v>
      </c>
      <c r="D359" t="s">
        <v>37</v>
      </c>
      <c r="E359" t="s">
        <v>31</v>
      </c>
      <c r="F359" s="2">
        <v>45848.851697418977</v>
      </c>
      <c r="AC359" s="24">
        <f t="shared" ca="1" si="11"/>
        <v>285.14830258102302</v>
      </c>
      <c r="AD359" s="25" t="str">
        <f t="shared" ca="1" si="12"/>
        <v>&gt;60 dias</v>
      </c>
      <c r="AE359" s="25">
        <f>MONTH(Tabela1[[#This Row],[Criado em]])</f>
        <v>7</v>
      </c>
      <c r="AF359" s="25">
        <f>YEAR(Tabela1[[#This Row],[Criado em]])</f>
        <v>2025</v>
      </c>
      <c r="AG359" s="25">
        <f>COUNTIFS(Tabela1[Mês],Tabela1[[#This Row],[Mês]])</f>
        <v>177</v>
      </c>
      <c r="AH359" s="25">
        <f>COUNTIFS(Tabela1[Mês],Tabela1[[#This Row],[Mês]],Tabela1[Fase atual],"Recebido")</f>
        <v>130</v>
      </c>
      <c r="AI359" s="26">
        <f>Tabela1[[#This Row],[Recebido_ Mes]]/Tabela1[[#This Row],[Total_Mes]]</f>
        <v>0.7344632768361582</v>
      </c>
      <c r="AJ359" s="19">
        <f>COUNTIFS(Tabela1[Fase atual],"Recebido",Tabela1[Mês],Tabela1[[#This Row],[Mês]],Tabela1[Ano],Tabela1[[#This Row],[Ano]])/COUNTIF(Tabela1[Mês],Tabela1[[#This Row],[Mês]])</f>
        <v>0.7344632768361582</v>
      </c>
      <c r="AK359" s="20">
        <f>100%</f>
        <v>1</v>
      </c>
    </row>
    <row r="360" spans="1:37" ht="18" customHeight="1" x14ac:dyDescent="0.25">
      <c r="A360">
        <v>1212040814</v>
      </c>
      <c r="B360" t="s">
        <v>1082</v>
      </c>
      <c r="C360" t="s">
        <v>1083</v>
      </c>
      <c r="D360" t="s">
        <v>37</v>
      </c>
      <c r="E360" t="s">
        <v>31</v>
      </c>
      <c r="F360" s="2">
        <v>45910.850990578707</v>
      </c>
      <c r="AC360" s="24">
        <f t="shared" ca="1" si="11"/>
        <v>223.14900942129316</v>
      </c>
      <c r="AD360" s="25" t="str">
        <f t="shared" ca="1" si="12"/>
        <v>&gt;60 dias</v>
      </c>
      <c r="AE360" s="25">
        <f>MONTH(Tabela1[[#This Row],[Criado em]])</f>
        <v>9</v>
      </c>
      <c r="AF360" s="25">
        <f>YEAR(Tabela1[[#This Row],[Criado em]])</f>
        <v>2025</v>
      </c>
      <c r="AG360" s="25">
        <f>COUNTIFS(Tabela1[Mês],Tabela1[[#This Row],[Mês]])</f>
        <v>197</v>
      </c>
      <c r="AH360" s="25">
        <f>COUNTIFS(Tabela1[Mês],Tabela1[[#This Row],[Mês]],Tabela1[Fase atual],"Recebido")</f>
        <v>152</v>
      </c>
      <c r="AI360" s="26">
        <f>Tabela1[[#This Row],[Recebido_ Mes]]/Tabela1[[#This Row],[Total_Mes]]</f>
        <v>0.77157360406091369</v>
      </c>
      <c r="AJ360" s="19">
        <f>COUNTIFS(Tabela1[Fase atual],"Recebido",Tabela1[Mês],Tabela1[[#This Row],[Mês]],Tabela1[Ano],Tabela1[[#This Row],[Ano]])/COUNTIF(Tabela1[Mês],Tabela1[[#This Row],[Mês]])</f>
        <v>0.77157360406091369</v>
      </c>
      <c r="AK360" s="20">
        <f>100%</f>
        <v>1</v>
      </c>
    </row>
    <row r="361" spans="1:37" ht="18" customHeight="1" x14ac:dyDescent="0.25">
      <c r="A361">
        <v>1264759109</v>
      </c>
      <c r="B361" t="s">
        <v>1082</v>
      </c>
      <c r="C361" t="s">
        <v>1084</v>
      </c>
      <c r="D361" t="s">
        <v>37</v>
      </c>
      <c r="E361" t="s">
        <v>31</v>
      </c>
      <c r="F361" s="2">
        <v>45996.799567430557</v>
      </c>
      <c r="AC361" s="24">
        <f t="shared" ca="1" si="11"/>
        <v>137.20043256944336</v>
      </c>
      <c r="AD361" s="25" t="str">
        <f t="shared" ca="1" si="12"/>
        <v>&gt;60 dias</v>
      </c>
      <c r="AE361" s="25">
        <f>MONTH(Tabela1[[#This Row],[Criado em]])</f>
        <v>12</v>
      </c>
      <c r="AF361" s="25">
        <f>YEAR(Tabela1[[#This Row],[Criado em]])</f>
        <v>2025</v>
      </c>
      <c r="AG361" s="25">
        <f>COUNTIFS(Tabela1[Mês],Tabela1[[#This Row],[Mês]])</f>
        <v>207</v>
      </c>
      <c r="AH361" s="25">
        <f>COUNTIFS(Tabela1[Mês],Tabela1[[#This Row],[Mês]],Tabela1[Fase atual],"Recebido")</f>
        <v>155</v>
      </c>
      <c r="AI361" s="26">
        <f>Tabela1[[#This Row],[Recebido_ Mes]]/Tabela1[[#This Row],[Total_Mes]]</f>
        <v>0.74879227053140096</v>
      </c>
      <c r="AJ361" s="19">
        <f>COUNTIFS(Tabela1[Fase atual],"Recebido",Tabela1[Mês],Tabela1[[#This Row],[Mês]],Tabela1[Ano],Tabela1[[#This Row],[Ano]])/COUNTIF(Tabela1[Mês],Tabela1[[#This Row],[Mês]])</f>
        <v>0.74879227053140096</v>
      </c>
      <c r="AK361" s="20">
        <f>100%</f>
        <v>1</v>
      </c>
    </row>
    <row r="362" spans="1:37" ht="18" customHeight="1" x14ac:dyDescent="0.25">
      <c r="A362">
        <v>1300570856</v>
      </c>
      <c r="B362" t="s">
        <v>174</v>
      </c>
      <c r="C362" t="s">
        <v>175</v>
      </c>
      <c r="D362" t="s">
        <v>37</v>
      </c>
      <c r="E362" t="s">
        <v>31</v>
      </c>
      <c r="F362" s="2">
        <v>46073.920993946747</v>
      </c>
      <c r="AC362" s="24">
        <f t="shared" ca="1" si="11"/>
        <v>60.07900605325267</v>
      </c>
      <c r="AD362" s="25" t="str">
        <f t="shared" ca="1" si="12"/>
        <v>&gt;60 dias</v>
      </c>
      <c r="AE362" s="25">
        <f>MONTH(Tabela1[[#This Row],[Criado em]])</f>
        <v>2</v>
      </c>
      <c r="AF362" s="25">
        <f>YEAR(Tabela1[[#This Row],[Criado em]])</f>
        <v>2026</v>
      </c>
      <c r="AG362" s="25">
        <f>COUNTIFS(Tabela1[Mês],Tabela1[[#This Row],[Mês]])</f>
        <v>197</v>
      </c>
      <c r="AH362" s="25">
        <f>COUNTIFS(Tabela1[Mês],Tabela1[[#This Row],[Mês]],Tabela1[Fase atual],"Recebido")</f>
        <v>124</v>
      </c>
      <c r="AI362" s="26">
        <f>Tabela1[[#This Row],[Recebido_ Mes]]/Tabela1[[#This Row],[Total_Mes]]</f>
        <v>0.62944162436548223</v>
      </c>
      <c r="AJ362" s="19">
        <f>COUNTIFS(Tabela1[Fase atual],"Recebido",Tabela1[Mês],Tabela1[[#This Row],[Mês]],Tabela1[Ano],Tabela1[[#This Row],[Ano]])/COUNTIF(Tabela1[Mês],Tabela1[[#This Row],[Mês]])</f>
        <v>0.62944162436548223</v>
      </c>
      <c r="AK362" s="20">
        <f>100%</f>
        <v>1</v>
      </c>
    </row>
    <row r="363" spans="1:37" ht="18" customHeight="1" x14ac:dyDescent="0.25">
      <c r="A363">
        <v>1208626457</v>
      </c>
      <c r="B363" t="s">
        <v>174</v>
      </c>
      <c r="C363" t="s">
        <v>175</v>
      </c>
      <c r="D363" t="s">
        <v>37</v>
      </c>
      <c r="E363" t="s">
        <v>31</v>
      </c>
      <c r="F363" s="2">
        <v>45905.018185787027</v>
      </c>
      <c r="AC363" s="24">
        <f t="shared" ca="1" si="11"/>
        <v>228.9818142129734</v>
      </c>
      <c r="AD363" s="25" t="str">
        <f t="shared" ca="1" si="12"/>
        <v>&gt;60 dias</v>
      </c>
      <c r="AE363" s="25">
        <f>MONTH(Tabela1[[#This Row],[Criado em]])</f>
        <v>9</v>
      </c>
      <c r="AF363" s="25">
        <f>YEAR(Tabela1[[#This Row],[Criado em]])</f>
        <v>2025</v>
      </c>
      <c r="AG363" s="25">
        <f>COUNTIFS(Tabela1[Mês],Tabela1[[#This Row],[Mês]])</f>
        <v>197</v>
      </c>
      <c r="AH363" s="25">
        <f>COUNTIFS(Tabela1[Mês],Tabela1[[#This Row],[Mês]],Tabela1[Fase atual],"Recebido")</f>
        <v>152</v>
      </c>
      <c r="AI363" s="26">
        <f>Tabela1[[#This Row],[Recebido_ Mes]]/Tabela1[[#This Row],[Total_Mes]]</f>
        <v>0.77157360406091369</v>
      </c>
      <c r="AJ363" s="19">
        <f>COUNTIFS(Tabela1[Fase atual],"Recebido",Tabela1[Mês],Tabela1[[#This Row],[Mês]],Tabela1[Ano],Tabela1[[#This Row],[Ano]])/COUNTIF(Tabela1[Mês],Tabela1[[#This Row],[Mês]])</f>
        <v>0.77157360406091369</v>
      </c>
      <c r="AK363" s="20">
        <f>100%</f>
        <v>1</v>
      </c>
    </row>
    <row r="364" spans="1:37" ht="18" customHeight="1" x14ac:dyDescent="0.25">
      <c r="A364">
        <v>1251348939</v>
      </c>
      <c r="B364" t="s">
        <v>174</v>
      </c>
      <c r="C364" t="s">
        <v>175</v>
      </c>
      <c r="D364" t="s">
        <v>37</v>
      </c>
      <c r="E364" t="s">
        <v>31</v>
      </c>
      <c r="F364" s="2">
        <v>45967.919667581024</v>
      </c>
      <c r="AC364" s="24">
        <f t="shared" ca="1" si="11"/>
        <v>166.08033241897647</v>
      </c>
      <c r="AD364" s="25" t="str">
        <f t="shared" ca="1" si="12"/>
        <v>&gt;60 dias</v>
      </c>
      <c r="AE364" s="25">
        <f>MONTH(Tabela1[[#This Row],[Criado em]])</f>
        <v>11</v>
      </c>
      <c r="AF364" s="25">
        <f>YEAR(Tabela1[[#This Row],[Criado em]])</f>
        <v>2025</v>
      </c>
      <c r="AG364" s="25">
        <f>COUNTIFS(Tabela1[Mês],Tabela1[[#This Row],[Mês]])</f>
        <v>130</v>
      </c>
      <c r="AH364" s="25">
        <f>COUNTIFS(Tabela1[Mês],Tabela1[[#This Row],[Mês]],Tabela1[Fase atual],"Recebido")</f>
        <v>100</v>
      </c>
      <c r="AI364" s="26">
        <f>Tabela1[[#This Row],[Recebido_ Mes]]/Tabela1[[#This Row],[Total_Mes]]</f>
        <v>0.76923076923076927</v>
      </c>
      <c r="AJ364" s="19">
        <f>COUNTIFS(Tabela1[Fase atual],"Recebido",Tabela1[Mês],Tabela1[[#This Row],[Mês]],Tabela1[Ano],Tabela1[[#This Row],[Ano]])/COUNTIF(Tabela1[Mês],Tabela1[[#This Row],[Mês]])</f>
        <v>0.76923076923076927</v>
      </c>
      <c r="AK364" s="20">
        <f>100%</f>
        <v>1</v>
      </c>
    </row>
    <row r="365" spans="1:37" ht="18" customHeight="1" x14ac:dyDescent="0.25">
      <c r="A365">
        <v>1285962331</v>
      </c>
      <c r="B365" t="s">
        <v>174</v>
      </c>
      <c r="C365" t="s">
        <v>175</v>
      </c>
      <c r="D365" t="s">
        <v>37</v>
      </c>
      <c r="E365" t="s">
        <v>31</v>
      </c>
      <c r="F365" s="2">
        <v>46044.794784467587</v>
      </c>
      <c r="AC365" s="24">
        <f t="shared" ca="1" si="11"/>
        <v>89.205215532412694</v>
      </c>
      <c r="AD365" s="25" t="str">
        <f t="shared" ca="1" si="12"/>
        <v>&gt;60 dias</v>
      </c>
      <c r="AE365" s="25">
        <f>MONTH(Tabela1[[#This Row],[Criado em]])</f>
        <v>1</v>
      </c>
      <c r="AF365" s="25">
        <f>YEAR(Tabela1[[#This Row],[Criado em]])</f>
        <v>2026</v>
      </c>
      <c r="AG365" s="25">
        <f>COUNTIFS(Tabela1[Mês],Tabela1[[#This Row],[Mês]])</f>
        <v>222</v>
      </c>
      <c r="AH365" s="25">
        <f>COUNTIFS(Tabela1[Mês],Tabela1[[#This Row],[Mês]],Tabela1[Fase atual],"Recebido")</f>
        <v>174</v>
      </c>
      <c r="AI365" s="26">
        <f>Tabela1[[#This Row],[Recebido_ Mes]]/Tabela1[[#This Row],[Total_Mes]]</f>
        <v>0.78378378378378377</v>
      </c>
      <c r="AJ365" s="19">
        <f>COUNTIFS(Tabela1[Fase atual],"Recebido",Tabela1[Mês],Tabela1[[#This Row],[Mês]],Tabela1[Ano],Tabela1[[#This Row],[Ano]])/COUNTIF(Tabela1[Mês],Tabela1[[#This Row],[Mês]])</f>
        <v>0.78378378378378377</v>
      </c>
      <c r="AK365" s="20">
        <f>100%</f>
        <v>1</v>
      </c>
    </row>
    <row r="366" spans="1:37" ht="18" customHeight="1" x14ac:dyDescent="0.25">
      <c r="A366">
        <v>1230590951</v>
      </c>
      <c r="B366" t="s">
        <v>1085</v>
      </c>
      <c r="C366" t="s">
        <v>1086</v>
      </c>
      <c r="D366" t="s">
        <v>37</v>
      </c>
      <c r="E366" t="s">
        <v>31</v>
      </c>
      <c r="F366" s="2">
        <v>45938.850782094902</v>
      </c>
      <c r="AC366" s="24">
        <f t="shared" ca="1" si="11"/>
        <v>195.14921790509834</v>
      </c>
      <c r="AD366" s="25" t="str">
        <f t="shared" ca="1" si="12"/>
        <v>&gt;60 dias</v>
      </c>
      <c r="AE366" s="25">
        <f>MONTH(Tabela1[[#This Row],[Criado em]])</f>
        <v>10</v>
      </c>
      <c r="AF366" s="25">
        <f>YEAR(Tabela1[[#This Row],[Criado em]])</f>
        <v>2025</v>
      </c>
      <c r="AG366" s="25">
        <f>COUNTIFS(Tabela1[Mês],Tabela1[[#This Row],[Mês]])</f>
        <v>196</v>
      </c>
      <c r="AH366" s="25">
        <f>COUNTIFS(Tabela1[Mês],Tabela1[[#This Row],[Mês]],Tabela1[Fase atual],"Recebido")</f>
        <v>138</v>
      </c>
      <c r="AI366" s="26">
        <f>Tabela1[[#This Row],[Recebido_ Mes]]/Tabela1[[#This Row],[Total_Mes]]</f>
        <v>0.70408163265306123</v>
      </c>
      <c r="AJ366" s="19">
        <f>COUNTIFS(Tabela1[Fase atual],"Recebido",Tabela1[Mês],Tabela1[[#This Row],[Mês]],Tabela1[Ano],Tabela1[[#This Row],[Ano]])/COUNTIF(Tabela1[Mês],Tabela1[[#This Row],[Mês]])</f>
        <v>0.70408163265306123</v>
      </c>
      <c r="AK366" s="20">
        <f>100%</f>
        <v>1</v>
      </c>
    </row>
    <row r="367" spans="1:37" ht="18" customHeight="1" x14ac:dyDescent="0.25">
      <c r="A367">
        <v>1189596272</v>
      </c>
      <c r="B367" t="s">
        <v>1087</v>
      </c>
      <c r="C367" t="s">
        <v>1088</v>
      </c>
      <c r="D367" t="s">
        <v>40</v>
      </c>
      <c r="E367" t="s">
        <v>31</v>
      </c>
      <c r="F367" s="2">
        <v>45875.64265061343</v>
      </c>
      <c r="AC367" s="24">
        <f t="shared" ca="1" si="11"/>
        <v>258.35734938656969</v>
      </c>
      <c r="AD367" s="25" t="str">
        <f t="shared" ca="1" si="12"/>
        <v>&gt;60 dias</v>
      </c>
      <c r="AE367" s="25">
        <f>MONTH(Tabela1[[#This Row],[Criado em]])</f>
        <v>8</v>
      </c>
      <c r="AF367" s="25">
        <f>YEAR(Tabela1[[#This Row],[Criado em]])</f>
        <v>2025</v>
      </c>
      <c r="AG367" s="25">
        <f>COUNTIFS(Tabela1[Mês],Tabela1[[#This Row],[Mês]])</f>
        <v>146</v>
      </c>
      <c r="AH367" s="25">
        <f>COUNTIFS(Tabela1[Mês],Tabela1[[#This Row],[Mês]],Tabela1[Fase atual],"Recebido")</f>
        <v>115</v>
      </c>
      <c r="AI367" s="26">
        <f>Tabela1[[#This Row],[Recebido_ Mes]]/Tabela1[[#This Row],[Total_Mes]]</f>
        <v>0.78767123287671237</v>
      </c>
      <c r="AJ367" s="19">
        <f>COUNTIFS(Tabela1[Fase atual],"Recebido",Tabela1[Mês],Tabela1[[#This Row],[Mês]],Tabela1[Ano],Tabela1[[#This Row],[Ano]])/COUNTIF(Tabela1[Mês],Tabela1[[#This Row],[Mês]])</f>
        <v>0.78767123287671237</v>
      </c>
      <c r="AK367" s="20">
        <f>100%</f>
        <v>1</v>
      </c>
    </row>
    <row r="368" spans="1:37" ht="18" customHeight="1" x14ac:dyDescent="0.25">
      <c r="A368">
        <v>1184722252</v>
      </c>
      <c r="B368" t="s">
        <v>1087</v>
      </c>
      <c r="C368" t="s">
        <v>1089</v>
      </c>
      <c r="D368" t="s">
        <v>784</v>
      </c>
      <c r="E368" t="s">
        <v>31</v>
      </c>
      <c r="F368" s="2">
        <v>45866.852494247687</v>
      </c>
      <c r="AC368" s="24">
        <f t="shared" ca="1" si="11"/>
        <v>267.14750575231301</v>
      </c>
      <c r="AD368" s="25" t="str">
        <f t="shared" ca="1" si="12"/>
        <v>&gt;60 dias</v>
      </c>
      <c r="AE368" s="25">
        <f>MONTH(Tabela1[[#This Row],[Criado em]])</f>
        <v>7</v>
      </c>
      <c r="AF368" s="25">
        <f>YEAR(Tabela1[[#This Row],[Criado em]])</f>
        <v>2025</v>
      </c>
      <c r="AG368" s="25">
        <f>COUNTIFS(Tabela1[Mês],Tabela1[[#This Row],[Mês]])</f>
        <v>177</v>
      </c>
      <c r="AH368" s="25">
        <f>COUNTIFS(Tabela1[Mês],Tabela1[[#This Row],[Mês]],Tabela1[Fase atual],"Recebido")</f>
        <v>130</v>
      </c>
      <c r="AI368" s="26">
        <f>Tabela1[[#This Row],[Recebido_ Mes]]/Tabela1[[#This Row],[Total_Mes]]</f>
        <v>0.7344632768361582</v>
      </c>
      <c r="AJ368" s="19">
        <f>COUNTIFS(Tabela1[Fase atual],"Recebido",Tabela1[Mês],Tabela1[[#This Row],[Mês]],Tabela1[Ano],Tabela1[[#This Row],[Ano]])/COUNTIF(Tabela1[Mês],Tabela1[[#This Row],[Mês]])</f>
        <v>0.7344632768361582</v>
      </c>
      <c r="AK368" s="20">
        <f>100%</f>
        <v>1</v>
      </c>
    </row>
    <row r="369" spans="1:37" ht="18" customHeight="1" x14ac:dyDescent="0.25">
      <c r="A369">
        <v>1280348491</v>
      </c>
      <c r="B369" t="s">
        <v>176</v>
      </c>
      <c r="C369" t="s">
        <v>177</v>
      </c>
      <c r="D369" t="s">
        <v>37</v>
      </c>
      <c r="E369" t="s">
        <v>31</v>
      </c>
      <c r="F369" s="2">
        <v>46034.566660300923</v>
      </c>
      <c r="AC369" s="24">
        <f t="shared" ca="1" si="11"/>
        <v>99.433339699076896</v>
      </c>
      <c r="AD369" s="25" t="str">
        <f t="shared" ca="1" si="12"/>
        <v>&gt;60 dias</v>
      </c>
      <c r="AE369" s="25">
        <f>MONTH(Tabela1[[#This Row],[Criado em]])</f>
        <v>1</v>
      </c>
      <c r="AF369" s="25">
        <f>YEAR(Tabela1[[#This Row],[Criado em]])</f>
        <v>2026</v>
      </c>
      <c r="AG369" s="25">
        <f>COUNTIFS(Tabela1[Mês],Tabela1[[#This Row],[Mês]])</f>
        <v>222</v>
      </c>
      <c r="AH369" s="25">
        <f>COUNTIFS(Tabela1[Mês],Tabela1[[#This Row],[Mês]],Tabela1[Fase atual],"Recebido")</f>
        <v>174</v>
      </c>
      <c r="AI369" s="26">
        <f>Tabela1[[#This Row],[Recebido_ Mes]]/Tabela1[[#This Row],[Total_Mes]]</f>
        <v>0.78378378378378377</v>
      </c>
      <c r="AJ369" s="19">
        <f>COUNTIFS(Tabela1[Fase atual],"Recebido",Tabela1[Mês],Tabela1[[#This Row],[Mês]],Tabela1[Ano],Tabela1[[#This Row],[Ano]])/COUNTIF(Tabela1[Mês],Tabela1[[#This Row],[Mês]])</f>
        <v>0.78378378378378377</v>
      </c>
      <c r="AK369" s="20">
        <f>100%</f>
        <v>1</v>
      </c>
    </row>
    <row r="370" spans="1:37" ht="18" customHeight="1" x14ac:dyDescent="0.25">
      <c r="A370">
        <v>1204001428</v>
      </c>
      <c r="B370" t="s">
        <v>1090</v>
      </c>
      <c r="C370" t="s">
        <v>1091</v>
      </c>
      <c r="D370" t="s">
        <v>37</v>
      </c>
      <c r="E370" t="s">
        <v>31</v>
      </c>
      <c r="F370" s="2">
        <v>45897.851413206023</v>
      </c>
      <c r="AC370" s="24">
        <f t="shared" ca="1" si="11"/>
        <v>236.1485867939773</v>
      </c>
      <c r="AD370" s="25" t="str">
        <f t="shared" ca="1" si="12"/>
        <v>&gt;60 dias</v>
      </c>
      <c r="AE370" s="25">
        <f>MONTH(Tabela1[[#This Row],[Criado em]])</f>
        <v>8</v>
      </c>
      <c r="AF370" s="25">
        <f>YEAR(Tabela1[[#This Row],[Criado em]])</f>
        <v>2025</v>
      </c>
      <c r="AG370" s="25">
        <f>COUNTIFS(Tabela1[Mês],Tabela1[[#This Row],[Mês]])</f>
        <v>146</v>
      </c>
      <c r="AH370" s="25">
        <f>COUNTIFS(Tabela1[Mês],Tabela1[[#This Row],[Mês]],Tabela1[Fase atual],"Recebido")</f>
        <v>115</v>
      </c>
      <c r="AI370" s="26">
        <f>Tabela1[[#This Row],[Recebido_ Mes]]/Tabela1[[#This Row],[Total_Mes]]</f>
        <v>0.78767123287671237</v>
      </c>
      <c r="AJ370" s="19">
        <f>COUNTIFS(Tabela1[Fase atual],"Recebido",Tabela1[Mês],Tabela1[[#This Row],[Mês]],Tabela1[Ano],Tabela1[[#This Row],[Ano]])/COUNTIF(Tabela1[Mês],Tabela1[[#This Row],[Mês]])</f>
        <v>0.78767123287671237</v>
      </c>
      <c r="AK370" s="20">
        <f>100%</f>
        <v>1</v>
      </c>
    </row>
    <row r="371" spans="1:37" ht="18" customHeight="1" x14ac:dyDescent="0.25">
      <c r="A371">
        <v>1214799721</v>
      </c>
      <c r="B371" t="s">
        <v>1092</v>
      </c>
      <c r="C371" t="s">
        <v>1093</v>
      </c>
      <c r="D371" t="s">
        <v>40</v>
      </c>
      <c r="E371" t="s">
        <v>31</v>
      </c>
      <c r="F371" s="2">
        <v>45915.852154699067</v>
      </c>
      <c r="AC371" s="24">
        <f t="shared" ca="1" si="11"/>
        <v>218.14784530093311</v>
      </c>
      <c r="AD371" s="25" t="str">
        <f t="shared" ca="1" si="12"/>
        <v>&gt;60 dias</v>
      </c>
      <c r="AE371" s="25">
        <f>MONTH(Tabela1[[#This Row],[Criado em]])</f>
        <v>9</v>
      </c>
      <c r="AF371" s="25">
        <f>YEAR(Tabela1[[#This Row],[Criado em]])</f>
        <v>2025</v>
      </c>
      <c r="AG371" s="25">
        <f>COUNTIFS(Tabela1[Mês],Tabela1[[#This Row],[Mês]])</f>
        <v>197</v>
      </c>
      <c r="AH371" s="25">
        <f>COUNTIFS(Tabela1[Mês],Tabela1[[#This Row],[Mês]],Tabela1[Fase atual],"Recebido")</f>
        <v>152</v>
      </c>
      <c r="AI371" s="26">
        <f>Tabela1[[#This Row],[Recebido_ Mes]]/Tabela1[[#This Row],[Total_Mes]]</f>
        <v>0.77157360406091369</v>
      </c>
      <c r="AJ371" s="19">
        <f>COUNTIFS(Tabela1[Fase atual],"Recebido",Tabela1[Mês],Tabela1[[#This Row],[Mês]],Tabela1[Ano],Tabela1[[#This Row],[Ano]])/COUNTIF(Tabela1[Mês],Tabela1[[#This Row],[Mês]])</f>
        <v>0.77157360406091369</v>
      </c>
      <c r="AK371" s="20">
        <f>100%</f>
        <v>1</v>
      </c>
    </row>
    <row r="372" spans="1:37" ht="18" customHeight="1" x14ac:dyDescent="0.25">
      <c r="A372">
        <v>1296529178</v>
      </c>
      <c r="B372" t="s">
        <v>178</v>
      </c>
      <c r="C372" t="s">
        <v>179</v>
      </c>
      <c r="D372" t="s">
        <v>37</v>
      </c>
      <c r="E372" t="s">
        <v>31</v>
      </c>
      <c r="F372" s="2">
        <v>46064.797036099539</v>
      </c>
      <c r="AC372" s="24">
        <f t="shared" ca="1" si="11"/>
        <v>69.202963900461327</v>
      </c>
      <c r="AD372" s="25" t="str">
        <f t="shared" ca="1" si="12"/>
        <v>&gt;60 dias</v>
      </c>
      <c r="AE372" s="25">
        <f>MONTH(Tabela1[[#This Row],[Criado em]])</f>
        <v>2</v>
      </c>
      <c r="AF372" s="25">
        <f>YEAR(Tabela1[[#This Row],[Criado em]])</f>
        <v>2026</v>
      </c>
      <c r="AG372" s="25">
        <f>COUNTIFS(Tabela1[Mês],Tabela1[[#This Row],[Mês]])</f>
        <v>197</v>
      </c>
      <c r="AH372" s="25">
        <f>COUNTIFS(Tabela1[Mês],Tabela1[[#This Row],[Mês]],Tabela1[Fase atual],"Recebido")</f>
        <v>124</v>
      </c>
      <c r="AI372" s="26">
        <f>Tabela1[[#This Row],[Recebido_ Mes]]/Tabela1[[#This Row],[Total_Mes]]</f>
        <v>0.62944162436548223</v>
      </c>
      <c r="AJ372" s="19">
        <f>COUNTIFS(Tabela1[Fase atual],"Recebido",Tabela1[Mês],Tabela1[[#This Row],[Mês]],Tabela1[Ano],Tabela1[[#This Row],[Ano]])/COUNTIF(Tabela1[Mês],Tabela1[[#This Row],[Mês]])</f>
        <v>0.62944162436548223</v>
      </c>
      <c r="AK372" s="20">
        <f>100%</f>
        <v>1</v>
      </c>
    </row>
    <row r="373" spans="1:37" ht="18" customHeight="1" x14ac:dyDescent="0.25">
      <c r="A373">
        <v>1269691895</v>
      </c>
      <c r="B373" t="s">
        <v>1094</v>
      </c>
      <c r="C373" t="s">
        <v>1095</v>
      </c>
      <c r="D373" t="s">
        <v>37</v>
      </c>
      <c r="E373" t="s">
        <v>31</v>
      </c>
      <c r="F373" s="2">
        <v>46008.820597002312</v>
      </c>
      <c r="AC373" s="24">
        <f t="shared" ca="1" si="11"/>
        <v>125.17940299768816</v>
      </c>
      <c r="AD373" s="25" t="str">
        <f t="shared" ca="1" si="12"/>
        <v>&gt;60 dias</v>
      </c>
      <c r="AE373" s="25">
        <f>MONTH(Tabela1[[#This Row],[Criado em]])</f>
        <v>12</v>
      </c>
      <c r="AF373" s="25">
        <f>YEAR(Tabela1[[#This Row],[Criado em]])</f>
        <v>2025</v>
      </c>
      <c r="AG373" s="25">
        <f>COUNTIFS(Tabela1[Mês],Tabela1[[#This Row],[Mês]])</f>
        <v>207</v>
      </c>
      <c r="AH373" s="25">
        <f>COUNTIFS(Tabela1[Mês],Tabela1[[#This Row],[Mês]],Tabela1[Fase atual],"Recebido")</f>
        <v>155</v>
      </c>
      <c r="AI373" s="26">
        <f>Tabela1[[#This Row],[Recebido_ Mes]]/Tabela1[[#This Row],[Total_Mes]]</f>
        <v>0.74879227053140096</v>
      </c>
      <c r="AJ373" s="19">
        <f>COUNTIFS(Tabela1[Fase atual],"Recebido",Tabela1[Mês],Tabela1[[#This Row],[Mês]],Tabela1[Ano],Tabela1[[#This Row],[Ano]])/COUNTIF(Tabela1[Mês],Tabela1[[#This Row],[Mês]])</f>
        <v>0.74879227053140096</v>
      </c>
      <c r="AK373" s="20">
        <f>100%</f>
        <v>1</v>
      </c>
    </row>
    <row r="374" spans="1:37" ht="18" customHeight="1" x14ac:dyDescent="0.25">
      <c r="A374">
        <v>1224691695</v>
      </c>
      <c r="B374" t="s">
        <v>1096</v>
      </c>
      <c r="C374" t="s">
        <v>1097</v>
      </c>
      <c r="D374" t="s">
        <v>37</v>
      </c>
      <c r="E374" t="s">
        <v>31</v>
      </c>
      <c r="F374" s="2">
        <v>45930.850836782411</v>
      </c>
      <c r="AC374" s="24">
        <f t="shared" ca="1" si="11"/>
        <v>203.14916321758938</v>
      </c>
      <c r="AD374" s="25" t="str">
        <f t="shared" ca="1" si="12"/>
        <v>&gt;60 dias</v>
      </c>
      <c r="AE374" s="25">
        <f>MONTH(Tabela1[[#This Row],[Criado em]])</f>
        <v>9</v>
      </c>
      <c r="AF374" s="25">
        <f>YEAR(Tabela1[[#This Row],[Criado em]])</f>
        <v>2025</v>
      </c>
      <c r="AG374" s="25">
        <f>COUNTIFS(Tabela1[Mês],Tabela1[[#This Row],[Mês]])</f>
        <v>197</v>
      </c>
      <c r="AH374" s="25">
        <f>COUNTIFS(Tabela1[Mês],Tabela1[[#This Row],[Mês]],Tabela1[Fase atual],"Recebido")</f>
        <v>152</v>
      </c>
      <c r="AI374" s="26">
        <f>Tabela1[[#This Row],[Recebido_ Mes]]/Tabela1[[#This Row],[Total_Mes]]</f>
        <v>0.77157360406091369</v>
      </c>
      <c r="AJ374" s="19">
        <f>COUNTIFS(Tabela1[Fase atual],"Recebido",Tabela1[Mês],Tabela1[[#This Row],[Mês]],Tabela1[Ano],Tabela1[[#This Row],[Ano]])/COUNTIF(Tabela1[Mês],Tabela1[[#This Row],[Mês]])</f>
        <v>0.77157360406091369</v>
      </c>
      <c r="AK374" s="20">
        <f>100%</f>
        <v>1</v>
      </c>
    </row>
    <row r="375" spans="1:37" ht="18" customHeight="1" x14ac:dyDescent="0.25">
      <c r="A375">
        <v>1255066789</v>
      </c>
      <c r="B375" t="s">
        <v>1098</v>
      </c>
      <c r="C375" t="s">
        <v>1099</v>
      </c>
      <c r="D375" t="s">
        <v>37</v>
      </c>
      <c r="E375" t="s">
        <v>31</v>
      </c>
      <c r="F375" s="2">
        <v>45975.795843206019</v>
      </c>
      <c r="AC375" s="24">
        <f t="shared" ca="1" si="11"/>
        <v>158.20415679398138</v>
      </c>
      <c r="AD375" s="25" t="str">
        <f t="shared" ca="1" si="12"/>
        <v>&gt;60 dias</v>
      </c>
      <c r="AE375" s="25">
        <f>MONTH(Tabela1[[#This Row],[Criado em]])</f>
        <v>11</v>
      </c>
      <c r="AF375" s="25">
        <f>YEAR(Tabela1[[#This Row],[Criado em]])</f>
        <v>2025</v>
      </c>
      <c r="AG375" s="25">
        <f>COUNTIFS(Tabela1[Mês],Tabela1[[#This Row],[Mês]])</f>
        <v>130</v>
      </c>
      <c r="AH375" s="25">
        <f>COUNTIFS(Tabela1[Mês],Tabela1[[#This Row],[Mês]],Tabela1[Fase atual],"Recebido")</f>
        <v>100</v>
      </c>
      <c r="AI375" s="26">
        <f>Tabela1[[#This Row],[Recebido_ Mes]]/Tabela1[[#This Row],[Total_Mes]]</f>
        <v>0.76923076923076927</v>
      </c>
      <c r="AJ375" s="19">
        <f>COUNTIFS(Tabela1[Fase atual],"Recebido",Tabela1[Mês],Tabela1[[#This Row],[Mês]],Tabela1[Ano],Tabela1[[#This Row],[Ano]])/COUNTIF(Tabela1[Mês],Tabela1[[#This Row],[Mês]])</f>
        <v>0.76923076923076927</v>
      </c>
      <c r="AK375" s="20">
        <f>100%</f>
        <v>1</v>
      </c>
    </row>
    <row r="376" spans="1:37" ht="18" customHeight="1" x14ac:dyDescent="0.25">
      <c r="A376">
        <v>1255808092</v>
      </c>
      <c r="B376" t="s">
        <v>1098</v>
      </c>
      <c r="C376" t="s">
        <v>1100</v>
      </c>
      <c r="D376" t="s">
        <v>37</v>
      </c>
      <c r="E376" t="s">
        <v>31</v>
      </c>
      <c r="F376" s="2">
        <v>45978.748292152777</v>
      </c>
      <c r="AC376" s="24">
        <f t="shared" ca="1" si="11"/>
        <v>155.25170784722286</v>
      </c>
      <c r="AD376" s="25" t="str">
        <f t="shared" ca="1" si="12"/>
        <v>&gt;60 dias</v>
      </c>
      <c r="AE376" s="25">
        <f>MONTH(Tabela1[[#This Row],[Criado em]])</f>
        <v>11</v>
      </c>
      <c r="AF376" s="25">
        <f>YEAR(Tabela1[[#This Row],[Criado em]])</f>
        <v>2025</v>
      </c>
      <c r="AG376" s="25">
        <f>COUNTIFS(Tabela1[Mês],Tabela1[[#This Row],[Mês]])</f>
        <v>130</v>
      </c>
      <c r="AH376" s="25">
        <f>COUNTIFS(Tabela1[Mês],Tabela1[[#This Row],[Mês]],Tabela1[Fase atual],"Recebido")</f>
        <v>100</v>
      </c>
      <c r="AI376" s="26">
        <f>Tabela1[[#This Row],[Recebido_ Mes]]/Tabela1[[#This Row],[Total_Mes]]</f>
        <v>0.76923076923076927</v>
      </c>
      <c r="AJ376" s="19">
        <f>COUNTIFS(Tabela1[Fase atual],"Recebido",Tabela1[Mês],Tabela1[[#This Row],[Mês]],Tabela1[Ano],Tabela1[[#This Row],[Ano]])/COUNTIF(Tabela1[Mês],Tabela1[[#This Row],[Mês]])</f>
        <v>0.76923076923076927</v>
      </c>
      <c r="AK376" s="20">
        <f>100%</f>
        <v>1</v>
      </c>
    </row>
    <row r="377" spans="1:37" ht="18" customHeight="1" x14ac:dyDescent="0.25">
      <c r="A377">
        <v>1285964511</v>
      </c>
      <c r="B377" t="s">
        <v>180</v>
      </c>
      <c r="C377" t="s">
        <v>181</v>
      </c>
      <c r="D377" t="s">
        <v>37</v>
      </c>
      <c r="E377" t="s">
        <v>31</v>
      </c>
      <c r="F377" s="2">
        <v>46044.796190416673</v>
      </c>
      <c r="AC377" s="24">
        <f t="shared" ca="1" si="11"/>
        <v>89.203809583326802</v>
      </c>
      <c r="AD377" s="25" t="str">
        <f t="shared" ca="1" si="12"/>
        <v>&gt;60 dias</v>
      </c>
      <c r="AE377" s="25">
        <f>MONTH(Tabela1[[#This Row],[Criado em]])</f>
        <v>1</v>
      </c>
      <c r="AF377" s="25">
        <f>YEAR(Tabela1[[#This Row],[Criado em]])</f>
        <v>2026</v>
      </c>
      <c r="AG377" s="25">
        <f>COUNTIFS(Tabela1[Mês],Tabela1[[#This Row],[Mês]])</f>
        <v>222</v>
      </c>
      <c r="AH377" s="25">
        <f>COUNTIFS(Tabela1[Mês],Tabela1[[#This Row],[Mês]],Tabela1[Fase atual],"Recebido")</f>
        <v>174</v>
      </c>
      <c r="AI377" s="26">
        <f>Tabela1[[#This Row],[Recebido_ Mes]]/Tabela1[[#This Row],[Total_Mes]]</f>
        <v>0.78378378378378377</v>
      </c>
      <c r="AJ377" s="19">
        <f>COUNTIFS(Tabela1[Fase atual],"Recebido",Tabela1[Mês],Tabela1[[#This Row],[Mês]],Tabela1[Ano],Tabela1[[#This Row],[Ano]])/COUNTIF(Tabela1[Mês],Tabela1[[#This Row],[Mês]])</f>
        <v>0.78378378378378377</v>
      </c>
      <c r="AK377" s="20">
        <f>100%</f>
        <v>1</v>
      </c>
    </row>
    <row r="378" spans="1:37" ht="18" customHeight="1" x14ac:dyDescent="0.25">
      <c r="A378">
        <v>1296922782</v>
      </c>
      <c r="B378" t="s">
        <v>180</v>
      </c>
      <c r="C378" t="s">
        <v>181</v>
      </c>
      <c r="D378" t="s">
        <v>37</v>
      </c>
      <c r="E378" t="s">
        <v>31</v>
      </c>
      <c r="F378" s="2">
        <v>46065.690972372693</v>
      </c>
      <c r="AC378" s="24">
        <f t="shared" ca="1" si="11"/>
        <v>68.309027627306932</v>
      </c>
      <c r="AD378" s="25" t="str">
        <f t="shared" ca="1" si="12"/>
        <v>&gt;60 dias</v>
      </c>
      <c r="AE378" s="25">
        <f>MONTH(Tabela1[[#This Row],[Criado em]])</f>
        <v>2</v>
      </c>
      <c r="AF378" s="25">
        <f>YEAR(Tabela1[[#This Row],[Criado em]])</f>
        <v>2026</v>
      </c>
      <c r="AG378" s="25">
        <f>COUNTIFS(Tabela1[Mês],Tabela1[[#This Row],[Mês]])</f>
        <v>197</v>
      </c>
      <c r="AH378" s="25">
        <f>COUNTIFS(Tabela1[Mês],Tabela1[[#This Row],[Mês]],Tabela1[Fase atual],"Recebido")</f>
        <v>124</v>
      </c>
      <c r="AI378" s="26">
        <f>Tabela1[[#This Row],[Recebido_ Mes]]/Tabela1[[#This Row],[Total_Mes]]</f>
        <v>0.62944162436548223</v>
      </c>
      <c r="AJ378" s="19">
        <f>COUNTIFS(Tabela1[Fase atual],"Recebido",Tabela1[Mês],Tabela1[[#This Row],[Mês]],Tabela1[Ano],Tabela1[[#This Row],[Ano]])/COUNTIF(Tabela1[Mês],Tabela1[[#This Row],[Mês]])</f>
        <v>0.62944162436548223</v>
      </c>
      <c r="AK378" s="20">
        <f>100%</f>
        <v>1</v>
      </c>
    </row>
    <row r="379" spans="1:37" ht="18" customHeight="1" x14ac:dyDescent="0.25">
      <c r="A379">
        <v>1278359793</v>
      </c>
      <c r="B379" t="s">
        <v>180</v>
      </c>
      <c r="C379" t="s">
        <v>182</v>
      </c>
      <c r="D379" t="s">
        <v>37</v>
      </c>
      <c r="E379" t="s">
        <v>31</v>
      </c>
      <c r="F379" s="2">
        <v>46029.794758819437</v>
      </c>
      <c r="AC379" s="24">
        <f t="shared" ca="1" si="11"/>
        <v>104.20524118056346</v>
      </c>
      <c r="AD379" s="25" t="str">
        <f t="shared" ca="1" si="12"/>
        <v>&gt;60 dias</v>
      </c>
      <c r="AE379" s="25">
        <f>MONTH(Tabela1[[#This Row],[Criado em]])</f>
        <v>1</v>
      </c>
      <c r="AF379" s="25">
        <f>YEAR(Tabela1[[#This Row],[Criado em]])</f>
        <v>2026</v>
      </c>
      <c r="AG379" s="25">
        <f>COUNTIFS(Tabela1[Mês],Tabela1[[#This Row],[Mês]])</f>
        <v>222</v>
      </c>
      <c r="AH379" s="25">
        <f>COUNTIFS(Tabela1[Mês],Tabela1[[#This Row],[Mês]],Tabela1[Fase atual],"Recebido")</f>
        <v>174</v>
      </c>
      <c r="AI379" s="26">
        <f>Tabela1[[#This Row],[Recebido_ Mes]]/Tabela1[[#This Row],[Total_Mes]]</f>
        <v>0.78378378378378377</v>
      </c>
      <c r="AJ379" s="19">
        <f>COUNTIFS(Tabela1[Fase atual],"Recebido",Tabela1[Mês],Tabela1[[#This Row],[Mês]],Tabela1[Ano],Tabela1[[#This Row],[Ano]])/COUNTIF(Tabela1[Mês],Tabela1[[#This Row],[Mês]])</f>
        <v>0.78378378378378377</v>
      </c>
      <c r="AK379" s="20">
        <f>100%</f>
        <v>1</v>
      </c>
    </row>
    <row r="380" spans="1:37" ht="18" customHeight="1" x14ac:dyDescent="0.25">
      <c r="A380">
        <v>1303931858</v>
      </c>
      <c r="B380" t="s">
        <v>183</v>
      </c>
      <c r="C380" t="s">
        <v>184</v>
      </c>
      <c r="D380" t="s">
        <v>37</v>
      </c>
      <c r="E380" t="s">
        <v>31</v>
      </c>
      <c r="F380" s="2">
        <v>46078.632593703704</v>
      </c>
      <c r="AC380" s="24">
        <f t="shared" ca="1" si="11"/>
        <v>55.367406296296394</v>
      </c>
      <c r="AD380" s="25" t="str">
        <f t="shared" ca="1" si="12"/>
        <v>31-60 dias</v>
      </c>
      <c r="AE380" s="25">
        <f>MONTH(Tabela1[[#This Row],[Criado em]])</f>
        <v>2</v>
      </c>
      <c r="AF380" s="25">
        <f>YEAR(Tabela1[[#This Row],[Criado em]])</f>
        <v>2026</v>
      </c>
      <c r="AG380" s="25">
        <f>COUNTIFS(Tabela1[Mês],Tabela1[[#This Row],[Mês]])</f>
        <v>197</v>
      </c>
      <c r="AH380" s="25">
        <f>COUNTIFS(Tabela1[Mês],Tabela1[[#This Row],[Mês]],Tabela1[Fase atual],"Recebido")</f>
        <v>124</v>
      </c>
      <c r="AI380" s="26">
        <f>Tabela1[[#This Row],[Recebido_ Mes]]/Tabela1[[#This Row],[Total_Mes]]</f>
        <v>0.62944162436548223</v>
      </c>
      <c r="AJ380" s="19">
        <f>COUNTIFS(Tabela1[Fase atual],"Recebido",Tabela1[Mês],Tabela1[[#This Row],[Mês]],Tabela1[Ano],Tabela1[[#This Row],[Ano]])/COUNTIF(Tabela1[Mês],Tabela1[[#This Row],[Mês]])</f>
        <v>0.62944162436548223</v>
      </c>
      <c r="AK380" s="20">
        <f>100%</f>
        <v>1</v>
      </c>
    </row>
    <row r="381" spans="1:37" ht="18" customHeight="1" x14ac:dyDescent="0.25">
      <c r="A381">
        <v>1255843101</v>
      </c>
      <c r="B381" t="s">
        <v>1101</v>
      </c>
      <c r="C381" t="s">
        <v>1102</v>
      </c>
      <c r="D381" t="s">
        <v>40</v>
      </c>
      <c r="E381" t="s">
        <v>31</v>
      </c>
      <c r="F381" s="2">
        <v>45978.777616527783</v>
      </c>
      <c r="AC381" s="24">
        <f t="shared" ca="1" si="11"/>
        <v>155.22238347221719</v>
      </c>
      <c r="AD381" s="25" t="str">
        <f t="shared" ca="1" si="12"/>
        <v>&gt;60 dias</v>
      </c>
      <c r="AE381" s="25">
        <f>MONTH(Tabela1[[#This Row],[Criado em]])</f>
        <v>11</v>
      </c>
      <c r="AF381" s="25">
        <f>YEAR(Tabela1[[#This Row],[Criado em]])</f>
        <v>2025</v>
      </c>
      <c r="AG381" s="25">
        <f>COUNTIFS(Tabela1[Mês],Tabela1[[#This Row],[Mês]])</f>
        <v>130</v>
      </c>
      <c r="AH381" s="25">
        <f>COUNTIFS(Tabela1[Mês],Tabela1[[#This Row],[Mês]],Tabela1[Fase atual],"Recebido")</f>
        <v>100</v>
      </c>
      <c r="AI381" s="26">
        <f>Tabela1[[#This Row],[Recebido_ Mes]]/Tabela1[[#This Row],[Total_Mes]]</f>
        <v>0.76923076923076927</v>
      </c>
      <c r="AJ381" s="19">
        <f>COUNTIFS(Tabela1[Fase atual],"Recebido",Tabela1[Mês],Tabela1[[#This Row],[Mês]],Tabela1[Ano],Tabela1[[#This Row],[Ano]])/COUNTIF(Tabela1[Mês],Tabela1[[#This Row],[Mês]])</f>
        <v>0.76923076923076927</v>
      </c>
      <c r="AK381" s="20">
        <f>100%</f>
        <v>1</v>
      </c>
    </row>
    <row r="382" spans="1:37" ht="18" customHeight="1" x14ac:dyDescent="0.25">
      <c r="A382">
        <v>1303455049</v>
      </c>
      <c r="B382" t="s">
        <v>185</v>
      </c>
      <c r="C382" t="s">
        <v>186</v>
      </c>
      <c r="D382" t="s">
        <v>40</v>
      </c>
      <c r="E382" t="s">
        <v>31</v>
      </c>
      <c r="F382" s="2">
        <v>46077.920438692126</v>
      </c>
      <c r="AC382" s="24">
        <f t="shared" ca="1" si="11"/>
        <v>56.079561307873519</v>
      </c>
      <c r="AD382" s="25" t="str">
        <f t="shared" ca="1" si="12"/>
        <v>31-60 dias</v>
      </c>
      <c r="AE382" s="25">
        <f>MONTH(Tabela1[[#This Row],[Criado em]])</f>
        <v>2</v>
      </c>
      <c r="AF382" s="25">
        <f>YEAR(Tabela1[[#This Row],[Criado em]])</f>
        <v>2026</v>
      </c>
      <c r="AG382" s="25">
        <f>COUNTIFS(Tabela1[Mês],Tabela1[[#This Row],[Mês]])</f>
        <v>197</v>
      </c>
      <c r="AH382" s="25">
        <f>COUNTIFS(Tabela1[Mês],Tabela1[[#This Row],[Mês]],Tabela1[Fase atual],"Recebido")</f>
        <v>124</v>
      </c>
      <c r="AI382" s="26">
        <f>Tabela1[[#This Row],[Recebido_ Mes]]/Tabela1[[#This Row],[Total_Mes]]</f>
        <v>0.62944162436548223</v>
      </c>
      <c r="AJ382" s="19">
        <f>COUNTIFS(Tabela1[Fase atual],"Recebido",Tabela1[Mês],Tabela1[[#This Row],[Mês]],Tabela1[Ano],Tabela1[[#This Row],[Ano]])/COUNTIF(Tabela1[Mês],Tabela1[[#This Row],[Mês]])</f>
        <v>0.62944162436548223</v>
      </c>
      <c r="AK382" s="20">
        <f>100%</f>
        <v>1</v>
      </c>
    </row>
    <row r="383" spans="1:37" ht="18" customHeight="1" x14ac:dyDescent="0.25">
      <c r="A383">
        <v>1289299612</v>
      </c>
      <c r="B383" t="s">
        <v>187</v>
      </c>
      <c r="C383" t="s">
        <v>188</v>
      </c>
      <c r="D383" t="s">
        <v>37</v>
      </c>
      <c r="E383" t="s">
        <v>31</v>
      </c>
      <c r="F383" s="2">
        <v>46050.545418634247</v>
      </c>
      <c r="AC383" s="24">
        <f t="shared" ca="1" si="11"/>
        <v>83.454581365753256</v>
      </c>
      <c r="AD383" s="25" t="str">
        <f t="shared" ca="1" si="12"/>
        <v>&gt;60 dias</v>
      </c>
      <c r="AE383" s="25">
        <f>MONTH(Tabela1[[#This Row],[Criado em]])</f>
        <v>1</v>
      </c>
      <c r="AF383" s="25">
        <f>YEAR(Tabela1[[#This Row],[Criado em]])</f>
        <v>2026</v>
      </c>
      <c r="AG383" s="25">
        <f>COUNTIFS(Tabela1[Mês],Tabela1[[#This Row],[Mês]])</f>
        <v>222</v>
      </c>
      <c r="AH383" s="25">
        <f>COUNTIFS(Tabela1[Mês],Tabela1[[#This Row],[Mês]],Tabela1[Fase atual],"Recebido")</f>
        <v>174</v>
      </c>
      <c r="AI383" s="26">
        <f>Tabela1[[#This Row],[Recebido_ Mes]]/Tabela1[[#This Row],[Total_Mes]]</f>
        <v>0.78378378378378377</v>
      </c>
      <c r="AJ383" s="19">
        <f>COUNTIFS(Tabela1[Fase atual],"Recebido",Tabela1[Mês],Tabela1[[#This Row],[Mês]],Tabela1[Ano],Tabela1[[#This Row],[Ano]])/COUNTIF(Tabela1[Mês],Tabela1[[#This Row],[Mês]])</f>
        <v>0.78378378378378377</v>
      </c>
      <c r="AK383" s="20">
        <f>100%</f>
        <v>1</v>
      </c>
    </row>
    <row r="384" spans="1:37" ht="18" customHeight="1" x14ac:dyDescent="0.25">
      <c r="A384">
        <v>1236636221</v>
      </c>
      <c r="B384" t="s">
        <v>1103</v>
      </c>
      <c r="C384" t="s">
        <v>1104</v>
      </c>
      <c r="D384" t="s">
        <v>37</v>
      </c>
      <c r="E384" t="s">
        <v>31</v>
      </c>
      <c r="F384" s="2">
        <v>45945.793495023143</v>
      </c>
      <c r="AC384" s="24">
        <f t="shared" ca="1" si="11"/>
        <v>188.2065049768571</v>
      </c>
      <c r="AD384" s="25" t="str">
        <f t="shared" ca="1" si="12"/>
        <v>&gt;60 dias</v>
      </c>
      <c r="AE384" s="25">
        <f>MONTH(Tabela1[[#This Row],[Criado em]])</f>
        <v>10</v>
      </c>
      <c r="AF384" s="25">
        <f>YEAR(Tabela1[[#This Row],[Criado em]])</f>
        <v>2025</v>
      </c>
      <c r="AG384" s="25">
        <f>COUNTIFS(Tabela1[Mês],Tabela1[[#This Row],[Mês]])</f>
        <v>196</v>
      </c>
      <c r="AH384" s="25">
        <f>COUNTIFS(Tabela1[Mês],Tabela1[[#This Row],[Mês]],Tabela1[Fase atual],"Recebido")</f>
        <v>138</v>
      </c>
      <c r="AI384" s="26">
        <f>Tabela1[[#This Row],[Recebido_ Mes]]/Tabela1[[#This Row],[Total_Mes]]</f>
        <v>0.70408163265306123</v>
      </c>
      <c r="AJ384" s="19">
        <f>COUNTIFS(Tabela1[Fase atual],"Recebido",Tabela1[Mês],Tabela1[[#This Row],[Mês]],Tabela1[Ano],Tabela1[[#This Row],[Ano]])/COUNTIF(Tabela1[Mês],Tabela1[[#This Row],[Mês]])</f>
        <v>0.70408163265306123</v>
      </c>
      <c r="AK384" s="20">
        <f>100%</f>
        <v>1</v>
      </c>
    </row>
    <row r="385" spans="1:37" ht="18" customHeight="1" x14ac:dyDescent="0.25">
      <c r="A385">
        <v>1252741171</v>
      </c>
      <c r="B385" t="s">
        <v>1103</v>
      </c>
      <c r="C385" t="s">
        <v>1104</v>
      </c>
      <c r="D385" t="s">
        <v>37</v>
      </c>
      <c r="E385" t="s">
        <v>31</v>
      </c>
      <c r="F385" s="2">
        <v>45971.626677465283</v>
      </c>
      <c r="AC385" s="24">
        <f t="shared" ca="1" si="11"/>
        <v>162.37332253471686</v>
      </c>
      <c r="AD385" s="25" t="str">
        <f t="shared" ca="1" si="12"/>
        <v>&gt;60 dias</v>
      </c>
      <c r="AE385" s="25">
        <f>MONTH(Tabela1[[#This Row],[Criado em]])</f>
        <v>11</v>
      </c>
      <c r="AF385" s="25">
        <f>YEAR(Tabela1[[#This Row],[Criado em]])</f>
        <v>2025</v>
      </c>
      <c r="AG385" s="25">
        <f>COUNTIFS(Tabela1[Mês],Tabela1[[#This Row],[Mês]])</f>
        <v>130</v>
      </c>
      <c r="AH385" s="25">
        <f>COUNTIFS(Tabela1[Mês],Tabela1[[#This Row],[Mês]],Tabela1[Fase atual],"Recebido")</f>
        <v>100</v>
      </c>
      <c r="AI385" s="26">
        <f>Tabela1[[#This Row],[Recebido_ Mes]]/Tabela1[[#This Row],[Total_Mes]]</f>
        <v>0.76923076923076927</v>
      </c>
      <c r="AJ385" s="19">
        <f>COUNTIFS(Tabela1[Fase atual],"Recebido",Tabela1[Mês],Tabela1[[#This Row],[Mês]],Tabela1[Ano],Tabela1[[#This Row],[Ano]])/COUNTIF(Tabela1[Mês],Tabela1[[#This Row],[Mês]])</f>
        <v>0.76923076923076927</v>
      </c>
      <c r="AK385" s="20">
        <f>100%</f>
        <v>1</v>
      </c>
    </row>
    <row r="386" spans="1:37" ht="18" customHeight="1" x14ac:dyDescent="0.25">
      <c r="A386">
        <v>1193297462</v>
      </c>
      <c r="B386" t="s">
        <v>1105</v>
      </c>
      <c r="C386" t="s">
        <v>1106</v>
      </c>
      <c r="D386" t="s">
        <v>37</v>
      </c>
      <c r="E386" t="s">
        <v>31</v>
      </c>
      <c r="F386" s="2">
        <v>45880.850373020832</v>
      </c>
      <c r="AC386" s="24">
        <f t="shared" ca="1" si="11"/>
        <v>253.14962697916781</v>
      </c>
      <c r="AD386" s="25" t="str">
        <f t="shared" ca="1" si="12"/>
        <v>&gt;60 dias</v>
      </c>
      <c r="AE386" s="25">
        <f>MONTH(Tabela1[[#This Row],[Criado em]])</f>
        <v>8</v>
      </c>
      <c r="AF386" s="25">
        <f>YEAR(Tabela1[[#This Row],[Criado em]])</f>
        <v>2025</v>
      </c>
      <c r="AG386" s="25">
        <f>COUNTIFS(Tabela1[Mês],Tabela1[[#This Row],[Mês]])</f>
        <v>146</v>
      </c>
      <c r="AH386" s="25">
        <f>COUNTIFS(Tabela1[Mês],Tabela1[[#This Row],[Mês]],Tabela1[Fase atual],"Recebido")</f>
        <v>115</v>
      </c>
      <c r="AI386" s="26">
        <f>Tabela1[[#This Row],[Recebido_ Mes]]/Tabela1[[#This Row],[Total_Mes]]</f>
        <v>0.78767123287671237</v>
      </c>
      <c r="AJ386" s="19">
        <f>COUNTIFS(Tabela1[Fase atual],"Recebido",Tabela1[Mês],Tabela1[[#This Row],[Mês]],Tabela1[Ano],Tabela1[[#This Row],[Ano]])/COUNTIF(Tabela1[Mês],Tabela1[[#This Row],[Mês]])</f>
        <v>0.78767123287671237</v>
      </c>
      <c r="AK386" s="20">
        <f>100%</f>
        <v>1</v>
      </c>
    </row>
    <row r="387" spans="1:37" ht="18" customHeight="1" x14ac:dyDescent="0.25">
      <c r="A387">
        <v>1239659179</v>
      </c>
      <c r="B387" t="s">
        <v>1107</v>
      </c>
      <c r="C387" t="s">
        <v>1108</v>
      </c>
      <c r="D387" t="s">
        <v>37</v>
      </c>
      <c r="E387" t="s">
        <v>31</v>
      </c>
      <c r="F387" s="2">
        <v>45950.545087638893</v>
      </c>
      <c r="AC387" s="24">
        <f t="shared" ref="AC387:AC450" ca="1" si="13">TODAY() - F387</f>
        <v>183.45491236110684</v>
      </c>
      <c r="AD387" s="25" t="str">
        <f t="shared" ref="AD387:AD450" ca="1" si="14">IF(AC387&lt;=14,"0-14 dias",
IF(AC387&lt;=19,"15-19 dias",
IF(AC387&lt;=24,"20-24 dias",
IF(AC387&lt;=30,"25-30 dias",
IF(AC387&lt;=60,"31-60 dias",
"&gt;60 dias")))))</f>
        <v>&gt;60 dias</v>
      </c>
      <c r="AE387" s="25">
        <f>MONTH(Tabela1[[#This Row],[Criado em]])</f>
        <v>10</v>
      </c>
      <c r="AF387" s="25">
        <f>YEAR(Tabela1[[#This Row],[Criado em]])</f>
        <v>2025</v>
      </c>
      <c r="AG387" s="25">
        <f>COUNTIFS(Tabela1[Mês],Tabela1[[#This Row],[Mês]])</f>
        <v>196</v>
      </c>
      <c r="AH387" s="25">
        <f>COUNTIFS(Tabela1[Mês],Tabela1[[#This Row],[Mês]],Tabela1[Fase atual],"Recebido")</f>
        <v>138</v>
      </c>
      <c r="AI387" s="26">
        <f>Tabela1[[#This Row],[Recebido_ Mes]]/Tabela1[[#This Row],[Total_Mes]]</f>
        <v>0.70408163265306123</v>
      </c>
      <c r="AJ387" s="19">
        <f>COUNTIFS(Tabela1[Fase atual],"Recebido",Tabela1[Mês],Tabela1[[#This Row],[Mês]],Tabela1[Ano],Tabela1[[#This Row],[Ano]])/COUNTIF(Tabela1[Mês],Tabela1[[#This Row],[Mês]])</f>
        <v>0.70408163265306123</v>
      </c>
      <c r="AK387" s="20">
        <f>100%</f>
        <v>1</v>
      </c>
    </row>
    <row r="388" spans="1:37" ht="18" customHeight="1" x14ac:dyDescent="0.25">
      <c r="A388">
        <v>1270942239</v>
      </c>
      <c r="B388" t="s">
        <v>1109</v>
      </c>
      <c r="C388" t="s">
        <v>1110</v>
      </c>
      <c r="D388" t="s">
        <v>37</v>
      </c>
      <c r="E388" t="s">
        <v>1111</v>
      </c>
      <c r="F388" s="2">
        <v>46011.549809918979</v>
      </c>
      <c r="AC388" s="24">
        <f t="shared" ca="1" si="13"/>
        <v>122.45019008102099</v>
      </c>
      <c r="AD388" s="25" t="str">
        <f t="shared" ca="1" si="14"/>
        <v>&gt;60 dias</v>
      </c>
      <c r="AE388" s="25">
        <f>MONTH(Tabela1[[#This Row],[Criado em]])</f>
        <v>12</v>
      </c>
      <c r="AF388" s="25">
        <f>YEAR(Tabela1[[#This Row],[Criado em]])</f>
        <v>2025</v>
      </c>
      <c r="AG388" s="25">
        <f>COUNTIFS(Tabela1[Mês],Tabela1[[#This Row],[Mês]])</f>
        <v>207</v>
      </c>
      <c r="AH388" s="25">
        <f>COUNTIFS(Tabela1[Mês],Tabela1[[#This Row],[Mês]],Tabela1[Fase atual],"Recebido")</f>
        <v>155</v>
      </c>
      <c r="AI388" s="26">
        <f>Tabela1[[#This Row],[Recebido_ Mes]]/Tabela1[[#This Row],[Total_Mes]]</f>
        <v>0.74879227053140096</v>
      </c>
      <c r="AJ388" s="19">
        <f>COUNTIFS(Tabela1[Fase atual],"Recebido",Tabela1[Mês],Tabela1[[#This Row],[Mês]],Tabela1[Ano],Tabela1[[#This Row],[Ano]])/COUNTIF(Tabela1[Mês],Tabela1[[#This Row],[Mês]])</f>
        <v>0.74879227053140096</v>
      </c>
      <c r="AK388" s="20">
        <f>100%</f>
        <v>1</v>
      </c>
    </row>
    <row r="389" spans="1:37" ht="18" customHeight="1" x14ac:dyDescent="0.25">
      <c r="A389">
        <v>1270940648</v>
      </c>
      <c r="B389" t="s">
        <v>1112</v>
      </c>
      <c r="C389" t="s">
        <v>1110</v>
      </c>
      <c r="D389" t="s">
        <v>37</v>
      </c>
      <c r="E389" t="s">
        <v>1111</v>
      </c>
      <c r="F389" s="2">
        <v>46011.542139062498</v>
      </c>
      <c r="AC389" s="24">
        <f t="shared" ca="1" si="13"/>
        <v>122.45786093750212</v>
      </c>
      <c r="AD389" s="25" t="str">
        <f t="shared" ca="1" si="14"/>
        <v>&gt;60 dias</v>
      </c>
      <c r="AE389" s="25">
        <f>MONTH(Tabela1[[#This Row],[Criado em]])</f>
        <v>12</v>
      </c>
      <c r="AF389" s="25">
        <f>YEAR(Tabela1[[#This Row],[Criado em]])</f>
        <v>2025</v>
      </c>
      <c r="AG389" s="25">
        <f>COUNTIFS(Tabela1[Mês],Tabela1[[#This Row],[Mês]])</f>
        <v>207</v>
      </c>
      <c r="AH389" s="25">
        <f>COUNTIFS(Tabela1[Mês],Tabela1[[#This Row],[Mês]],Tabela1[Fase atual],"Recebido")</f>
        <v>155</v>
      </c>
      <c r="AI389" s="26">
        <f>Tabela1[[#This Row],[Recebido_ Mes]]/Tabela1[[#This Row],[Total_Mes]]</f>
        <v>0.74879227053140096</v>
      </c>
      <c r="AJ389" s="19">
        <f>COUNTIFS(Tabela1[Fase atual],"Recebido",Tabela1[Mês],Tabela1[[#This Row],[Mês]],Tabela1[Ano],Tabela1[[#This Row],[Ano]])/COUNTIF(Tabela1[Mês],Tabela1[[#This Row],[Mês]])</f>
        <v>0.74879227053140096</v>
      </c>
      <c r="AK389" s="20">
        <f>100%</f>
        <v>1</v>
      </c>
    </row>
    <row r="390" spans="1:37" ht="18" customHeight="1" x14ac:dyDescent="0.25">
      <c r="A390">
        <v>1221989656</v>
      </c>
      <c r="B390" t="s">
        <v>1113</v>
      </c>
      <c r="C390" t="s">
        <v>1114</v>
      </c>
      <c r="D390" t="s">
        <v>37</v>
      </c>
      <c r="E390" t="s">
        <v>31</v>
      </c>
      <c r="F390" s="2">
        <v>45926.644418321761</v>
      </c>
      <c r="AC390" s="24">
        <f t="shared" ca="1" si="13"/>
        <v>207.3555816782391</v>
      </c>
      <c r="AD390" s="25" t="str">
        <f t="shared" ca="1" si="14"/>
        <v>&gt;60 dias</v>
      </c>
      <c r="AE390" s="25">
        <f>MONTH(Tabela1[[#This Row],[Criado em]])</f>
        <v>9</v>
      </c>
      <c r="AF390" s="25">
        <f>YEAR(Tabela1[[#This Row],[Criado em]])</f>
        <v>2025</v>
      </c>
      <c r="AG390" s="25">
        <f>COUNTIFS(Tabela1[Mês],Tabela1[[#This Row],[Mês]])</f>
        <v>197</v>
      </c>
      <c r="AH390" s="25">
        <f>COUNTIFS(Tabela1[Mês],Tabela1[[#This Row],[Mês]],Tabela1[Fase atual],"Recebido")</f>
        <v>152</v>
      </c>
      <c r="AI390" s="26">
        <f>Tabela1[[#This Row],[Recebido_ Mes]]/Tabela1[[#This Row],[Total_Mes]]</f>
        <v>0.77157360406091369</v>
      </c>
      <c r="AJ390" s="19">
        <f>COUNTIFS(Tabela1[Fase atual],"Recebido",Tabela1[Mês],Tabela1[[#This Row],[Mês]],Tabela1[Ano],Tabela1[[#This Row],[Ano]])/COUNTIF(Tabela1[Mês],Tabela1[[#This Row],[Mês]])</f>
        <v>0.77157360406091369</v>
      </c>
      <c r="AK390" s="20">
        <f>100%</f>
        <v>1</v>
      </c>
    </row>
    <row r="391" spans="1:37" ht="18" customHeight="1" x14ac:dyDescent="0.25">
      <c r="A391">
        <v>1226770996</v>
      </c>
      <c r="B391" t="s">
        <v>1113</v>
      </c>
      <c r="C391" t="s">
        <v>1115</v>
      </c>
      <c r="D391" t="s">
        <v>784</v>
      </c>
      <c r="E391" t="s">
        <v>31</v>
      </c>
      <c r="F391" s="2">
        <v>45933.643348368059</v>
      </c>
      <c r="AC391" s="24">
        <f t="shared" ca="1" si="13"/>
        <v>200.35665163194062</v>
      </c>
      <c r="AD391" s="25" t="str">
        <f t="shared" ca="1" si="14"/>
        <v>&gt;60 dias</v>
      </c>
      <c r="AE391" s="25">
        <f>MONTH(Tabela1[[#This Row],[Criado em]])</f>
        <v>10</v>
      </c>
      <c r="AF391" s="25">
        <f>YEAR(Tabela1[[#This Row],[Criado em]])</f>
        <v>2025</v>
      </c>
      <c r="AG391" s="25">
        <f>COUNTIFS(Tabela1[Mês],Tabela1[[#This Row],[Mês]])</f>
        <v>196</v>
      </c>
      <c r="AH391" s="25">
        <f>COUNTIFS(Tabela1[Mês],Tabela1[[#This Row],[Mês]],Tabela1[Fase atual],"Recebido")</f>
        <v>138</v>
      </c>
      <c r="AI391" s="26">
        <f>Tabela1[[#This Row],[Recebido_ Mes]]/Tabela1[[#This Row],[Total_Mes]]</f>
        <v>0.70408163265306123</v>
      </c>
      <c r="AJ391" s="19">
        <f>COUNTIFS(Tabela1[Fase atual],"Recebido",Tabela1[Mês],Tabela1[[#This Row],[Mês]],Tabela1[Ano],Tabela1[[#This Row],[Ano]])/COUNTIF(Tabela1[Mês],Tabela1[[#This Row],[Mês]])</f>
        <v>0.70408163265306123</v>
      </c>
      <c r="AK391" s="20">
        <f>100%</f>
        <v>1</v>
      </c>
    </row>
    <row r="392" spans="1:37" ht="18" customHeight="1" x14ac:dyDescent="0.25">
      <c r="A392">
        <v>1270229847</v>
      </c>
      <c r="B392" t="s">
        <v>189</v>
      </c>
      <c r="C392" t="s">
        <v>190</v>
      </c>
      <c r="D392" t="s">
        <v>37</v>
      </c>
      <c r="E392" t="s">
        <v>31</v>
      </c>
      <c r="F392" s="2">
        <v>46009.846404594908</v>
      </c>
      <c r="AC392" s="24">
        <f t="shared" ca="1" si="13"/>
        <v>124.15359540509235</v>
      </c>
      <c r="AD392" s="25" t="str">
        <f t="shared" ca="1" si="14"/>
        <v>&gt;60 dias</v>
      </c>
      <c r="AE392" s="25">
        <f>MONTH(Tabela1[[#This Row],[Criado em]])</f>
        <v>12</v>
      </c>
      <c r="AF392" s="25">
        <f>YEAR(Tabela1[[#This Row],[Criado em]])</f>
        <v>2025</v>
      </c>
      <c r="AG392" s="25">
        <f>COUNTIFS(Tabela1[Mês],Tabela1[[#This Row],[Mês]])</f>
        <v>207</v>
      </c>
      <c r="AH392" s="25">
        <f>COUNTIFS(Tabela1[Mês],Tabela1[[#This Row],[Mês]],Tabela1[Fase atual],"Recebido")</f>
        <v>155</v>
      </c>
      <c r="AI392" s="26">
        <f>Tabela1[[#This Row],[Recebido_ Mes]]/Tabela1[[#This Row],[Total_Mes]]</f>
        <v>0.74879227053140096</v>
      </c>
      <c r="AJ392" s="19">
        <f>COUNTIFS(Tabela1[Fase atual],"Recebido",Tabela1[Mês],Tabela1[[#This Row],[Mês]],Tabela1[Ano],Tabela1[[#This Row],[Ano]])/COUNTIF(Tabela1[Mês],Tabela1[[#This Row],[Mês]])</f>
        <v>0.74879227053140096</v>
      </c>
      <c r="AK392" s="20">
        <f>100%</f>
        <v>1</v>
      </c>
    </row>
    <row r="393" spans="1:37" ht="18" customHeight="1" x14ac:dyDescent="0.25">
      <c r="A393">
        <v>1300424873</v>
      </c>
      <c r="B393" t="s">
        <v>189</v>
      </c>
      <c r="C393" t="s">
        <v>2198</v>
      </c>
      <c r="D393" t="s">
        <v>34</v>
      </c>
      <c r="E393" t="s">
        <v>31</v>
      </c>
      <c r="F393" s="2">
        <v>46073.794704375003</v>
      </c>
      <c r="AC393" s="24">
        <f t="shared" ca="1" si="13"/>
        <v>60.205295624997234</v>
      </c>
      <c r="AD393" s="25" t="str">
        <f t="shared" ca="1" si="14"/>
        <v>&gt;60 dias</v>
      </c>
      <c r="AE393" s="25">
        <f>MONTH(Tabela1[[#This Row],[Criado em]])</f>
        <v>2</v>
      </c>
      <c r="AF393" s="25">
        <f>YEAR(Tabela1[[#This Row],[Criado em]])</f>
        <v>2026</v>
      </c>
      <c r="AG393" s="25">
        <f>COUNTIFS(Tabela1[Mês],Tabela1[[#This Row],[Mês]])</f>
        <v>197</v>
      </c>
      <c r="AH393" s="25">
        <f>COUNTIFS(Tabela1[Mês],Tabela1[[#This Row],[Mês]],Tabela1[Fase atual],"Recebido")</f>
        <v>124</v>
      </c>
      <c r="AI393" s="26">
        <f>Tabela1[[#This Row],[Recebido_ Mes]]/Tabela1[[#This Row],[Total_Mes]]</f>
        <v>0.62944162436548223</v>
      </c>
      <c r="AJ393" s="19">
        <f>COUNTIFS(Tabela1[Fase atual],"Recebido",Tabela1[Mês],Tabela1[[#This Row],[Mês]],Tabela1[Ano],Tabela1[[#This Row],[Ano]])/COUNTIF(Tabela1[Mês],Tabela1[[#This Row],[Mês]])</f>
        <v>0.62944162436548223</v>
      </c>
      <c r="AK393" s="20">
        <f>100%</f>
        <v>1</v>
      </c>
    </row>
    <row r="394" spans="1:37" ht="18" customHeight="1" x14ac:dyDescent="0.25">
      <c r="A394">
        <v>1281735626</v>
      </c>
      <c r="B394" t="s">
        <v>191</v>
      </c>
      <c r="C394" t="s">
        <v>192</v>
      </c>
      <c r="D394" t="s">
        <v>37</v>
      </c>
      <c r="E394" t="s">
        <v>31</v>
      </c>
      <c r="F394" s="2">
        <v>46036.630762523149</v>
      </c>
      <c r="AC394" s="24">
        <f t="shared" ca="1" si="13"/>
        <v>97.369237476850685</v>
      </c>
      <c r="AD394" s="25" t="str">
        <f t="shared" ca="1" si="14"/>
        <v>&gt;60 dias</v>
      </c>
      <c r="AE394" s="25">
        <f>MONTH(Tabela1[[#This Row],[Criado em]])</f>
        <v>1</v>
      </c>
      <c r="AF394" s="25">
        <f>YEAR(Tabela1[[#This Row],[Criado em]])</f>
        <v>2026</v>
      </c>
      <c r="AG394" s="25">
        <f>COUNTIFS(Tabela1[Mês],Tabela1[[#This Row],[Mês]])</f>
        <v>222</v>
      </c>
      <c r="AH394" s="25">
        <f>COUNTIFS(Tabela1[Mês],Tabela1[[#This Row],[Mês]],Tabela1[Fase atual],"Recebido")</f>
        <v>174</v>
      </c>
      <c r="AI394" s="26">
        <f>Tabela1[[#This Row],[Recebido_ Mes]]/Tabela1[[#This Row],[Total_Mes]]</f>
        <v>0.78378378378378377</v>
      </c>
      <c r="AJ394" s="19">
        <f>COUNTIFS(Tabela1[Fase atual],"Recebido",Tabela1[Mês],Tabela1[[#This Row],[Mês]],Tabela1[Ano],Tabela1[[#This Row],[Ano]])/COUNTIF(Tabela1[Mês],Tabela1[[#This Row],[Mês]])</f>
        <v>0.78378378378378377</v>
      </c>
      <c r="AK394" s="20">
        <f>100%</f>
        <v>1</v>
      </c>
    </row>
    <row r="395" spans="1:37" ht="18" customHeight="1" x14ac:dyDescent="0.25">
      <c r="A395">
        <v>1187232079</v>
      </c>
      <c r="B395" t="s">
        <v>1116</v>
      </c>
      <c r="C395" t="s">
        <v>1117</v>
      </c>
      <c r="D395" t="s">
        <v>37</v>
      </c>
      <c r="E395" t="s">
        <v>31</v>
      </c>
      <c r="F395" s="2">
        <v>45870.851130208343</v>
      </c>
      <c r="AC395" s="24">
        <f t="shared" ca="1" si="13"/>
        <v>263.14886979165749</v>
      </c>
      <c r="AD395" s="25" t="str">
        <f t="shared" ca="1" si="14"/>
        <v>&gt;60 dias</v>
      </c>
      <c r="AE395" s="25">
        <f>MONTH(Tabela1[[#This Row],[Criado em]])</f>
        <v>8</v>
      </c>
      <c r="AF395" s="25">
        <f>YEAR(Tabela1[[#This Row],[Criado em]])</f>
        <v>2025</v>
      </c>
      <c r="AG395" s="25">
        <f>COUNTIFS(Tabela1[Mês],Tabela1[[#This Row],[Mês]])</f>
        <v>146</v>
      </c>
      <c r="AH395" s="25">
        <f>COUNTIFS(Tabela1[Mês],Tabela1[[#This Row],[Mês]],Tabela1[Fase atual],"Recebido")</f>
        <v>115</v>
      </c>
      <c r="AI395" s="26">
        <f>Tabela1[[#This Row],[Recebido_ Mes]]/Tabela1[[#This Row],[Total_Mes]]</f>
        <v>0.78767123287671237</v>
      </c>
      <c r="AJ395" s="19">
        <f>COUNTIFS(Tabela1[Fase atual],"Recebido",Tabela1[Mês],Tabela1[[#This Row],[Mês]],Tabela1[Ano],Tabela1[[#This Row],[Ano]])/COUNTIF(Tabela1[Mês],Tabela1[[#This Row],[Mês]])</f>
        <v>0.78767123287671237</v>
      </c>
      <c r="AK395" s="20">
        <f>100%</f>
        <v>1</v>
      </c>
    </row>
    <row r="396" spans="1:37" ht="18" customHeight="1" x14ac:dyDescent="0.25">
      <c r="A396">
        <v>1230736698</v>
      </c>
      <c r="B396" t="s">
        <v>1118</v>
      </c>
      <c r="C396" t="s">
        <v>1119</v>
      </c>
      <c r="D396" t="s">
        <v>37</v>
      </c>
      <c r="E396" t="s">
        <v>31</v>
      </c>
      <c r="F396" s="2">
        <v>45939.017596157413</v>
      </c>
      <c r="AC396" s="24">
        <f t="shared" ca="1" si="13"/>
        <v>194.98240384258679</v>
      </c>
      <c r="AD396" s="25" t="str">
        <f t="shared" ca="1" si="14"/>
        <v>&gt;60 dias</v>
      </c>
      <c r="AE396" s="25">
        <f>MONTH(Tabela1[[#This Row],[Criado em]])</f>
        <v>10</v>
      </c>
      <c r="AF396" s="25">
        <f>YEAR(Tabela1[[#This Row],[Criado em]])</f>
        <v>2025</v>
      </c>
      <c r="AG396" s="25">
        <f>COUNTIFS(Tabela1[Mês],Tabela1[[#This Row],[Mês]])</f>
        <v>196</v>
      </c>
      <c r="AH396" s="25">
        <f>COUNTIFS(Tabela1[Mês],Tabela1[[#This Row],[Mês]],Tabela1[Fase atual],"Recebido")</f>
        <v>138</v>
      </c>
      <c r="AI396" s="26">
        <f>Tabela1[[#This Row],[Recebido_ Mes]]/Tabela1[[#This Row],[Total_Mes]]</f>
        <v>0.70408163265306123</v>
      </c>
      <c r="AJ396" s="19">
        <f>COUNTIFS(Tabela1[Fase atual],"Recebido",Tabela1[Mês],Tabela1[[#This Row],[Mês]],Tabela1[Ano],Tabela1[[#This Row],[Ano]])/COUNTIF(Tabela1[Mês],Tabela1[[#This Row],[Mês]])</f>
        <v>0.70408163265306123</v>
      </c>
      <c r="AK396" s="20">
        <f>100%</f>
        <v>1</v>
      </c>
    </row>
    <row r="397" spans="1:37" ht="18" customHeight="1" x14ac:dyDescent="0.25">
      <c r="A397">
        <v>1226266058</v>
      </c>
      <c r="B397" t="s">
        <v>1120</v>
      </c>
      <c r="C397" t="s">
        <v>1121</v>
      </c>
      <c r="D397" t="s">
        <v>37</v>
      </c>
      <c r="E397" t="s">
        <v>31</v>
      </c>
      <c r="F397" s="2">
        <v>45932.851423564818</v>
      </c>
      <c r="AC397" s="24">
        <f t="shared" ca="1" si="13"/>
        <v>201.14857643518189</v>
      </c>
      <c r="AD397" s="25" t="str">
        <f t="shared" ca="1" si="14"/>
        <v>&gt;60 dias</v>
      </c>
      <c r="AE397" s="25">
        <f>MONTH(Tabela1[[#This Row],[Criado em]])</f>
        <v>10</v>
      </c>
      <c r="AF397" s="25">
        <f>YEAR(Tabela1[[#This Row],[Criado em]])</f>
        <v>2025</v>
      </c>
      <c r="AG397" s="25">
        <f>COUNTIFS(Tabela1[Mês],Tabela1[[#This Row],[Mês]])</f>
        <v>196</v>
      </c>
      <c r="AH397" s="25">
        <f>COUNTIFS(Tabela1[Mês],Tabela1[[#This Row],[Mês]],Tabela1[Fase atual],"Recebido")</f>
        <v>138</v>
      </c>
      <c r="AI397" s="26">
        <f>Tabela1[[#This Row],[Recebido_ Mes]]/Tabela1[[#This Row],[Total_Mes]]</f>
        <v>0.70408163265306123</v>
      </c>
      <c r="AJ397" s="19">
        <f>COUNTIFS(Tabela1[Fase atual],"Recebido",Tabela1[Mês],Tabela1[[#This Row],[Mês]],Tabela1[Ano],Tabela1[[#This Row],[Ano]])/COUNTIF(Tabela1[Mês],Tabela1[[#This Row],[Mês]])</f>
        <v>0.70408163265306123</v>
      </c>
      <c r="AK397" s="20">
        <f>100%</f>
        <v>1</v>
      </c>
    </row>
    <row r="398" spans="1:37" ht="18" customHeight="1" x14ac:dyDescent="0.25">
      <c r="A398">
        <v>1236637463</v>
      </c>
      <c r="B398" t="s">
        <v>1120</v>
      </c>
      <c r="C398" t="s">
        <v>1121</v>
      </c>
      <c r="D398" t="s">
        <v>37</v>
      </c>
      <c r="E398" t="s">
        <v>31</v>
      </c>
      <c r="F398" s="2">
        <v>45945.794045243048</v>
      </c>
      <c r="AC398" s="24">
        <f t="shared" ca="1" si="13"/>
        <v>188.20595475695154</v>
      </c>
      <c r="AD398" s="25" t="str">
        <f t="shared" ca="1" si="14"/>
        <v>&gt;60 dias</v>
      </c>
      <c r="AE398" s="25">
        <f>MONTH(Tabela1[[#This Row],[Criado em]])</f>
        <v>10</v>
      </c>
      <c r="AF398" s="25">
        <f>YEAR(Tabela1[[#This Row],[Criado em]])</f>
        <v>2025</v>
      </c>
      <c r="AG398" s="25">
        <f>COUNTIFS(Tabela1[Mês],Tabela1[[#This Row],[Mês]])</f>
        <v>196</v>
      </c>
      <c r="AH398" s="25">
        <f>COUNTIFS(Tabela1[Mês],Tabela1[[#This Row],[Mês]],Tabela1[Fase atual],"Recebido")</f>
        <v>138</v>
      </c>
      <c r="AI398" s="26">
        <f>Tabela1[[#This Row],[Recebido_ Mes]]/Tabela1[[#This Row],[Total_Mes]]</f>
        <v>0.70408163265306123</v>
      </c>
      <c r="AJ398" s="19">
        <f>COUNTIFS(Tabela1[Fase atual],"Recebido",Tabela1[Mês],Tabela1[[#This Row],[Mês]],Tabela1[Ano],Tabela1[[#This Row],[Ano]])/COUNTIF(Tabela1[Mês],Tabela1[[#This Row],[Mês]])</f>
        <v>0.70408163265306123</v>
      </c>
      <c r="AK398" s="20">
        <f>100%</f>
        <v>1</v>
      </c>
    </row>
    <row r="399" spans="1:37" ht="18" customHeight="1" x14ac:dyDescent="0.25">
      <c r="A399">
        <v>1185035444</v>
      </c>
      <c r="C399" t="s">
        <v>1122</v>
      </c>
      <c r="D399" t="s">
        <v>37</v>
      </c>
      <c r="E399" t="s">
        <v>31</v>
      </c>
      <c r="F399" s="2">
        <v>45867.539336122689</v>
      </c>
      <c r="AC399" s="24">
        <f t="shared" ca="1" si="13"/>
        <v>266.46066387731116</v>
      </c>
      <c r="AD399" s="25" t="str">
        <f t="shared" ca="1" si="14"/>
        <v>&gt;60 dias</v>
      </c>
      <c r="AE399" s="25">
        <f>MONTH(Tabela1[[#This Row],[Criado em]])</f>
        <v>7</v>
      </c>
      <c r="AF399" s="25">
        <f>YEAR(Tabela1[[#This Row],[Criado em]])</f>
        <v>2025</v>
      </c>
      <c r="AG399" s="25">
        <f>COUNTIFS(Tabela1[Mês],Tabela1[[#This Row],[Mês]])</f>
        <v>177</v>
      </c>
      <c r="AH399" s="25">
        <f>COUNTIFS(Tabela1[Mês],Tabela1[[#This Row],[Mês]],Tabela1[Fase atual],"Recebido")</f>
        <v>130</v>
      </c>
      <c r="AI399" s="26">
        <f>Tabela1[[#This Row],[Recebido_ Mes]]/Tabela1[[#This Row],[Total_Mes]]</f>
        <v>0.7344632768361582</v>
      </c>
      <c r="AJ399" s="19">
        <f>COUNTIFS(Tabela1[Fase atual],"Recebido",Tabela1[Mês],Tabela1[[#This Row],[Mês]],Tabela1[Ano],Tabela1[[#This Row],[Ano]])/COUNTIF(Tabela1[Mês],Tabela1[[#This Row],[Mês]])</f>
        <v>0.7344632768361582</v>
      </c>
      <c r="AK399" s="20">
        <f>100%</f>
        <v>1</v>
      </c>
    </row>
    <row r="400" spans="1:37" ht="18" customHeight="1" x14ac:dyDescent="0.25">
      <c r="A400">
        <v>1253464933</v>
      </c>
      <c r="B400" t="s">
        <v>705</v>
      </c>
      <c r="C400" t="s">
        <v>1123</v>
      </c>
      <c r="D400" t="s">
        <v>37</v>
      </c>
      <c r="E400" t="s">
        <v>31</v>
      </c>
      <c r="F400" s="2">
        <v>45972.795110914347</v>
      </c>
      <c r="AC400" s="24">
        <f t="shared" ca="1" si="13"/>
        <v>161.20488908565312</v>
      </c>
      <c r="AD400" s="25" t="str">
        <f t="shared" ca="1" si="14"/>
        <v>&gt;60 dias</v>
      </c>
      <c r="AE400" s="25">
        <f>MONTH(Tabela1[[#This Row],[Criado em]])</f>
        <v>11</v>
      </c>
      <c r="AF400" s="25">
        <f>YEAR(Tabela1[[#This Row],[Criado em]])</f>
        <v>2025</v>
      </c>
      <c r="AG400" s="25">
        <f>COUNTIFS(Tabela1[Mês],Tabela1[[#This Row],[Mês]])</f>
        <v>130</v>
      </c>
      <c r="AH400" s="25">
        <f>COUNTIFS(Tabela1[Mês],Tabela1[[#This Row],[Mês]],Tabela1[Fase atual],"Recebido")</f>
        <v>100</v>
      </c>
      <c r="AI400" s="26">
        <f>Tabela1[[#This Row],[Recebido_ Mes]]/Tabela1[[#This Row],[Total_Mes]]</f>
        <v>0.76923076923076927</v>
      </c>
      <c r="AJ400" s="19">
        <f>COUNTIFS(Tabela1[Fase atual],"Recebido",Tabela1[Mês],Tabela1[[#This Row],[Mês]],Tabela1[Ano],Tabela1[[#This Row],[Ano]])/COUNTIF(Tabela1[Mês],Tabela1[[#This Row],[Mês]])</f>
        <v>0.76923076923076927</v>
      </c>
      <c r="AK400" s="20">
        <f>100%</f>
        <v>1</v>
      </c>
    </row>
    <row r="401" spans="1:37" ht="18" customHeight="1" x14ac:dyDescent="0.25">
      <c r="A401">
        <v>1266705620</v>
      </c>
      <c r="B401" t="s">
        <v>1124</v>
      </c>
      <c r="C401" t="s">
        <v>1125</v>
      </c>
      <c r="D401" t="s">
        <v>40</v>
      </c>
      <c r="E401" t="s">
        <v>31</v>
      </c>
      <c r="F401" s="2">
        <v>46001.797658912037</v>
      </c>
      <c r="AC401" s="24">
        <f t="shared" ca="1" si="13"/>
        <v>132.20234108796285</v>
      </c>
      <c r="AD401" s="25" t="str">
        <f t="shared" ca="1" si="14"/>
        <v>&gt;60 dias</v>
      </c>
      <c r="AE401" s="25">
        <f>MONTH(Tabela1[[#This Row],[Criado em]])</f>
        <v>12</v>
      </c>
      <c r="AF401" s="25">
        <f>YEAR(Tabela1[[#This Row],[Criado em]])</f>
        <v>2025</v>
      </c>
      <c r="AG401" s="25">
        <f>COUNTIFS(Tabela1[Mês],Tabela1[[#This Row],[Mês]])</f>
        <v>207</v>
      </c>
      <c r="AH401" s="25">
        <f>COUNTIFS(Tabela1[Mês],Tabela1[[#This Row],[Mês]],Tabela1[Fase atual],"Recebido")</f>
        <v>155</v>
      </c>
      <c r="AI401" s="26">
        <f>Tabela1[[#This Row],[Recebido_ Mes]]/Tabela1[[#This Row],[Total_Mes]]</f>
        <v>0.74879227053140096</v>
      </c>
      <c r="AJ401" s="19">
        <f>COUNTIFS(Tabela1[Fase atual],"Recebido",Tabela1[Mês],Tabela1[[#This Row],[Mês]],Tabela1[Ano],Tabela1[[#This Row],[Ano]])/COUNTIF(Tabela1[Mês],Tabela1[[#This Row],[Mês]])</f>
        <v>0.74879227053140096</v>
      </c>
      <c r="AK401" s="20">
        <f>100%</f>
        <v>1</v>
      </c>
    </row>
    <row r="402" spans="1:37" ht="18" customHeight="1" x14ac:dyDescent="0.25">
      <c r="A402">
        <v>1270278461</v>
      </c>
      <c r="B402" t="s">
        <v>1124</v>
      </c>
      <c r="C402" t="s">
        <v>1125</v>
      </c>
      <c r="D402" t="s">
        <v>40</v>
      </c>
      <c r="E402" t="s">
        <v>31</v>
      </c>
      <c r="F402" s="2">
        <v>46009.922056377312</v>
      </c>
      <c r="AC402" s="24">
        <f t="shared" ca="1" si="13"/>
        <v>124.0779436226876</v>
      </c>
      <c r="AD402" s="25" t="str">
        <f t="shared" ca="1" si="14"/>
        <v>&gt;60 dias</v>
      </c>
      <c r="AE402" s="25">
        <f>MONTH(Tabela1[[#This Row],[Criado em]])</f>
        <v>12</v>
      </c>
      <c r="AF402" s="25">
        <f>YEAR(Tabela1[[#This Row],[Criado em]])</f>
        <v>2025</v>
      </c>
      <c r="AG402" s="25">
        <f>COUNTIFS(Tabela1[Mês],Tabela1[[#This Row],[Mês]])</f>
        <v>207</v>
      </c>
      <c r="AH402" s="25">
        <f>COUNTIFS(Tabela1[Mês],Tabela1[[#This Row],[Mês]],Tabela1[Fase atual],"Recebido")</f>
        <v>155</v>
      </c>
      <c r="AI402" s="26">
        <f>Tabela1[[#This Row],[Recebido_ Mes]]/Tabela1[[#This Row],[Total_Mes]]</f>
        <v>0.74879227053140096</v>
      </c>
      <c r="AJ402" s="19">
        <f>COUNTIFS(Tabela1[Fase atual],"Recebido",Tabela1[Mês],Tabela1[[#This Row],[Mês]],Tabela1[Ano],Tabela1[[#This Row],[Ano]])/COUNTIF(Tabela1[Mês],Tabela1[[#This Row],[Mês]])</f>
        <v>0.74879227053140096</v>
      </c>
      <c r="AK402" s="20">
        <f>100%</f>
        <v>1</v>
      </c>
    </row>
    <row r="403" spans="1:37" ht="18" customHeight="1" x14ac:dyDescent="0.25">
      <c r="A403">
        <v>1236641260</v>
      </c>
      <c r="B403" t="s">
        <v>1126</v>
      </c>
      <c r="C403" t="s">
        <v>1127</v>
      </c>
      <c r="D403" t="s">
        <v>37</v>
      </c>
      <c r="E403" t="s">
        <v>31</v>
      </c>
      <c r="F403" s="2">
        <v>45945.795588275461</v>
      </c>
      <c r="AC403" s="24">
        <f t="shared" ca="1" si="13"/>
        <v>188.20441172453866</v>
      </c>
      <c r="AD403" s="25" t="str">
        <f t="shared" ca="1" si="14"/>
        <v>&gt;60 dias</v>
      </c>
      <c r="AE403" s="25">
        <f>MONTH(Tabela1[[#This Row],[Criado em]])</f>
        <v>10</v>
      </c>
      <c r="AF403" s="25">
        <f>YEAR(Tabela1[[#This Row],[Criado em]])</f>
        <v>2025</v>
      </c>
      <c r="AG403" s="25">
        <f>COUNTIFS(Tabela1[Mês],Tabela1[[#This Row],[Mês]])</f>
        <v>196</v>
      </c>
      <c r="AH403" s="25">
        <f>COUNTIFS(Tabela1[Mês],Tabela1[[#This Row],[Mês]],Tabela1[Fase atual],"Recebido")</f>
        <v>138</v>
      </c>
      <c r="AI403" s="26">
        <f>Tabela1[[#This Row],[Recebido_ Mes]]/Tabela1[[#This Row],[Total_Mes]]</f>
        <v>0.70408163265306123</v>
      </c>
      <c r="AJ403" s="19">
        <f>COUNTIFS(Tabela1[Fase atual],"Recebido",Tabela1[Mês],Tabela1[[#This Row],[Mês]],Tabela1[Ano],Tabela1[[#This Row],[Ano]])/COUNTIF(Tabela1[Mês],Tabela1[[#This Row],[Mês]])</f>
        <v>0.70408163265306123</v>
      </c>
      <c r="AK403" s="20">
        <f>100%</f>
        <v>1</v>
      </c>
    </row>
    <row r="404" spans="1:37" ht="18" customHeight="1" x14ac:dyDescent="0.25">
      <c r="A404">
        <v>1209249110</v>
      </c>
      <c r="B404" t="s">
        <v>1126</v>
      </c>
      <c r="C404" t="s">
        <v>1127</v>
      </c>
      <c r="D404" t="s">
        <v>37</v>
      </c>
      <c r="E404" t="s">
        <v>31</v>
      </c>
      <c r="F404" s="2">
        <v>45905.851362581023</v>
      </c>
      <c r="AC404" s="24">
        <f t="shared" ca="1" si="13"/>
        <v>228.14863741897716</v>
      </c>
      <c r="AD404" s="25" t="str">
        <f t="shared" ca="1" si="14"/>
        <v>&gt;60 dias</v>
      </c>
      <c r="AE404" s="25">
        <f>MONTH(Tabela1[[#This Row],[Criado em]])</f>
        <v>9</v>
      </c>
      <c r="AF404" s="25">
        <f>YEAR(Tabela1[[#This Row],[Criado em]])</f>
        <v>2025</v>
      </c>
      <c r="AG404" s="25">
        <f>COUNTIFS(Tabela1[Mês],Tabela1[[#This Row],[Mês]])</f>
        <v>197</v>
      </c>
      <c r="AH404" s="25">
        <f>COUNTIFS(Tabela1[Mês],Tabela1[[#This Row],[Mês]],Tabela1[Fase atual],"Recebido")</f>
        <v>152</v>
      </c>
      <c r="AI404" s="26">
        <f>Tabela1[[#This Row],[Recebido_ Mes]]/Tabela1[[#This Row],[Total_Mes]]</f>
        <v>0.77157360406091369</v>
      </c>
      <c r="AJ404" s="19">
        <f>COUNTIFS(Tabela1[Fase atual],"Recebido",Tabela1[Mês],Tabela1[[#This Row],[Mês]],Tabela1[Ano],Tabela1[[#This Row],[Ano]])/COUNTIF(Tabela1[Mês],Tabela1[[#This Row],[Mês]])</f>
        <v>0.77157360406091369</v>
      </c>
      <c r="AK404" s="20">
        <f>100%</f>
        <v>1</v>
      </c>
    </row>
    <row r="405" spans="1:37" ht="18" customHeight="1" x14ac:dyDescent="0.25">
      <c r="A405">
        <v>1212791491</v>
      </c>
      <c r="B405" t="s">
        <v>1126</v>
      </c>
      <c r="C405" t="s">
        <v>1127</v>
      </c>
      <c r="D405" t="s">
        <v>37</v>
      </c>
      <c r="E405" t="s">
        <v>31</v>
      </c>
      <c r="F405" s="2">
        <v>45911.851862592594</v>
      </c>
      <c r="AC405" s="24">
        <f t="shared" ca="1" si="13"/>
        <v>222.14813740740647</v>
      </c>
      <c r="AD405" s="25" t="str">
        <f t="shared" ca="1" si="14"/>
        <v>&gt;60 dias</v>
      </c>
      <c r="AE405" s="25">
        <f>MONTH(Tabela1[[#This Row],[Criado em]])</f>
        <v>9</v>
      </c>
      <c r="AF405" s="25">
        <f>YEAR(Tabela1[[#This Row],[Criado em]])</f>
        <v>2025</v>
      </c>
      <c r="AG405" s="25">
        <f>COUNTIFS(Tabela1[Mês],Tabela1[[#This Row],[Mês]])</f>
        <v>197</v>
      </c>
      <c r="AH405" s="25">
        <f>COUNTIFS(Tabela1[Mês],Tabela1[[#This Row],[Mês]],Tabela1[Fase atual],"Recebido")</f>
        <v>152</v>
      </c>
      <c r="AI405" s="26">
        <f>Tabela1[[#This Row],[Recebido_ Mes]]/Tabela1[[#This Row],[Total_Mes]]</f>
        <v>0.77157360406091369</v>
      </c>
      <c r="AJ405" s="19">
        <f>COUNTIFS(Tabela1[Fase atual],"Recebido",Tabela1[Mês],Tabela1[[#This Row],[Mês]],Tabela1[Ano],Tabela1[[#This Row],[Ano]])/COUNTIF(Tabela1[Mês],Tabela1[[#This Row],[Mês]])</f>
        <v>0.77157360406091369</v>
      </c>
      <c r="AK405" s="20">
        <f>100%</f>
        <v>1</v>
      </c>
    </row>
    <row r="406" spans="1:37" ht="18" customHeight="1" x14ac:dyDescent="0.25">
      <c r="A406">
        <v>1221989028</v>
      </c>
      <c r="B406" t="s">
        <v>1126</v>
      </c>
      <c r="C406" t="s">
        <v>1127</v>
      </c>
      <c r="D406" t="s">
        <v>37</v>
      </c>
      <c r="E406" t="s">
        <v>31</v>
      </c>
      <c r="F406" s="2">
        <v>45926.643770127317</v>
      </c>
      <c r="AC406" s="24">
        <f t="shared" ca="1" si="13"/>
        <v>207.35622987268289</v>
      </c>
      <c r="AD406" s="25" t="str">
        <f t="shared" ca="1" si="14"/>
        <v>&gt;60 dias</v>
      </c>
      <c r="AE406" s="25">
        <f>MONTH(Tabela1[[#This Row],[Criado em]])</f>
        <v>9</v>
      </c>
      <c r="AF406" s="25">
        <f>YEAR(Tabela1[[#This Row],[Criado em]])</f>
        <v>2025</v>
      </c>
      <c r="AG406" s="25">
        <f>COUNTIFS(Tabela1[Mês],Tabela1[[#This Row],[Mês]])</f>
        <v>197</v>
      </c>
      <c r="AH406" s="25">
        <f>COUNTIFS(Tabela1[Mês],Tabela1[[#This Row],[Mês]],Tabela1[Fase atual],"Recebido")</f>
        <v>152</v>
      </c>
      <c r="AI406" s="26">
        <f>Tabela1[[#This Row],[Recebido_ Mes]]/Tabela1[[#This Row],[Total_Mes]]</f>
        <v>0.77157360406091369</v>
      </c>
      <c r="AJ406" s="19">
        <f>COUNTIFS(Tabela1[Fase atual],"Recebido",Tabela1[Mês],Tabela1[[#This Row],[Mês]],Tabela1[Ano],Tabela1[[#This Row],[Ano]])/COUNTIF(Tabela1[Mês],Tabela1[[#This Row],[Mês]])</f>
        <v>0.77157360406091369</v>
      </c>
      <c r="AK406" s="20">
        <f>100%</f>
        <v>1</v>
      </c>
    </row>
    <row r="407" spans="1:37" ht="18" customHeight="1" x14ac:dyDescent="0.25">
      <c r="A407">
        <v>1266540073</v>
      </c>
      <c r="B407" t="s">
        <v>1128</v>
      </c>
      <c r="C407" t="s">
        <v>1129</v>
      </c>
      <c r="D407" t="s">
        <v>37</v>
      </c>
      <c r="E407" t="s">
        <v>31</v>
      </c>
      <c r="F407" s="2">
        <v>46001.629535162043</v>
      </c>
      <c r="AC407" s="24">
        <f t="shared" ca="1" si="13"/>
        <v>132.37046483795712</v>
      </c>
      <c r="AD407" s="25" t="str">
        <f t="shared" ca="1" si="14"/>
        <v>&gt;60 dias</v>
      </c>
      <c r="AE407" s="25">
        <f>MONTH(Tabela1[[#This Row],[Criado em]])</f>
        <v>12</v>
      </c>
      <c r="AF407" s="25">
        <f>YEAR(Tabela1[[#This Row],[Criado em]])</f>
        <v>2025</v>
      </c>
      <c r="AG407" s="25">
        <f>COUNTIFS(Tabela1[Mês],Tabela1[[#This Row],[Mês]])</f>
        <v>207</v>
      </c>
      <c r="AH407" s="25">
        <f>COUNTIFS(Tabela1[Mês],Tabela1[[#This Row],[Mês]],Tabela1[Fase atual],"Recebido")</f>
        <v>155</v>
      </c>
      <c r="AI407" s="26">
        <f>Tabela1[[#This Row],[Recebido_ Mes]]/Tabela1[[#This Row],[Total_Mes]]</f>
        <v>0.74879227053140096</v>
      </c>
      <c r="AJ407" s="19">
        <f>COUNTIFS(Tabela1[Fase atual],"Recebido",Tabela1[Mês],Tabela1[[#This Row],[Mês]],Tabela1[Ano],Tabela1[[#This Row],[Ano]])/COUNTIF(Tabela1[Mês],Tabela1[[#This Row],[Mês]])</f>
        <v>0.74879227053140096</v>
      </c>
      <c r="AK407" s="20">
        <f>100%</f>
        <v>1</v>
      </c>
    </row>
    <row r="408" spans="1:37" ht="18" customHeight="1" x14ac:dyDescent="0.25">
      <c r="A408">
        <v>1249753148</v>
      </c>
      <c r="B408" t="s">
        <v>1128</v>
      </c>
      <c r="C408" t="s">
        <v>1130</v>
      </c>
      <c r="D408" t="s">
        <v>37</v>
      </c>
      <c r="E408" t="s">
        <v>31</v>
      </c>
      <c r="F408" s="2">
        <v>45965.794487384257</v>
      </c>
      <c r="AC408" s="24">
        <f t="shared" ca="1" si="13"/>
        <v>168.20551261574292</v>
      </c>
      <c r="AD408" s="25" t="str">
        <f t="shared" ca="1" si="14"/>
        <v>&gt;60 dias</v>
      </c>
      <c r="AE408" s="25">
        <f>MONTH(Tabela1[[#This Row],[Criado em]])</f>
        <v>11</v>
      </c>
      <c r="AF408" s="25">
        <f>YEAR(Tabela1[[#This Row],[Criado em]])</f>
        <v>2025</v>
      </c>
      <c r="AG408" s="25">
        <f>COUNTIFS(Tabela1[Mês],Tabela1[[#This Row],[Mês]])</f>
        <v>130</v>
      </c>
      <c r="AH408" s="25">
        <f>COUNTIFS(Tabela1[Mês],Tabela1[[#This Row],[Mês]],Tabela1[Fase atual],"Recebido")</f>
        <v>100</v>
      </c>
      <c r="AI408" s="26">
        <f>Tabela1[[#This Row],[Recebido_ Mes]]/Tabela1[[#This Row],[Total_Mes]]</f>
        <v>0.76923076923076927</v>
      </c>
      <c r="AJ408" s="19">
        <f>COUNTIFS(Tabela1[Fase atual],"Recebido",Tabela1[Mês],Tabela1[[#This Row],[Mês]],Tabela1[Ano],Tabela1[[#This Row],[Ano]])/COUNTIF(Tabela1[Mês],Tabela1[[#This Row],[Mês]])</f>
        <v>0.76923076923076927</v>
      </c>
      <c r="AK408" s="20">
        <f>100%</f>
        <v>1</v>
      </c>
    </row>
    <row r="409" spans="1:37" ht="18" customHeight="1" x14ac:dyDescent="0.25">
      <c r="A409">
        <v>1177542587</v>
      </c>
      <c r="B409" t="s">
        <v>1131</v>
      </c>
      <c r="C409" t="s">
        <v>1132</v>
      </c>
      <c r="D409" t="s">
        <v>37</v>
      </c>
      <c r="E409" t="s">
        <v>31</v>
      </c>
      <c r="F409" s="2">
        <v>45854.850952650457</v>
      </c>
      <c r="AC409" s="24">
        <f t="shared" ca="1" si="13"/>
        <v>279.14904734954325</v>
      </c>
      <c r="AD409" s="25" t="str">
        <f t="shared" ca="1" si="14"/>
        <v>&gt;60 dias</v>
      </c>
      <c r="AE409" s="25">
        <f>MONTH(Tabela1[[#This Row],[Criado em]])</f>
        <v>7</v>
      </c>
      <c r="AF409" s="25">
        <f>YEAR(Tabela1[[#This Row],[Criado em]])</f>
        <v>2025</v>
      </c>
      <c r="AG409" s="25">
        <f>COUNTIFS(Tabela1[Mês],Tabela1[[#This Row],[Mês]])</f>
        <v>177</v>
      </c>
      <c r="AH409" s="25">
        <f>COUNTIFS(Tabela1[Mês],Tabela1[[#This Row],[Mês]],Tabela1[Fase atual],"Recebido")</f>
        <v>130</v>
      </c>
      <c r="AI409" s="26">
        <f>Tabela1[[#This Row],[Recebido_ Mes]]/Tabela1[[#This Row],[Total_Mes]]</f>
        <v>0.7344632768361582</v>
      </c>
      <c r="AJ409" s="19">
        <f>COUNTIFS(Tabela1[Fase atual],"Recebido",Tabela1[Mês],Tabela1[[#This Row],[Mês]],Tabela1[Ano],Tabela1[[#This Row],[Ano]])/COUNTIF(Tabela1[Mês],Tabela1[[#This Row],[Mês]])</f>
        <v>0.7344632768361582</v>
      </c>
      <c r="AK409" s="20">
        <f>100%</f>
        <v>1</v>
      </c>
    </row>
    <row r="410" spans="1:37" ht="18" customHeight="1" x14ac:dyDescent="0.25">
      <c r="A410">
        <v>1182593964</v>
      </c>
      <c r="B410" t="s">
        <v>1131</v>
      </c>
      <c r="C410" t="s">
        <v>1133</v>
      </c>
      <c r="D410" t="s">
        <v>37</v>
      </c>
      <c r="E410" t="s">
        <v>31</v>
      </c>
      <c r="F410" s="2">
        <v>45862.643195370372</v>
      </c>
      <c r="AC410" s="24">
        <f t="shared" ca="1" si="13"/>
        <v>271.35680462962773</v>
      </c>
      <c r="AD410" s="25" t="str">
        <f t="shared" ca="1" si="14"/>
        <v>&gt;60 dias</v>
      </c>
      <c r="AE410" s="25">
        <f>MONTH(Tabela1[[#This Row],[Criado em]])</f>
        <v>7</v>
      </c>
      <c r="AF410" s="25">
        <f>YEAR(Tabela1[[#This Row],[Criado em]])</f>
        <v>2025</v>
      </c>
      <c r="AG410" s="25">
        <f>COUNTIFS(Tabela1[Mês],Tabela1[[#This Row],[Mês]])</f>
        <v>177</v>
      </c>
      <c r="AH410" s="25">
        <f>COUNTIFS(Tabela1[Mês],Tabela1[[#This Row],[Mês]],Tabela1[Fase atual],"Recebido")</f>
        <v>130</v>
      </c>
      <c r="AI410" s="26">
        <f>Tabela1[[#This Row],[Recebido_ Mes]]/Tabela1[[#This Row],[Total_Mes]]</f>
        <v>0.7344632768361582</v>
      </c>
      <c r="AJ410" s="19">
        <f>COUNTIFS(Tabela1[Fase atual],"Recebido",Tabela1[Mês],Tabela1[[#This Row],[Mês]],Tabela1[Ano],Tabela1[[#This Row],[Ano]])/COUNTIF(Tabela1[Mês],Tabela1[[#This Row],[Mês]])</f>
        <v>0.7344632768361582</v>
      </c>
      <c r="AK410" s="20">
        <f>100%</f>
        <v>1</v>
      </c>
    </row>
    <row r="411" spans="1:37" ht="18" customHeight="1" x14ac:dyDescent="0.25">
      <c r="A411">
        <v>1299778761</v>
      </c>
      <c r="B411" t="s">
        <v>193</v>
      </c>
      <c r="C411" t="s">
        <v>194</v>
      </c>
      <c r="D411" t="s">
        <v>40</v>
      </c>
      <c r="E411" t="s">
        <v>31</v>
      </c>
      <c r="F411" s="2">
        <v>46072.797199918983</v>
      </c>
      <c r="AC411" s="24">
        <f t="shared" ca="1" si="13"/>
        <v>61.202800081016903</v>
      </c>
      <c r="AD411" s="25" t="str">
        <f t="shared" ca="1" si="14"/>
        <v>&gt;60 dias</v>
      </c>
      <c r="AE411" s="25">
        <f>MONTH(Tabela1[[#This Row],[Criado em]])</f>
        <v>2</v>
      </c>
      <c r="AF411" s="25">
        <f>YEAR(Tabela1[[#This Row],[Criado em]])</f>
        <v>2026</v>
      </c>
      <c r="AG411" s="25">
        <f>COUNTIFS(Tabela1[Mês],Tabela1[[#This Row],[Mês]])</f>
        <v>197</v>
      </c>
      <c r="AH411" s="25">
        <f>COUNTIFS(Tabela1[Mês],Tabela1[[#This Row],[Mês]],Tabela1[Fase atual],"Recebido")</f>
        <v>124</v>
      </c>
      <c r="AI411" s="26">
        <f>Tabela1[[#This Row],[Recebido_ Mes]]/Tabela1[[#This Row],[Total_Mes]]</f>
        <v>0.62944162436548223</v>
      </c>
      <c r="AJ411" s="19">
        <f>COUNTIFS(Tabela1[Fase atual],"Recebido",Tabela1[Mês],Tabela1[[#This Row],[Mês]],Tabela1[Ano],Tabela1[[#This Row],[Ano]])/COUNTIF(Tabela1[Mês],Tabela1[[#This Row],[Mês]])</f>
        <v>0.62944162436548223</v>
      </c>
      <c r="AK411" s="20">
        <f>100%</f>
        <v>1</v>
      </c>
    </row>
    <row r="412" spans="1:37" ht="18" customHeight="1" x14ac:dyDescent="0.25">
      <c r="A412">
        <v>1293909912</v>
      </c>
      <c r="B412" t="s">
        <v>193</v>
      </c>
      <c r="C412" t="s">
        <v>195</v>
      </c>
      <c r="D412" t="s">
        <v>40</v>
      </c>
      <c r="E412" t="s">
        <v>31</v>
      </c>
      <c r="F412" s="2">
        <v>46058.796232997687</v>
      </c>
      <c r="AC412" s="24">
        <f t="shared" ca="1" si="13"/>
        <v>75.203767002312816</v>
      </c>
      <c r="AD412" s="25" t="str">
        <f t="shared" ca="1" si="14"/>
        <v>&gt;60 dias</v>
      </c>
      <c r="AE412" s="25">
        <f>MONTH(Tabela1[[#This Row],[Criado em]])</f>
        <v>2</v>
      </c>
      <c r="AF412" s="25">
        <f>YEAR(Tabela1[[#This Row],[Criado em]])</f>
        <v>2026</v>
      </c>
      <c r="AG412" s="25">
        <f>COUNTIFS(Tabela1[Mês],Tabela1[[#This Row],[Mês]])</f>
        <v>197</v>
      </c>
      <c r="AH412" s="25">
        <f>COUNTIFS(Tabela1[Mês],Tabela1[[#This Row],[Mês]],Tabela1[Fase atual],"Recebido")</f>
        <v>124</v>
      </c>
      <c r="AI412" s="26">
        <f>Tabela1[[#This Row],[Recebido_ Mes]]/Tabela1[[#This Row],[Total_Mes]]</f>
        <v>0.62944162436548223</v>
      </c>
      <c r="AJ412" s="19">
        <f>COUNTIFS(Tabela1[Fase atual],"Recebido",Tabela1[Mês],Tabela1[[#This Row],[Mês]],Tabela1[Ano],Tabela1[[#This Row],[Ano]])/COUNTIF(Tabela1[Mês],Tabela1[[#This Row],[Mês]])</f>
        <v>0.62944162436548223</v>
      </c>
      <c r="AK412" s="20">
        <f>100%</f>
        <v>1</v>
      </c>
    </row>
    <row r="413" spans="1:37" ht="18" customHeight="1" x14ac:dyDescent="0.25">
      <c r="A413">
        <v>1272561020</v>
      </c>
      <c r="B413" t="s">
        <v>1134</v>
      </c>
      <c r="C413" t="s">
        <v>1135</v>
      </c>
      <c r="D413" t="s">
        <v>40</v>
      </c>
      <c r="E413" t="s">
        <v>31</v>
      </c>
      <c r="F413" s="2">
        <v>46015.62900483796</v>
      </c>
      <c r="AC413" s="24">
        <f t="shared" ca="1" si="13"/>
        <v>118.37099516204034</v>
      </c>
      <c r="AD413" s="25" t="str">
        <f t="shared" ca="1" si="14"/>
        <v>&gt;60 dias</v>
      </c>
      <c r="AE413" s="25">
        <f>MONTH(Tabela1[[#This Row],[Criado em]])</f>
        <v>12</v>
      </c>
      <c r="AF413" s="25">
        <f>YEAR(Tabela1[[#This Row],[Criado em]])</f>
        <v>2025</v>
      </c>
      <c r="AG413" s="25">
        <f>COUNTIFS(Tabela1[Mês],Tabela1[[#This Row],[Mês]])</f>
        <v>207</v>
      </c>
      <c r="AH413" s="25">
        <f>COUNTIFS(Tabela1[Mês],Tabela1[[#This Row],[Mês]],Tabela1[Fase atual],"Recebido")</f>
        <v>155</v>
      </c>
      <c r="AI413" s="26">
        <f>Tabela1[[#This Row],[Recebido_ Mes]]/Tabela1[[#This Row],[Total_Mes]]</f>
        <v>0.74879227053140096</v>
      </c>
      <c r="AJ413" s="19">
        <f>COUNTIFS(Tabela1[Fase atual],"Recebido",Tabela1[Mês],Tabela1[[#This Row],[Mês]],Tabela1[Ano],Tabela1[[#This Row],[Ano]])/COUNTIF(Tabela1[Mês],Tabela1[[#This Row],[Mês]])</f>
        <v>0.74879227053140096</v>
      </c>
      <c r="AK413" s="20">
        <f>100%</f>
        <v>1</v>
      </c>
    </row>
    <row r="414" spans="1:37" ht="18" customHeight="1" x14ac:dyDescent="0.25">
      <c r="A414">
        <v>1273403738</v>
      </c>
      <c r="B414" t="s">
        <v>1134</v>
      </c>
      <c r="C414" t="s">
        <v>1135</v>
      </c>
      <c r="D414" t="s">
        <v>40</v>
      </c>
      <c r="E414" t="s">
        <v>31</v>
      </c>
      <c r="F414" s="2">
        <v>46017.922332141199</v>
      </c>
      <c r="AC414" s="24">
        <f t="shared" ca="1" si="13"/>
        <v>116.07766785880085</v>
      </c>
      <c r="AD414" s="25" t="str">
        <f t="shared" ca="1" si="14"/>
        <v>&gt;60 dias</v>
      </c>
      <c r="AE414" s="25">
        <f>MONTH(Tabela1[[#This Row],[Criado em]])</f>
        <v>12</v>
      </c>
      <c r="AF414" s="25">
        <f>YEAR(Tabela1[[#This Row],[Criado em]])</f>
        <v>2025</v>
      </c>
      <c r="AG414" s="25">
        <f>COUNTIFS(Tabela1[Mês],Tabela1[[#This Row],[Mês]])</f>
        <v>207</v>
      </c>
      <c r="AH414" s="25">
        <f>COUNTIFS(Tabela1[Mês],Tabela1[[#This Row],[Mês]],Tabela1[Fase atual],"Recebido")</f>
        <v>155</v>
      </c>
      <c r="AI414" s="26">
        <f>Tabela1[[#This Row],[Recebido_ Mes]]/Tabela1[[#This Row],[Total_Mes]]</f>
        <v>0.74879227053140096</v>
      </c>
      <c r="AJ414" s="19">
        <f>COUNTIFS(Tabela1[Fase atual],"Recebido",Tabela1[Mês],Tabela1[[#This Row],[Mês]],Tabela1[Ano],Tabela1[[#This Row],[Ano]])/COUNTIF(Tabela1[Mês],Tabela1[[#This Row],[Mês]])</f>
        <v>0.74879227053140096</v>
      </c>
      <c r="AK414" s="20">
        <f>100%</f>
        <v>1</v>
      </c>
    </row>
    <row r="415" spans="1:37" ht="18" customHeight="1" x14ac:dyDescent="0.25">
      <c r="A415">
        <v>1182801663</v>
      </c>
      <c r="B415" t="s">
        <v>1136</v>
      </c>
      <c r="C415" t="s">
        <v>1137</v>
      </c>
      <c r="D415" t="s">
        <v>37</v>
      </c>
      <c r="E415" t="s">
        <v>31</v>
      </c>
      <c r="F415" s="2">
        <v>45862.852468761572</v>
      </c>
      <c r="AC415" s="24">
        <f t="shared" ca="1" si="13"/>
        <v>271.1475312384282</v>
      </c>
      <c r="AD415" s="25" t="str">
        <f t="shared" ca="1" si="14"/>
        <v>&gt;60 dias</v>
      </c>
      <c r="AE415" s="25">
        <f>MONTH(Tabela1[[#This Row],[Criado em]])</f>
        <v>7</v>
      </c>
      <c r="AF415" s="25">
        <f>YEAR(Tabela1[[#This Row],[Criado em]])</f>
        <v>2025</v>
      </c>
      <c r="AG415" s="25">
        <f>COUNTIFS(Tabela1[Mês],Tabela1[[#This Row],[Mês]])</f>
        <v>177</v>
      </c>
      <c r="AH415" s="25">
        <f>COUNTIFS(Tabela1[Mês],Tabela1[[#This Row],[Mês]],Tabela1[Fase atual],"Recebido")</f>
        <v>130</v>
      </c>
      <c r="AI415" s="26">
        <f>Tabela1[[#This Row],[Recebido_ Mes]]/Tabela1[[#This Row],[Total_Mes]]</f>
        <v>0.7344632768361582</v>
      </c>
      <c r="AJ415" s="19">
        <f>COUNTIFS(Tabela1[Fase atual],"Recebido",Tabela1[Mês],Tabela1[[#This Row],[Mês]],Tabela1[Ano],Tabela1[[#This Row],[Ano]])/COUNTIF(Tabela1[Mês],Tabela1[[#This Row],[Mês]])</f>
        <v>0.7344632768361582</v>
      </c>
      <c r="AK415" s="20">
        <f>100%</f>
        <v>1</v>
      </c>
    </row>
    <row r="416" spans="1:37" ht="18" customHeight="1" x14ac:dyDescent="0.25">
      <c r="A416">
        <v>1182150117</v>
      </c>
      <c r="B416" t="s">
        <v>1138</v>
      </c>
      <c r="C416" t="s">
        <v>1139</v>
      </c>
      <c r="D416" t="s">
        <v>37</v>
      </c>
      <c r="E416" t="s">
        <v>31</v>
      </c>
      <c r="F416" s="2">
        <v>45861.851475520831</v>
      </c>
      <c r="AC416" s="24">
        <f t="shared" ca="1" si="13"/>
        <v>272.14852447916928</v>
      </c>
      <c r="AD416" s="25" t="str">
        <f t="shared" ca="1" si="14"/>
        <v>&gt;60 dias</v>
      </c>
      <c r="AE416" s="25">
        <f>MONTH(Tabela1[[#This Row],[Criado em]])</f>
        <v>7</v>
      </c>
      <c r="AF416" s="25">
        <f>YEAR(Tabela1[[#This Row],[Criado em]])</f>
        <v>2025</v>
      </c>
      <c r="AG416" s="25">
        <f>COUNTIFS(Tabela1[Mês],Tabela1[[#This Row],[Mês]])</f>
        <v>177</v>
      </c>
      <c r="AH416" s="25">
        <f>COUNTIFS(Tabela1[Mês],Tabela1[[#This Row],[Mês]],Tabela1[Fase atual],"Recebido")</f>
        <v>130</v>
      </c>
      <c r="AI416" s="26">
        <f>Tabela1[[#This Row],[Recebido_ Mes]]/Tabela1[[#This Row],[Total_Mes]]</f>
        <v>0.7344632768361582</v>
      </c>
      <c r="AJ416" s="19">
        <f>COUNTIFS(Tabela1[Fase atual],"Recebido",Tabela1[Mês],Tabela1[[#This Row],[Mês]],Tabela1[Ano],Tabela1[[#This Row],[Ano]])/COUNTIF(Tabela1[Mês],Tabela1[[#This Row],[Mês]])</f>
        <v>0.7344632768361582</v>
      </c>
      <c r="AK416" s="20">
        <f>100%</f>
        <v>1</v>
      </c>
    </row>
    <row r="417" spans="1:37" ht="18" customHeight="1" x14ac:dyDescent="0.25">
      <c r="A417">
        <v>1231463594</v>
      </c>
      <c r="B417" t="s">
        <v>1138</v>
      </c>
      <c r="C417" t="s">
        <v>1140</v>
      </c>
      <c r="D417" t="s">
        <v>784</v>
      </c>
      <c r="E417" t="s">
        <v>31</v>
      </c>
      <c r="F417" s="2">
        <v>45939.852917118063</v>
      </c>
      <c r="AC417" s="24">
        <f t="shared" ca="1" si="13"/>
        <v>194.14708288193651</v>
      </c>
      <c r="AD417" s="25" t="str">
        <f t="shared" ca="1" si="14"/>
        <v>&gt;60 dias</v>
      </c>
      <c r="AE417" s="25">
        <f>MONTH(Tabela1[[#This Row],[Criado em]])</f>
        <v>10</v>
      </c>
      <c r="AF417" s="25">
        <f>YEAR(Tabela1[[#This Row],[Criado em]])</f>
        <v>2025</v>
      </c>
      <c r="AG417" s="25">
        <f>COUNTIFS(Tabela1[Mês],Tabela1[[#This Row],[Mês]])</f>
        <v>196</v>
      </c>
      <c r="AH417" s="25">
        <f>COUNTIFS(Tabela1[Mês],Tabela1[[#This Row],[Mês]],Tabela1[Fase atual],"Recebido")</f>
        <v>138</v>
      </c>
      <c r="AI417" s="26">
        <f>Tabela1[[#This Row],[Recebido_ Mes]]/Tabela1[[#This Row],[Total_Mes]]</f>
        <v>0.70408163265306123</v>
      </c>
      <c r="AJ417" s="19">
        <f>COUNTIFS(Tabela1[Fase atual],"Recebido",Tabela1[Mês],Tabela1[[#This Row],[Mês]],Tabela1[Ano],Tabela1[[#This Row],[Ano]])/COUNTIF(Tabela1[Mês],Tabela1[[#This Row],[Mês]])</f>
        <v>0.70408163265306123</v>
      </c>
      <c r="AK417" s="20">
        <f>100%</f>
        <v>1</v>
      </c>
    </row>
    <row r="418" spans="1:37" ht="18" customHeight="1" x14ac:dyDescent="0.25">
      <c r="A418">
        <v>1289419373</v>
      </c>
      <c r="B418" t="s">
        <v>196</v>
      </c>
      <c r="C418" t="s">
        <v>197</v>
      </c>
      <c r="D418" t="s">
        <v>37</v>
      </c>
      <c r="E418" t="s">
        <v>31</v>
      </c>
      <c r="F418" s="2">
        <v>46050.628363912037</v>
      </c>
      <c r="AC418" s="24">
        <f t="shared" ca="1" si="13"/>
        <v>83.371636087962543</v>
      </c>
      <c r="AD418" s="25" t="str">
        <f t="shared" ca="1" si="14"/>
        <v>&gt;60 dias</v>
      </c>
      <c r="AE418" s="25">
        <f>MONTH(Tabela1[[#This Row],[Criado em]])</f>
        <v>1</v>
      </c>
      <c r="AF418" s="25">
        <f>YEAR(Tabela1[[#This Row],[Criado em]])</f>
        <v>2026</v>
      </c>
      <c r="AG418" s="25">
        <f>COUNTIFS(Tabela1[Mês],Tabela1[[#This Row],[Mês]])</f>
        <v>222</v>
      </c>
      <c r="AH418" s="25">
        <f>COUNTIFS(Tabela1[Mês],Tabela1[[#This Row],[Mês]],Tabela1[Fase atual],"Recebido")</f>
        <v>174</v>
      </c>
      <c r="AI418" s="26">
        <f>Tabela1[[#This Row],[Recebido_ Mes]]/Tabela1[[#This Row],[Total_Mes]]</f>
        <v>0.78378378378378377</v>
      </c>
      <c r="AJ418" s="19">
        <f>COUNTIFS(Tabela1[Fase atual],"Recebido",Tabela1[Mês],Tabela1[[#This Row],[Mês]],Tabela1[Ano],Tabela1[[#This Row],[Ano]])/COUNTIF(Tabela1[Mês],Tabela1[[#This Row],[Mês]])</f>
        <v>0.78378378378378377</v>
      </c>
      <c r="AK418" s="20">
        <f>100%</f>
        <v>1</v>
      </c>
    </row>
    <row r="419" spans="1:37" ht="18" customHeight="1" x14ac:dyDescent="0.25">
      <c r="A419">
        <v>1216186249</v>
      </c>
      <c r="B419" t="s">
        <v>1062</v>
      </c>
      <c r="C419" t="s">
        <v>1141</v>
      </c>
      <c r="D419" t="s">
        <v>37</v>
      </c>
      <c r="E419" t="s">
        <v>31</v>
      </c>
      <c r="F419" s="2">
        <v>45917.852029432877</v>
      </c>
      <c r="AC419" s="24">
        <f t="shared" ca="1" si="13"/>
        <v>216.14797056712268</v>
      </c>
      <c r="AD419" s="25" t="str">
        <f t="shared" ca="1" si="14"/>
        <v>&gt;60 dias</v>
      </c>
      <c r="AE419" s="25">
        <f>MONTH(Tabela1[[#This Row],[Criado em]])</f>
        <v>9</v>
      </c>
      <c r="AF419" s="25">
        <f>YEAR(Tabela1[[#This Row],[Criado em]])</f>
        <v>2025</v>
      </c>
      <c r="AG419" s="25">
        <f>COUNTIFS(Tabela1[Mês],Tabela1[[#This Row],[Mês]])</f>
        <v>197</v>
      </c>
      <c r="AH419" s="25">
        <f>COUNTIFS(Tabela1[Mês],Tabela1[[#This Row],[Mês]],Tabela1[Fase atual],"Recebido")</f>
        <v>152</v>
      </c>
      <c r="AI419" s="26">
        <f>Tabela1[[#This Row],[Recebido_ Mes]]/Tabela1[[#This Row],[Total_Mes]]</f>
        <v>0.77157360406091369</v>
      </c>
      <c r="AJ419" s="19">
        <f>COUNTIFS(Tabela1[Fase atual],"Recebido",Tabela1[Mês],Tabela1[[#This Row],[Mês]],Tabela1[Ano],Tabela1[[#This Row],[Ano]])/COUNTIF(Tabela1[Mês],Tabela1[[#This Row],[Mês]])</f>
        <v>0.77157360406091369</v>
      </c>
      <c r="AK419" s="20">
        <f>100%</f>
        <v>1</v>
      </c>
    </row>
    <row r="420" spans="1:37" ht="18" customHeight="1" x14ac:dyDescent="0.25">
      <c r="A420">
        <v>1305500194</v>
      </c>
      <c r="B420" t="s">
        <v>251</v>
      </c>
      <c r="C420" t="s">
        <v>2199</v>
      </c>
      <c r="D420" t="s">
        <v>2179</v>
      </c>
      <c r="E420" t="s">
        <v>31</v>
      </c>
      <c r="F420" s="2">
        <v>46080.795261597217</v>
      </c>
      <c r="AC420" s="24">
        <f t="shared" ca="1" si="13"/>
        <v>53.204738402782823</v>
      </c>
      <c r="AD420" s="25" t="str">
        <f t="shared" ca="1" si="14"/>
        <v>31-60 dias</v>
      </c>
      <c r="AE420" s="25">
        <f>MONTH(Tabela1[[#This Row],[Criado em]])</f>
        <v>2</v>
      </c>
      <c r="AF420" s="25">
        <f>YEAR(Tabela1[[#This Row],[Criado em]])</f>
        <v>2026</v>
      </c>
      <c r="AG420" s="25">
        <f>COUNTIFS(Tabela1[Mês],Tabela1[[#This Row],[Mês]])</f>
        <v>197</v>
      </c>
      <c r="AH420" s="25">
        <f>COUNTIFS(Tabela1[Mês],Tabela1[[#This Row],[Mês]],Tabela1[Fase atual],"Recebido")</f>
        <v>124</v>
      </c>
      <c r="AI420" s="26">
        <f>Tabela1[[#This Row],[Recebido_ Mes]]/Tabela1[[#This Row],[Total_Mes]]</f>
        <v>0.62944162436548223</v>
      </c>
      <c r="AJ420" s="19">
        <f>COUNTIFS(Tabela1[Fase atual],"Recebido",Tabela1[Mês],Tabela1[[#This Row],[Mês]],Tabela1[Ano],Tabela1[[#This Row],[Ano]])/COUNTIF(Tabela1[Mês],Tabela1[[#This Row],[Mês]])</f>
        <v>0.62944162436548223</v>
      </c>
      <c r="AK420" s="20">
        <f>100%</f>
        <v>1</v>
      </c>
    </row>
    <row r="421" spans="1:37" ht="18" customHeight="1" x14ac:dyDescent="0.25">
      <c r="A421">
        <v>1185130021</v>
      </c>
      <c r="B421" t="s">
        <v>1142</v>
      </c>
      <c r="C421" t="s">
        <v>1143</v>
      </c>
      <c r="D421" t="s">
        <v>37</v>
      </c>
      <c r="E421" t="s">
        <v>31</v>
      </c>
      <c r="F421" s="2">
        <v>45867.620743032407</v>
      </c>
      <c r="AC421" s="24">
        <f t="shared" ca="1" si="13"/>
        <v>266.37925696759339</v>
      </c>
      <c r="AD421" s="25" t="str">
        <f t="shared" ca="1" si="14"/>
        <v>&gt;60 dias</v>
      </c>
      <c r="AE421" s="25">
        <f>MONTH(Tabela1[[#This Row],[Criado em]])</f>
        <v>7</v>
      </c>
      <c r="AF421" s="25">
        <f>YEAR(Tabela1[[#This Row],[Criado em]])</f>
        <v>2025</v>
      </c>
      <c r="AG421" s="25">
        <f>COUNTIFS(Tabela1[Mês],Tabela1[[#This Row],[Mês]])</f>
        <v>177</v>
      </c>
      <c r="AH421" s="25">
        <f>COUNTIFS(Tabela1[Mês],Tabela1[[#This Row],[Mês]],Tabela1[Fase atual],"Recebido")</f>
        <v>130</v>
      </c>
      <c r="AI421" s="26">
        <f>Tabela1[[#This Row],[Recebido_ Mes]]/Tabela1[[#This Row],[Total_Mes]]</f>
        <v>0.7344632768361582</v>
      </c>
      <c r="AJ421" s="19">
        <f>COUNTIFS(Tabela1[Fase atual],"Recebido",Tabela1[Mês],Tabela1[[#This Row],[Mês]],Tabela1[Ano],Tabela1[[#This Row],[Ano]])/COUNTIF(Tabela1[Mês],Tabela1[[#This Row],[Mês]])</f>
        <v>0.7344632768361582</v>
      </c>
      <c r="AK421" s="20">
        <f>100%</f>
        <v>1</v>
      </c>
    </row>
    <row r="422" spans="1:37" ht="18" customHeight="1" x14ac:dyDescent="0.25">
      <c r="A422">
        <v>1278101707</v>
      </c>
      <c r="B422" t="s">
        <v>198</v>
      </c>
      <c r="C422" t="s">
        <v>199</v>
      </c>
      <c r="D422" t="s">
        <v>37</v>
      </c>
      <c r="E422" t="s">
        <v>31</v>
      </c>
      <c r="F422" s="2">
        <v>46029.535662650473</v>
      </c>
      <c r="AC422" s="24">
        <f t="shared" ca="1" si="13"/>
        <v>104.46433734952734</v>
      </c>
      <c r="AD422" s="25" t="str">
        <f t="shared" ca="1" si="14"/>
        <v>&gt;60 dias</v>
      </c>
      <c r="AE422" s="25">
        <f>MONTH(Tabela1[[#This Row],[Criado em]])</f>
        <v>1</v>
      </c>
      <c r="AF422" s="25">
        <f>YEAR(Tabela1[[#This Row],[Criado em]])</f>
        <v>2026</v>
      </c>
      <c r="AG422" s="25">
        <f>COUNTIFS(Tabela1[Mês],Tabela1[[#This Row],[Mês]])</f>
        <v>222</v>
      </c>
      <c r="AH422" s="25">
        <f>COUNTIFS(Tabela1[Mês],Tabela1[[#This Row],[Mês]],Tabela1[Fase atual],"Recebido")</f>
        <v>174</v>
      </c>
      <c r="AI422" s="26">
        <f>Tabela1[[#This Row],[Recebido_ Mes]]/Tabela1[[#This Row],[Total_Mes]]</f>
        <v>0.78378378378378377</v>
      </c>
      <c r="AJ422" s="19">
        <f>COUNTIFS(Tabela1[Fase atual],"Recebido",Tabela1[Mês],Tabela1[[#This Row],[Mês]],Tabela1[Ano],Tabela1[[#This Row],[Ano]])/COUNTIF(Tabela1[Mês],Tabela1[[#This Row],[Mês]])</f>
        <v>0.78378378378378377</v>
      </c>
      <c r="AK422" s="20">
        <f>100%</f>
        <v>1</v>
      </c>
    </row>
    <row r="423" spans="1:37" ht="18" customHeight="1" x14ac:dyDescent="0.25">
      <c r="A423">
        <v>1299774292</v>
      </c>
      <c r="B423" t="s">
        <v>198</v>
      </c>
      <c r="C423" t="s">
        <v>199</v>
      </c>
      <c r="D423" t="s">
        <v>37</v>
      </c>
      <c r="E423" t="s">
        <v>31</v>
      </c>
      <c r="F423" s="2">
        <v>46072.793466874988</v>
      </c>
      <c r="AC423" s="24">
        <f t="shared" ca="1" si="13"/>
        <v>61.206533125012356</v>
      </c>
      <c r="AD423" s="25" t="str">
        <f t="shared" ca="1" si="14"/>
        <v>&gt;60 dias</v>
      </c>
      <c r="AE423" s="25">
        <f>MONTH(Tabela1[[#This Row],[Criado em]])</f>
        <v>2</v>
      </c>
      <c r="AF423" s="25">
        <f>YEAR(Tabela1[[#This Row],[Criado em]])</f>
        <v>2026</v>
      </c>
      <c r="AG423" s="25">
        <f>COUNTIFS(Tabela1[Mês],Tabela1[[#This Row],[Mês]])</f>
        <v>197</v>
      </c>
      <c r="AH423" s="25">
        <f>COUNTIFS(Tabela1[Mês],Tabela1[[#This Row],[Mês]],Tabela1[Fase atual],"Recebido")</f>
        <v>124</v>
      </c>
      <c r="AI423" s="26">
        <f>Tabela1[[#This Row],[Recebido_ Mes]]/Tabela1[[#This Row],[Total_Mes]]</f>
        <v>0.62944162436548223</v>
      </c>
      <c r="AJ423" s="19">
        <f>COUNTIFS(Tabela1[Fase atual],"Recebido",Tabela1[Mês],Tabela1[[#This Row],[Mês]],Tabela1[Ano],Tabela1[[#This Row],[Ano]])/COUNTIF(Tabela1[Mês],Tabela1[[#This Row],[Mês]])</f>
        <v>0.62944162436548223</v>
      </c>
      <c r="AK423" s="20">
        <f>100%</f>
        <v>1</v>
      </c>
    </row>
    <row r="424" spans="1:37" ht="18" customHeight="1" x14ac:dyDescent="0.25">
      <c r="A424">
        <v>1300427524</v>
      </c>
      <c r="B424" t="s">
        <v>200</v>
      </c>
      <c r="C424" t="s">
        <v>2200</v>
      </c>
      <c r="D424" t="s">
        <v>202</v>
      </c>
      <c r="E424" t="s">
        <v>31</v>
      </c>
      <c r="F424" s="2">
        <v>46073.79636709491</v>
      </c>
      <c r="AC424" s="24">
        <f t="shared" ca="1" si="13"/>
        <v>60.203632905089762</v>
      </c>
      <c r="AD424" s="25" t="str">
        <f t="shared" ca="1" si="14"/>
        <v>&gt;60 dias</v>
      </c>
      <c r="AE424" s="25">
        <f>MONTH(Tabela1[[#This Row],[Criado em]])</f>
        <v>2</v>
      </c>
      <c r="AF424" s="25">
        <f>YEAR(Tabela1[[#This Row],[Criado em]])</f>
        <v>2026</v>
      </c>
      <c r="AG424" s="25">
        <f>COUNTIFS(Tabela1[Mês],Tabela1[[#This Row],[Mês]])</f>
        <v>197</v>
      </c>
      <c r="AH424" s="25">
        <f>COUNTIFS(Tabela1[Mês],Tabela1[[#This Row],[Mês]],Tabela1[Fase atual],"Recebido")</f>
        <v>124</v>
      </c>
      <c r="AI424" s="26">
        <f>Tabela1[[#This Row],[Recebido_ Mes]]/Tabela1[[#This Row],[Total_Mes]]</f>
        <v>0.62944162436548223</v>
      </c>
      <c r="AJ424" s="19">
        <f>COUNTIFS(Tabela1[Fase atual],"Recebido",Tabela1[Mês],Tabela1[[#This Row],[Mês]],Tabela1[Ano],Tabela1[[#This Row],[Ano]])/COUNTIF(Tabela1[Mês],Tabela1[[#This Row],[Mês]])</f>
        <v>0.62944162436548223</v>
      </c>
      <c r="AK424" s="20">
        <f>100%</f>
        <v>1</v>
      </c>
    </row>
    <row r="425" spans="1:37" ht="18" customHeight="1" x14ac:dyDescent="0.25">
      <c r="A425">
        <v>1304129595</v>
      </c>
      <c r="B425" t="s">
        <v>200</v>
      </c>
      <c r="C425" t="s">
        <v>201</v>
      </c>
      <c r="D425" t="s">
        <v>37</v>
      </c>
      <c r="E425" t="s">
        <v>31</v>
      </c>
      <c r="F425" s="2">
        <v>46078.796777754629</v>
      </c>
      <c r="AC425" s="24">
        <f t="shared" ca="1" si="13"/>
        <v>55.203222245370853</v>
      </c>
      <c r="AD425" s="25" t="str">
        <f t="shared" ca="1" si="14"/>
        <v>31-60 dias</v>
      </c>
      <c r="AE425" s="25">
        <f>MONTH(Tabela1[[#This Row],[Criado em]])</f>
        <v>2</v>
      </c>
      <c r="AF425" s="25">
        <f>YEAR(Tabela1[[#This Row],[Criado em]])</f>
        <v>2026</v>
      </c>
      <c r="AG425" s="25">
        <f>COUNTIFS(Tabela1[Mês],Tabela1[[#This Row],[Mês]])</f>
        <v>197</v>
      </c>
      <c r="AH425" s="25">
        <f>COUNTIFS(Tabela1[Mês],Tabela1[[#This Row],[Mês]],Tabela1[Fase atual],"Recebido")</f>
        <v>124</v>
      </c>
      <c r="AI425" s="26">
        <f>Tabela1[[#This Row],[Recebido_ Mes]]/Tabela1[[#This Row],[Total_Mes]]</f>
        <v>0.62944162436548223</v>
      </c>
      <c r="AJ425" s="19">
        <f>COUNTIFS(Tabela1[Fase atual],"Recebido",Tabela1[Mês],Tabela1[[#This Row],[Mês]],Tabela1[Ano],Tabela1[[#This Row],[Ano]])/COUNTIF(Tabela1[Mês],Tabela1[[#This Row],[Mês]])</f>
        <v>0.62944162436548223</v>
      </c>
      <c r="AK425" s="20">
        <f>100%</f>
        <v>1</v>
      </c>
    </row>
    <row r="426" spans="1:37" ht="18" customHeight="1" x14ac:dyDescent="0.25">
      <c r="A426">
        <v>1295985100</v>
      </c>
      <c r="B426" t="s">
        <v>200</v>
      </c>
      <c r="C426" t="s">
        <v>201</v>
      </c>
      <c r="D426" t="s">
        <v>202</v>
      </c>
      <c r="E426" t="s">
        <v>31</v>
      </c>
      <c r="F426" s="2">
        <v>46063.796641238427</v>
      </c>
      <c r="AC426" s="24">
        <f t="shared" ca="1" si="13"/>
        <v>70.203358761573327</v>
      </c>
      <c r="AD426" s="25" t="str">
        <f t="shared" ca="1" si="14"/>
        <v>&gt;60 dias</v>
      </c>
      <c r="AE426" s="25">
        <f>MONTH(Tabela1[[#This Row],[Criado em]])</f>
        <v>2</v>
      </c>
      <c r="AF426" s="25">
        <f>YEAR(Tabela1[[#This Row],[Criado em]])</f>
        <v>2026</v>
      </c>
      <c r="AG426" s="25">
        <f>COUNTIFS(Tabela1[Mês],Tabela1[[#This Row],[Mês]])</f>
        <v>197</v>
      </c>
      <c r="AH426" s="25">
        <f>COUNTIFS(Tabela1[Mês],Tabela1[[#This Row],[Mês]],Tabela1[Fase atual],"Recebido")</f>
        <v>124</v>
      </c>
      <c r="AI426" s="26">
        <f>Tabela1[[#This Row],[Recebido_ Mes]]/Tabela1[[#This Row],[Total_Mes]]</f>
        <v>0.62944162436548223</v>
      </c>
      <c r="AJ426" s="19">
        <f>COUNTIFS(Tabela1[Fase atual],"Recebido",Tabela1[Mês],Tabela1[[#This Row],[Mês]],Tabela1[Ano],Tabela1[[#This Row],[Ano]])/COUNTIF(Tabela1[Mês],Tabela1[[#This Row],[Mês]])</f>
        <v>0.62944162436548223</v>
      </c>
      <c r="AK426" s="20">
        <f>100%</f>
        <v>1</v>
      </c>
    </row>
    <row r="427" spans="1:37" ht="18" customHeight="1" x14ac:dyDescent="0.25">
      <c r="A427">
        <v>1279347481</v>
      </c>
      <c r="B427" t="s">
        <v>203</v>
      </c>
      <c r="C427" t="s">
        <v>204</v>
      </c>
      <c r="D427" t="s">
        <v>37</v>
      </c>
      <c r="E427" t="s">
        <v>31</v>
      </c>
      <c r="F427" s="2">
        <v>46031.547503009257</v>
      </c>
      <c r="AC427" s="24">
        <f t="shared" ca="1" si="13"/>
        <v>102.45249699074338</v>
      </c>
      <c r="AD427" s="25" t="str">
        <f t="shared" ca="1" si="14"/>
        <v>&gt;60 dias</v>
      </c>
      <c r="AE427" s="25">
        <f>MONTH(Tabela1[[#This Row],[Criado em]])</f>
        <v>1</v>
      </c>
      <c r="AF427" s="25">
        <f>YEAR(Tabela1[[#This Row],[Criado em]])</f>
        <v>2026</v>
      </c>
      <c r="AG427" s="25">
        <f>COUNTIFS(Tabela1[Mês],Tabela1[[#This Row],[Mês]])</f>
        <v>222</v>
      </c>
      <c r="AH427" s="25">
        <f>COUNTIFS(Tabela1[Mês],Tabela1[[#This Row],[Mês]],Tabela1[Fase atual],"Recebido")</f>
        <v>174</v>
      </c>
      <c r="AI427" s="26">
        <f>Tabela1[[#This Row],[Recebido_ Mes]]/Tabela1[[#This Row],[Total_Mes]]</f>
        <v>0.78378378378378377</v>
      </c>
      <c r="AJ427" s="19">
        <f>COUNTIFS(Tabela1[Fase atual],"Recebido",Tabela1[Mês],Tabela1[[#This Row],[Mês]],Tabela1[Ano],Tabela1[[#This Row],[Ano]])/COUNTIF(Tabela1[Mês],Tabela1[[#This Row],[Mês]])</f>
        <v>0.78378378378378377</v>
      </c>
      <c r="AK427" s="20">
        <f>100%</f>
        <v>1</v>
      </c>
    </row>
    <row r="428" spans="1:37" ht="18" customHeight="1" x14ac:dyDescent="0.25">
      <c r="A428">
        <v>1221263983</v>
      </c>
      <c r="B428" t="s">
        <v>205</v>
      </c>
      <c r="C428" t="s">
        <v>1144</v>
      </c>
      <c r="D428" t="s">
        <v>37</v>
      </c>
      <c r="E428" t="s">
        <v>31</v>
      </c>
      <c r="F428" s="2">
        <v>45925.644069120382</v>
      </c>
      <c r="AC428" s="24">
        <f t="shared" ca="1" si="13"/>
        <v>208.35593087961752</v>
      </c>
      <c r="AD428" s="25" t="str">
        <f t="shared" ca="1" si="14"/>
        <v>&gt;60 dias</v>
      </c>
      <c r="AE428" s="25">
        <f>MONTH(Tabela1[[#This Row],[Criado em]])</f>
        <v>9</v>
      </c>
      <c r="AF428" s="25">
        <f>YEAR(Tabela1[[#This Row],[Criado em]])</f>
        <v>2025</v>
      </c>
      <c r="AG428" s="25">
        <f>COUNTIFS(Tabela1[Mês],Tabela1[[#This Row],[Mês]])</f>
        <v>197</v>
      </c>
      <c r="AH428" s="25">
        <f>COUNTIFS(Tabela1[Mês],Tabela1[[#This Row],[Mês]],Tabela1[Fase atual],"Recebido")</f>
        <v>152</v>
      </c>
      <c r="AI428" s="26">
        <f>Tabela1[[#This Row],[Recebido_ Mes]]/Tabela1[[#This Row],[Total_Mes]]</f>
        <v>0.77157360406091369</v>
      </c>
      <c r="AJ428" s="19">
        <f>COUNTIFS(Tabela1[Fase atual],"Recebido",Tabela1[Mês],Tabela1[[#This Row],[Mês]],Tabela1[Ano],Tabela1[[#This Row],[Ano]])/COUNTIF(Tabela1[Mês],Tabela1[[#This Row],[Mês]])</f>
        <v>0.77157360406091369</v>
      </c>
      <c r="AK428" s="20">
        <f>100%</f>
        <v>1</v>
      </c>
    </row>
    <row r="429" spans="1:37" ht="18" customHeight="1" x14ac:dyDescent="0.25">
      <c r="A429">
        <v>1263239939</v>
      </c>
      <c r="B429" t="s">
        <v>205</v>
      </c>
      <c r="C429" t="s">
        <v>1145</v>
      </c>
      <c r="D429" t="s">
        <v>37</v>
      </c>
      <c r="E429" t="s">
        <v>31</v>
      </c>
      <c r="F429" s="2">
        <v>45994.629744618047</v>
      </c>
      <c r="AC429" s="24">
        <f t="shared" ca="1" si="13"/>
        <v>139.37025538195303</v>
      </c>
      <c r="AD429" s="25" t="str">
        <f t="shared" ca="1" si="14"/>
        <v>&gt;60 dias</v>
      </c>
      <c r="AE429" s="25">
        <f>MONTH(Tabela1[[#This Row],[Criado em]])</f>
        <v>12</v>
      </c>
      <c r="AF429" s="25">
        <f>YEAR(Tabela1[[#This Row],[Criado em]])</f>
        <v>2025</v>
      </c>
      <c r="AG429" s="25">
        <f>COUNTIFS(Tabela1[Mês],Tabela1[[#This Row],[Mês]])</f>
        <v>207</v>
      </c>
      <c r="AH429" s="25">
        <f>COUNTIFS(Tabela1[Mês],Tabela1[[#This Row],[Mês]],Tabela1[Fase atual],"Recebido")</f>
        <v>155</v>
      </c>
      <c r="AI429" s="26">
        <f>Tabela1[[#This Row],[Recebido_ Mes]]/Tabela1[[#This Row],[Total_Mes]]</f>
        <v>0.74879227053140096</v>
      </c>
      <c r="AJ429" s="19">
        <f>COUNTIFS(Tabela1[Fase atual],"Recebido",Tabela1[Mês],Tabela1[[#This Row],[Mês]],Tabela1[Ano],Tabela1[[#This Row],[Ano]])/COUNTIF(Tabela1[Mês],Tabela1[[#This Row],[Mês]])</f>
        <v>0.74879227053140096</v>
      </c>
      <c r="AK429" s="20">
        <f>100%</f>
        <v>1</v>
      </c>
    </row>
    <row r="430" spans="1:37" ht="18" customHeight="1" x14ac:dyDescent="0.25">
      <c r="A430">
        <v>1288876704</v>
      </c>
      <c r="B430" t="s">
        <v>205</v>
      </c>
      <c r="C430" t="s">
        <v>206</v>
      </c>
      <c r="D430" t="s">
        <v>37</v>
      </c>
      <c r="E430" t="s">
        <v>31</v>
      </c>
      <c r="F430" s="2">
        <v>46049.753329236111</v>
      </c>
      <c r="AC430" s="24">
        <f t="shared" ca="1" si="13"/>
        <v>84.246670763888687</v>
      </c>
      <c r="AD430" s="25" t="str">
        <f t="shared" ca="1" si="14"/>
        <v>&gt;60 dias</v>
      </c>
      <c r="AE430" s="25">
        <f>MONTH(Tabela1[[#This Row],[Criado em]])</f>
        <v>1</v>
      </c>
      <c r="AF430" s="25">
        <f>YEAR(Tabela1[[#This Row],[Criado em]])</f>
        <v>2026</v>
      </c>
      <c r="AG430" s="25">
        <f>COUNTIFS(Tabela1[Mês],Tabela1[[#This Row],[Mês]])</f>
        <v>222</v>
      </c>
      <c r="AH430" s="25">
        <f>COUNTIFS(Tabela1[Mês],Tabela1[[#This Row],[Mês]],Tabela1[Fase atual],"Recebido")</f>
        <v>174</v>
      </c>
      <c r="AI430" s="26">
        <f>Tabela1[[#This Row],[Recebido_ Mes]]/Tabela1[[#This Row],[Total_Mes]]</f>
        <v>0.78378378378378377</v>
      </c>
      <c r="AJ430" s="19">
        <f>COUNTIFS(Tabela1[Fase atual],"Recebido",Tabela1[Mês],Tabela1[[#This Row],[Mês]],Tabela1[Ano],Tabela1[[#This Row],[Ano]])/COUNTIF(Tabela1[Mês],Tabela1[[#This Row],[Mês]])</f>
        <v>0.78378378378378377</v>
      </c>
      <c r="AK430" s="20">
        <f>100%</f>
        <v>1</v>
      </c>
    </row>
    <row r="431" spans="1:37" ht="18" customHeight="1" x14ac:dyDescent="0.25">
      <c r="A431">
        <v>1269000366</v>
      </c>
      <c r="B431" t="s">
        <v>205</v>
      </c>
      <c r="C431" t="s">
        <v>206</v>
      </c>
      <c r="D431" t="s">
        <v>34</v>
      </c>
      <c r="E431" t="s">
        <v>31</v>
      </c>
      <c r="F431" s="2">
        <v>46007.63004364584</v>
      </c>
      <c r="AC431" s="24">
        <f t="shared" ca="1" si="13"/>
        <v>126.36995635415951</v>
      </c>
      <c r="AD431" s="25" t="str">
        <f t="shared" ca="1" si="14"/>
        <v>&gt;60 dias</v>
      </c>
      <c r="AE431" s="25">
        <f>MONTH(Tabela1[[#This Row],[Criado em]])</f>
        <v>12</v>
      </c>
      <c r="AF431" s="25">
        <f>YEAR(Tabela1[[#This Row],[Criado em]])</f>
        <v>2025</v>
      </c>
      <c r="AG431" s="25">
        <f>COUNTIFS(Tabela1[Mês],Tabela1[[#This Row],[Mês]])</f>
        <v>207</v>
      </c>
      <c r="AH431" s="25">
        <f>COUNTIFS(Tabela1[Mês],Tabela1[[#This Row],[Mês]],Tabela1[Fase atual],"Recebido")</f>
        <v>155</v>
      </c>
      <c r="AI431" s="26">
        <f>Tabela1[[#This Row],[Recebido_ Mes]]/Tabela1[[#This Row],[Total_Mes]]</f>
        <v>0.74879227053140096</v>
      </c>
      <c r="AJ431" s="19">
        <f>COUNTIFS(Tabela1[Fase atual],"Recebido",Tabela1[Mês],Tabela1[[#This Row],[Mês]],Tabela1[Ano],Tabela1[[#This Row],[Ano]])/COUNTIF(Tabela1[Mês],Tabela1[[#This Row],[Mês]])</f>
        <v>0.74879227053140096</v>
      </c>
      <c r="AK431" s="20">
        <f>100%</f>
        <v>1</v>
      </c>
    </row>
    <row r="432" spans="1:37" ht="18" customHeight="1" x14ac:dyDescent="0.25">
      <c r="A432">
        <v>1305500448</v>
      </c>
      <c r="B432" t="s">
        <v>1146</v>
      </c>
      <c r="C432" t="s">
        <v>2201</v>
      </c>
      <c r="D432" t="s">
        <v>2179</v>
      </c>
      <c r="E432" t="s">
        <v>31</v>
      </c>
      <c r="F432" s="2">
        <v>46080.795442500013</v>
      </c>
      <c r="AC432" s="24">
        <f t="shared" ca="1" si="13"/>
        <v>53.204557499986549</v>
      </c>
      <c r="AD432" s="25" t="str">
        <f t="shared" ca="1" si="14"/>
        <v>31-60 dias</v>
      </c>
      <c r="AE432" s="25">
        <f>MONTH(Tabela1[[#This Row],[Criado em]])</f>
        <v>2</v>
      </c>
      <c r="AF432" s="25">
        <f>YEAR(Tabela1[[#This Row],[Criado em]])</f>
        <v>2026</v>
      </c>
      <c r="AG432" s="25">
        <f>COUNTIFS(Tabela1[Mês],Tabela1[[#This Row],[Mês]])</f>
        <v>197</v>
      </c>
      <c r="AH432" s="25">
        <f>COUNTIFS(Tabela1[Mês],Tabela1[[#This Row],[Mês]],Tabela1[Fase atual],"Recebido")</f>
        <v>124</v>
      </c>
      <c r="AI432" s="26">
        <f>Tabela1[[#This Row],[Recebido_ Mes]]/Tabela1[[#This Row],[Total_Mes]]</f>
        <v>0.62944162436548223</v>
      </c>
      <c r="AJ432" s="19">
        <f>COUNTIFS(Tabela1[Fase atual],"Recebido",Tabela1[Mês],Tabela1[[#This Row],[Mês]],Tabela1[Ano],Tabela1[[#This Row],[Ano]])/COUNTIF(Tabela1[Mês],Tabela1[[#This Row],[Mês]])</f>
        <v>0.62944162436548223</v>
      </c>
      <c r="AK432" s="20">
        <f>100%</f>
        <v>1</v>
      </c>
    </row>
    <row r="433" spans="1:37" ht="18" customHeight="1" x14ac:dyDescent="0.25">
      <c r="A433">
        <v>1270229956</v>
      </c>
      <c r="B433" t="s">
        <v>1146</v>
      </c>
      <c r="C433" t="s">
        <v>1147</v>
      </c>
      <c r="D433" t="s">
        <v>37</v>
      </c>
      <c r="E433" t="s">
        <v>31</v>
      </c>
      <c r="F433" s="2">
        <v>46009.846490451389</v>
      </c>
      <c r="AC433" s="24">
        <f t="shared" ca="1" si="13"/>
        <v>124.1535095486106</v>
      </c>
      <c r="AD433" s="25" t="str">
        <f t="shared" ca="1" si="14"/>
        <v>&gt;60 dias</v>
      </c>
      <c r="AE433" s="25">
        <f>MONTH(Tabela1[[#This Row],[Criado em]])</f>
        <v>12</v>
      </c>
      <c r="AF433" s="25">
        <f>YEAR(Tabela1[[#This Row],[Criado em]])</f>
        <v>2025</v>
      </c>
      <c r="AG433" s="25">
        <f>COUNTIFS(Tabela1[Mês],Tabela1[[#This Row],[Mês]])</f>
        <v>207</v>
      </c>
      <c r="AH433" s="25">
        <f>COUNTIFS(Tabela1[Mês],Tabela1[[#This Row],[Mês]],Tabela1[Fase atual],"Recebido")</f>
        <v>155</v>
      </c>
      <c r="AI433" s="26">
        <f>Tabela1[[#This Row],[Recebido_ Mes]]/Tabela1[[#This Row],[Total_Mes]]</f>
        <v>0.74879227053140096</v>
      </c>
      <c r="AJ433" s="19">
        <f>COUNTIFS(Tabela1[Fase atual],"Recebido",Tabela1[Mês],Tabela1[[#This Row],[Mês]],Tabela1[Ano],Tabela1[[#This Row],[Ano]])/COUNTIF(Tabela1[Mês],Tabela1[[#This Row],[Mês]])</f>
        <v>0.74879227053140096</v>
      </c>
      <c r="AK433" s="20">
        <f>100%</f>
        <v>1</v>
      </c>
    </row>
    <row r="434" spans="1:37" ht="18" customHeight="1" x14ac:dyDescent="0.25">
      <c r="A434">
        <v>1182151282</v>
      </c>
      <c r="B434" t="s">
        <v>1148</v>
      </c>
      <c r="C434" t="s">
        <v>1149</v>
      </c>
      <c r="D434" t="s">
        <v>37</v>
      </c>
      <c r="E434" t="s">
        <v>31</v>
      </c>
      <c r="F434" s="2">
        <v>45861.852069224537</v>
      </c>
      <c r="AC434" s="24">
        <f t="shared" ca="1" si="13"/>
        <v>272.14793077546346</v>
      </c>
      <c r="AD434" s="25" t="str">
        <f t="shared" ca="1" si="14"/>
        <v>&gt;60 dias</v>
      </c>
      <c r="AE434" s="25">
        <f>MONTH(Tabela1[[#This Row],[Criado em]])</f>
        <v>7</v>
      </c>
      <c r="AF434" s="25">
        <f>YEAR(Tabela1[[#This Row],[Criado em]])</f>
        <v>2025</v>
      </c>
      <c r="AG434" s="25">
        <f>COUNTIFS(Tabela1[Mês],Tabela1[[#This Row],[Mês]])</f>
        <v>177</v>
      </c>
      <c r="AH434" s="25">
        <f>COUNTIFS(Tabela1[Mês],Tabela1[[#This Row],[Mês]],Tabela1[Fase atual],"Recebido")</f>
        <v>130</v>
      </c>
      <c r="AI434" s="26">
        <f>Tabela1[[#This Row],[Recebido_ Mes]]/Tabela1[[#This Row],[Total_Mes]]</f>
        <v>0.7344632768361582</v>
      </c>
      <c r="AJ434" s="19">
        <f>COUNTIFS(Tabela1[Fase atual],"Recebido",Tabela1[Mês],Tabela1[[#This Row],[Mês]],Tabela1[Ano],Tabela1[[#This Row],[Ano]])/COUNTIF(Tabela1[Mês],Tabela1[[#This Row],[Mês]])</f>
        <v>0.7344632768361582</v>
      </c>
      <c r="AK434" s="20">
        <f>100%</f>
        <v>1</v>
      </c>
    </row>
    <row r="435" spans="1:37" ht="18" customHeight="1" x14ac:dyDescent="0.25">
      <c r="A435">
        <v>1280610829</v>
      </c>
      <c r="B435" t="s">
        <v>207</v>
      </c>
      <c r="C435" t="s">
        <v>208</v>
      </c>
      <c r="D435" t="s">
        <v>37</v>
      </c>
      <c r="E435" t="s">
        <v>31</v>
      </c>
      <c r="F435" s="2">
        <v>46034.797229837961</v>
      </c>
      <c r="AC435" s="24">
        <f t="shared" ca="1" si="13"/>
        <v>99.202770162039087</v>
      </c>
      <c r="AD435" s="25" t="str">
        <f t="shared" ca="1" si="14"/>
        <v>&gt;60 dias</v>
      </c>
      <c r="AE435" s="25">
        <f>MONTH(Tabela1[[#This Row],[Criado em]])</f>
        <v>1</v>
      </c>
      <c r="AF435" s="25">
        <f>YEAR(Tabela1[[#This Row],[Criado em]])</f>
        <v>2026</v>
      </c>
      <c r="AG435" s="25">
        <f>COUNTIFS(Tabela1[Mês],Tabela1[[#This Row],[Mês]])</f>
        <v>222</v>
      </c>
      <c r="AH435" s="25">
        <f>COUNTIFS(Tabela1[Mês],Tabela1[[#This Row],[Mês]],Tabela1[Fase atual],"Recebido")</f>
        <v>174</v>
      </c>
      <c r="AI435" s="26">
        <f>Tabela1[[#This Row],[Recebido_ Mes]]/Tabela1[[#This Row],[Total_Mes]]</f>
        <v>0.78378378378378377</v>
      </c>
      <c r="AJ435" s="19">
        <f>COUNTIFS(Tabela1[Fase atual],"Recebido",Tabela1[Mês],Tabela1[[#This Row],[Mês]],Tabela1[Ano],Tabela1[[#This Row],[Ano]])/COUNTIF(Tabela1[Mês],Tabela1[[#This Row],[Mês]])</f>
        <v>0.78378378378378377</v>
      </c>
      <c r="AK435" s="20">
        <f>100%</f>
        <v>1</v>
      </c>
    </row>
    <row r="436" spans="1:37" ht="18" customHeight="1" x14ac:dyDescent="0.25">
      <c r="A436">
        <v>1256482967</v>
      </c>
      <c r="B436" t="s">
        <v>1150</v>
      </c>
      <c r="C436" t="s">
        <v>1151</v>
      </c>
      <c r="D436" t="s">
        <v>37</v>
      </c>
      <c r="E436" t="s">
        <v>31</v>
      </c>
      <c r="F436" s="2">
        <v>45979.795160416666</v>
      </c>
      <c r="AC436" s="24">
        <f t="shared" ca="1" si="13"/>
        <v>154.20483958333352</v>
      </c>
      <c r="AD436" s="25" t="str">
        <f t="shared" ca="1" si="14"/>
        <v>&gt;60 dias</v>
      </c>
      <c r="AE436" s="25">
        <f>MONTH(Tabela1[[#This Row],[Criado em]])</f>
        <v>11</v>
      </c>
      <c r="AF436" s="25">
        <f>YEAR(Tabela1[[#This Row],[Criado em]])</f>
        <v>2025</v>
      </c>
      <c r="AG436" s="25">
        <f>COUNTIFS(Tabela1[Mês],Tabela1[[#This Row],[Mês]])</f>
        <v>130</v>
      </c>
      <c r="AH436" s="25">
        <f>COUNTIFS(Tabela1[Mês],Tabela1[[#This Row],[Mês]],Tabela1[Fase atual],"Recebido")</f>
        <v>100</v>
      </c>
      <c r="AI436" s="26">
        <f>Tabela1[[#This Row],[Recebido_ Mes]]/Tabela1[[#This Row],[Total_Mes]]</f>
        <v>0.76923076923076927</v>
      </c>
      <c r="AJ436" s="19">
        <f>COUNTIFS(Tabela1[Fase atual],"Recebido",Tabela1[Mês],Tabela1[[#This Row],[Mês]],Tabela1[Ano],Tabela1[[#This Row],[Ano]])/COUNTIF(Tabela1[Mês],Tabela1[[#This Row],[Mês]])</f>
        <v>0.76923076923076927</v>
      </c>
      <c r="AK436" s="20">
        <f>100%</f>
        <v>1</v>
      </c>
    </row>
    <row r="437" spans="1:37" ht="18" customHeight="1" x14ac:dyDescent="0.25">
      <c r="A437">
        <v>1174283351</v>
      </c>
      <c r="B437" t="s">
        <v>1152</v>
      </c>
      <c r="C437" t="s">
        <v>1153</v>
      </c>
      <c r="D437" t="s">
        <v>37</v>
      </c>
      <c r="E437" t="s">
        <v>31</v>
      </c>
      <c r="F437" s="2">
        <v>45848.851592453713</v>
      </c>
      <c r="AC437" s="24">
        <f t="shared" ca="1" si="13"/>
        <v>285.14840754628676</v>
      </c>
      <c r="AD437" s="25" t="str">
        <f t="shared" ca="1" si="14"/>
        <v>&gt;60 dias</v>
      </c>
      <c r="AE437" s="25">
        <f>MONTH(Tabela1[[#This Row],[Criado em]])</f>
        <v>7</v>
      </c>
      <c r="AF437" s="25">
        <f>YEAR(Tabela1[[#This Row],[Criado em]])</f>
        <v>2025</v>
      </c>
      <c r="AG437" s="25">
        <f>COUNTIFS(Tabela1[Mês],Tabela1[[#This Row],[Mês]])</f>
        <v>177</v>
      </c>
      <c r="AH437" s="25">
        <f>COUNTIFS(Tabela1[Mês],Tabela1[[#This Row],[Mês]],Tabela1[Fase atual],"Recebido")</f>
        <v>130</v>
      </c>
      <c r="AI437" s="26">
        <f>Tabela1[[#This Row],[Recebido_ Mes]]/Tabela1[[#This Row],[Total_Mes]]</f>
        <v>0.7344632768361582</v>
      </c>
      <c r="AJ437" s="19">
        <f>COUNTIFS(Tabela1[Fase atual],"Recebido",Tabela1[Mês],Tabela1[[#This Row],[Mês]],Tabela1[Ano],Tabela1[[#This Row],[Ano]])/COUNTIF(Tabela1[Mês],Tabela1[[#This Row],[Mês]])</f>
        <v>0.7344632768361582</v>
      </c>
      <c r="AK437" s="20">
        <f>100%</f>
        <v>1</v>
      </c>
    </row>
    <row r="438" spans="1:37" ht="18" customHeight="1" x14ac:dyDescent="0.25">
      <c r="A438">
        <v>1268639654</v>
      </c>
      <c r="B438" t="s">
        <v>1154</v>
      </c>
      <c r="C438" t="s">
        <v>1155</v>
      </c>
      <c r="D438" t="s">
        <v>40</v>
      </c>
      <c r="E438" t="s">
        <v>31</v>
      </c>
      <c r="F438" s="2">
        <v>46006.793464895833</v>
      </c>
      <c r="AC438" s="24">
        <f t="shared" ca="1" si="13"/>
        <v>127.20653510416741</v>
      </c>
      <c r="AD438" s="25" t="str">
        <f t="shared" ca="1" si="14"/>
        <v>&gt;60 dias</v>
      </c>
      <c r="AE438" s="25">
        <f>MONTH(Tabela1[[#This Row],[Criado em]])</f>
        <v>12</v>
      </c>
      <c r="AF438" s="25">
        <f>YEAR(Tabela1[[#This Row],[Criado em]])</f>
        <v>2025</v>
      </c>
      <c r="AG438" s="25">
        <f>COUNTIFS(Tabela1[Mês],Tabela1[[#This Row],[Mês]])</f>
        <v>207</v>
      </c>
      <c r="AH438" s="25">
        <f>COUNTIFS(Tabela1[Mês],Tabela1[[#This Row],[Mês]],Tabela1[Fase atual],"Recebido")</f>
        <v>155</v>
      </c>
      <c r="AI438" s="26">
        <f>Tabela1[[#This Row],[Recebido_ Mes]]/Tabela1[[#This Row],[Total_Mes]]</f>
        <v>0.74879227053140096</v>
      </c>
      <c r="AJ438" s="19">
        <f>COUNTIFS(Tabela1[Fase atual],"Recebido",Tabela1[Mês],Tabela1[[#This Row],[Mês]],Tabela1[Ano],Tabela1[[#This Row],[Ano]])/COUNTIF(Tabela1[Mês],Tabela1[[#This Row],[Mês]])</f>
        <v>0.74879227053140096</v>
      </c>
      <c r="AK438" s="20">
        <f>100%</f>
        <v>1</v>
      </c>
    </row>
    <row r="439" spans="1:37" ht="18" customHeight="1" x14ac:dyDescent="0.25">
      <c r="A439">
        <v>1229141819</v>
      </c>
      <c r="B439" t="s">
        <v>1156</v>
      </c>
      <c r="C439" t="s">
        <v>1157</v>
      </c>
      <c r="D439" t="s">
        <v>37</v>
      </c>
      <c r="E439" t="s">
        <v>31</v>
      </c>
      <c r="F439" s="2">
        <v>45936.851320312497</v>
      </c>
      <c r="AC439" s="24">
        <f t="shared" ca="1" si="13"/>
        <v>197.14867968750332</v>
      </c>
      <c r="AD439" s="25" t="str">
        <f t="shared" ca="1" si="14"/>
        <v>&gt;60 dias</v>
      </c>
      <c r="AE439" s="25">
        <f>MONTH(Tabela1[[#This Row],[Criado em]])</f>
        <v>10</v>
      </c>
      <c r="AF439" s="25">
        <f>YEAR(Tabela1[[#This Row],[Criado em]])</f>
        <v>2025</v>
      </c>
      <c r="AG439" s="25">
        <f>COUNTIFS(Tabela1[Mês],Tabela1[[#This Row],[Mês]])</f>
        <v>196</v>
      </c>
      <c r="AH439" s="25">
        <f>COUNTIFS(Tabela1[Mês],Tabela1[[#This Row],[Mês]],Tabela1[Fase atual],"Recebido")</f>
        <v>138</v>
      </c>
      <c r="AI439" s="26">
        <f>Tabela1[[#This Row],[Recebido_ Mes]]/Tabela1[[#This Row],[Total_Mes]]</f>
        <v>0.70408163265306123</v>
      </c>
      <c r="AJ439" s="19">
        <f>COUNTIFS(Tabela1[Fase atual],"Recebido",Tabela1[Mês],Tabela1[[#This Row],[Mês]],Tabela1[Ano],Tabela1[[#This Row],[Ano]])/COUNTIF(Tabela1[Mês],Tabela1[[#This Row],[Mês]])</f>
        <v>0.70408163265306123</v>
      </c>
      <c r="AK439" s="20">
        <f>100%</f>
        <v>1</v>
      </c>
    </row>
    <row r="440" spans="1:37" ht="18" customHeight="1" x14ac:dyDescent="0.25">
      <c r="A440">
        <v>1270228564</v>
      </c>
      <c r="B440" t="s">
        <v>1105</v>
      </c>
      <c r="C440" t="s">
        <v>1158</v>
      </c>
      <c r="D440" t="s">
        <v>37</v>
      </c>
      <c r="E440" t="s">
        <v>31</v>
      </c>
      <c r="F440" s="2">
        <v>46009.844663865748</v>
      </c>
      <c r="AC440" s="24">
        <f t="shared" ca="1" si="13"/>
        <v>124.15533613425214</v>
      </c>
      <c r="AD440" s="25" t="str">
        <f t="shared" ca="1" si="14"/>
        <v>&gt;60 dias</v>
      </c>
      <c r="AE440" s="25">
        <f>MONTH(Tabela1[[#This Row],[Criado em]])</f>
        <v>12</v>
      </c>
      <c r="AF440" s="25">
        <f>YEAR(Tabela1[[#This Row],[Criado em]])</f>
        <v>2025</v>
      </c>
      <c r="AG440" s="25">
        <f>COUNTIFS(Tabela1[Mês],Tabela1[[#This Row],[Mês]])</f>
        <v>207</v>
      </c>
      <c r="AH440" s="25">
        <f>COUNTIFS(Tabela1[Mês],Tabela1[[#This Row],[Mês]],Tabela1[Fase atual],"Recebido")</f>
        <v>155</v>
      </c>
      <c r="AI440" s="26">
        <f>Tabela1[[#This Row],[Recebido_ Mes]]/Tabela1[[#This Row],[Total_Mes]]</f>
        <v>0.74879227053140096</v>
      </c>
      <c r="AJ440" s="19">
        <f>COUNTIFS(Tabela1[Fase atual],"Recebido",Tabela1[Mês],Tabela1[[#This Row],[Mês]],Tabela1[Ano],Tabela1[[#This Row],[Ano]])/COUNTIF(Tabela1[Mês],Tabela1[[#This Row],[Mês]])</f>
        <v>0.74879227053140096</v>
      </c>
      <c r="AK440" s="20">
        <f>100%</f>
        <v>1</v>
      </c>
    </row>
    <row r="441" spans="1:37" ht="18" customHeight="1" x14ac:dyDescent="0.25">
      <c r="A441">
        <v>1197313902</v>
      </c>
      <c r="B441" t="s">
        <v>1105</v>
      </c>
      <c r="C441" t="s">
        <v>1158</v>
      </c>
      <c r="D441" t="s">
        <v>37</v>
      </c>
      <c r="E441" t="s">
        <v>31</v>
      </c>
      <c r="F441" s="2">
        <v>45887.850463634248</v>
      </c>
      <c r="AC441" s="24">
        <f t="shared" ca="1" si="13"/>
        <v>246.14953636575228</v>
      </c>
      <c r="AD441" s="25" t="str">
        <f t="shared" ca="1" si="14"/>
        <v>&gt;60 dias</v>
      </c>
      <c r="AE441" s="25">
        <f>MONTH(Tabela1[[#This Row],[Criado em]])</f>
        <v>8</v>
      </c>
      <c r="AF441" s="25">
        <f>YEAR(Tabela1[[#This Row],[Criado em]])</f>
        <v>2025</v>
      </c>
      <c r="AG441" s="25">
        <f>COUNTIFS(Tabela1[Mês],Tabela1[[#This Row],[Mês]])</f>
        <v>146</v>
      </c>
      <c r="AH441" s="25">
        <f>COUNTIFS(Tabela1[Mês],Tabela1[[#This Row],[Mês]],Tabela1[Fase atual],"Recebido")</f>
        <v>115</v>
      </c>
      <c r="AI441" s="26">
        <f>Tabela1[[#This Row],[Recebido_ Mes]]/Tabela1[[#This Row],[Total_Mes]]</f>
        <v>0.78767123287671237</v>
      </c>
      <c r="AJ441" s="19">
        <f>COUNTIFS(Tabela1[Fase atual],"Recebido",Tabela1[Mês],Tabela1[[#This Row],[Mês]],Tabela1[Ano],Tabela1[[#This Row],[Ano]])/COUNTIF(Tabela1[Mês],Tabela1[[#This Row],[Mês]])</f>
        <v>0.78767123287671237</v>
      </c>
      <c r="AK441" s="20">
        <f>100%</f>
        <v>1</v>
      </c>
    </row>
    <row r="442" spans="1:37" ht="18" customHeight="1" x14ac:dyDescent="0.25">
      <c r="A442">
        <v>1285964783</v>
      </c>
      <c r="B442" t="s">
        <v>209</v>
      </c>
      <c r="C442" t="s">
        <v>210</v>
      </c>
      <c r="D442" t="s">
        <v>34</v>
      </c>
      <c r="E442" t="s">
        <v>31</v>
      </c>
      <c r="F442" s="2">
        <v>46044.796397777784</v>
      </c>
      <c r="AC442" s="24">
        <f t="shared" ca="1" si="13"/>
        <v>89.203602222216432</v>
      </c>
      <c r="AD442" s="25" t="str">
        <f t="shared" ca="1" si="14"/>
        <v>&gt;60 dias</v>
      </c>
      <c r="AE442" s="25">
        <f>MONTH(Tabela1[[#This Row],[Criado em]])</f>
        <v>1</v>
      </c>
      <c r="AF442" s="25">
        <f>YEAR(Tabela1[[#This Row],[Criado em]])</f>
        <v>2026</v>
      </c>
      <c r="AG442" s="25">
        <f>COUNTIFS(Tabela1[Mês],Tabela1[[#This Row],[Mês]])</f>
        <v>222</v>
      </c>
      <c r="AH442" s="25">
        <f>COUNTIFS(Tabela1[Mês],Tabela1[[#This Row],[Mês]],Tabela1[Fase atual],"Recebido")</f>
        <v>174</v>
      </c>
      <c r="AI442" s="26">
        <f>Tabela1[[#This Row],[Recebido_ Mes]]/Tabela1[[#This Row],[Total_Mes]]</f>
        <v>0.78378378378378377</v>
      </c>
      <c r="AJ442" s="19">
        <f>COUNTIFS(Tabela1[Fase atual],"Recebido",Tabela1[Mês],Tabela1[[#This Row],[Mês]],Tabela1[Ano],Tabela1[[#This Row],[Ano]])/COUNTIF(Tabela1[Mês],Tabela1[[#This Row],[Mês]])</f>
        <v>0.78378378378378377</v>
      </c>
      <c r="AK442" s="20">
        <f>100%</f>
        <v>1</v>
      </c>
    </row>
    <row r="443" spans="1:37" ht="18" customHeight="1" x14ac:dyDescent="0.25">
      <c r="A443">
        <v>1280609412</v>
      </c>
      <c r="B443" t="s">
        <v>209</v>
      </c>
      <c r="C443" t="s">
        <v>211</v>
      </c>
      <c r="D443" t="s">
        <v>37</v>
      </c>
      <c r="E443" t="s">
        <v>31</v>
      </c>
      <c r="F443" s="2">
        <v>46034.79637773148</v>
      </c>
      <c r="AC443" s="24">
        <f t="shared" ca="1" si="13"/>
        <v>99.203622268520121</v>
      </c>
      <c r="AD443" s="25" t="str">
        <f t="shared" ca="1" si="14"/>
        <v>&gt;60 dias</v>
      </c>
      <c r="AE443" s="25">
        <f>MONTH(Tabela1[[#This Row],[Criado em]])</f>
        <v>1</v>
      </c>
      <c r="AF443" s="25">
        <f>YEAR(Tabela1[[#This Row],[Criado em]])</f>
        <v>2026</v>
      </c>
      <c r="AG443" s="25">
        <f>COUNTIFS(Tabela1[Mês],Tabela1[[#This Row],[Mês]])</f>
        <v>222</v>
      </c>
      <c r="AH443" s="25">
        <f>COUNTIFS(Tabela1[Mês],Tabela1[[#This Row],[Mês]],Tabela1[Fase atual],"Recebido")</f>
        <v>174</v>
      </c>
      <c r="AI443" s="26">
        <f>Tabela1[[#This Row],[Recebido_ Mes]]/Tabela1[[#This Row],[Total_Mes]]</f>
        <v>0.78378378378378377</v>
      </c>
      <c r="AJ443" s="19">
        <f>COUNTIFS(Tabela1[Fase atual],"Recebido",Tabela1[Mês],Tabela1[[#This Row],[Mês]],Tabela1[Ano],Tabela1[[#This Row],[Ano]])/COUNTIF(Tabela1[Mês],Tabela1[[#This Row],[Mês]])</f>
        <v>0.78378378378378377</v>
      </c>
      <c r="AK443" s="20">
        <f>100%</f>
        <v>1</v>
      </c>
    </row>
    <row r="444" spans="1:37" ht="18" customHeight="1" x14ac:dyDescent="0.25">
      <c r="A444">
        <v>1208427565</v>
      </c>
      <c r="B444" t="s">
        <v>953</v>
      </c>
      <c r="C444" t="s">
        <v>1159</v>
      </c>
      <c r="D444" t="s">
        <v>37</v>
      </c>
      <c r="E444" t="s">
        <v>31</v>
      </c>
      <c r="F444" s="2">
        <v>45904.851902974537</v>
      </c>
      <c r="AC444" s="24">
        <f t="shared" ca="1" si="13"/>
        <v>229.14809702546336</v>
      </c>
      <c r="AD444" s="25" t="str">
        <f t="shared" ca="1" si="14"/>
        <v>&gt;60 dias</v>
      </c>
      <c r="AE444" s="25">
        <f>MONTH(Tabela1[[#This Row],[Criado em]])</f>
        <v>9</v>
      </c>
      <c r="AF444" s="25">
        <f>YEAR(Tabela1[[#This Row],[Criado em]])</f>
        <v>2025</v>
      </c>
      <c r="AG444" s="25">
        <f>COUNTIFS(Tabela1[Mês],Tabela1[[#This Row],[Mês]])</f>
        <v>197</v>
      </c>
      <c r="AH444" s="25">
        <f>COUNTIFS(Tabela1[Mês],Tabela1[[#This Row],[Mês]],Tabela1[Fase atual],"Recebido")</f>
        <v>152</v>
      </c>
      <c r="AI444" s="26">
        <f>Tabela1[[#This Row],[Recebido_ Mes]]/Tabela1[[#This Row],[Total_Mes]]</f>
        <v>0.77157360406091369</v>
      </c>
      <c r="AJ444" s="19">
        <f>COUNTIFS(Tabela1[Fase atual],"Recebido",Tabela1[Mês],Tabela1[[#This Row],[Mês]],Tabela1[Ano],Tabela1[[#This Row],[Ano]])/COUNTIF(Tabela1[Mês],Tabela1[[#This Row],[Mês]])</f>
        <v>0.77157360406091369</v>
      </c>
      <c r="AK444" s="20">
        <f>100%</f>
        <v>1</v>
      </c>
    </row>
    <row r="445" spans="1:37" ht="18" customHeight="1" x14ac:dyDescent="0.25">
      <c r="A445">
        <v>1179016160</v>
      </c>
      <c r="B445" t="s">
        <v>1160</v>
      </c>
      <c r="C445" t="s">
        <v>1161</v>
      </c>
      <c r="D445" t="s">
        <v>37</v>
      </c>
      <c r="E445" t="s">
        <v>31</v>
      </c>
      <c r="F445" s="2">
        <v>45856.852101134253</v>
      </c>
      <c r="AC445" s="24">
        <f t="shared" ca="1" si="13"/>
        <v>277.14789886574727</v>
      </c>
      <c r="AD445" s="25" t="str">
        <f t="shared" ca="1" si="14"/>
        <v>&gt;60 dias</v>
      </c>
      <c r="AE445" s="25">
        <f>MONTH(Tabela1[[#This Row],[Criado em]])</f>
        <v>7</v>
      </c>
      <c r="AF445" s="25">
        <f>YEAR(Tabela1[[#This Row],[Criado em]])</f>
        <v>2025</v>
      </c>
      <c r="AG445" s="25">
        <f>COUNTIFS(Tabela1[Mês],Tabela1[[#This Row],[Mês]])</f>
        <v>177</v>
      </c>
      <c r="AH445" s="25">
        <f>COUNTIFS(Tabela1[Mês],Tabela1[[#This Row],[Mês]],Tabela1[Fase atual],"Recebido")</f>
        <v>130</v>
      </c>
      <c r="AI445" s="26">
        <f>Tabela1[[#This Row],[Recebido_ Mes]]/Tabela1[[#This Row],[Total_Mes]]</f>
        <v>0.7344632768361582</v>
      </c>
      <c r="AJ445" s="19">
        <f>COUNTIFS(Tabela1[Fase atual],"Recebido",Tabela1[Mês],Tabela1[[#This Row],[Mês]],Tabela1[Ano],Tabela1[[#This Row],[Ano]])/COUNTIF(Tabela1[Mês],Tabela1[[#This Row],[Mês]])</f>
        <v>0.7344632768361582</v>
      </c>
      <c r="AK445" s="20">
        <f>100%</f>
        <v>1</v>
      </c>
    </row>
    <row r="446" spans="1:37" ht="18" customHeight="1" x14ac:dyDescent="0.25">
      <c r="A446">
        <v>1174960494</v>
      </c>
      <c r="B446" t="s">
        <v>1160</v>
      </c>
      <c r="C446" t="s">
        <v>1161</v>
      </c>
      <c r="D446" t="s">
        <v>37</v>
      </c>
      <c r="E446" t="s">
        <v>31</v>
      </c>
      <c r="F446" s="2">
        <v>45849.851461724538</v>
      </c>
      <c r="AC446" s="24">
        <f t="shared" ca="1" si="13"/>
        <v>284.14853827546176</v>
      </c>
      <c r="AD446" s="25" t="str">
        <f t="shared" ca="1" si="14"/>
        <v>&gt;60 dias</v>
      </c>
      <c r="AE446" s="25">
        <f>MONTH(Tabela1[[#This Row],[Criado em]])</f>
        <v>7</v>
      </c>
      <c r="AF446" s="25">
        <f>YEAR(Tabela1[[#This Row],[Criado em]])</f>
        <v>2025</v>
      </c>
      <c r="AG446" s="25">
        <f>COUNTIFS(Tabela1[Mês],Tabela1[[#This Row],[Mês]])</f>
        <v>177</v>
      </c>
      <c r="AH446" s="25">
        <f>COUNTIFS(Tabela1[Mês],Tabela1[[#This Row],[Mês]],Tabela1[Fase atual],"Recebido")</f>
        <v>130</v>
      </c>
      <c r="AI446" s="26">
        <f>Tabela1[[#This Row],[Recebido_ Mes]]/Tabela1[[#This Row],[Total_Mes]]</f>
        <v>0.7344632768361582</v>
      </c>
      <c r="AJ446" s="19">
        <f>COUNTIFS(Tabela1[Fase atual],"Recebido",Tabela1[Mês],Tabela1[[#This Row],[Mês]],Tabela1[Ano],Tabela1[[#This Row],[Ano]])/COUNTIF(Tabela1[Mês],Tabela1[[#This Row],[Mês]])</f>
        <v>0.7344632768361582</v>
      </c>
      <c r="AK446" s="20">
        <f>100%</f>
        <v>1</v>
      </c>
    </row>
    <row r="447" spans="1:37" ht="18" customHeight="1" x14ac:dyDescent="0.25">
      <c r="A447">
        <v>1182149699</v>
      </c>
      <c r="B447" t="s">
        <v>1160</v>
      </c>
      <c r="C447" t="s">
        <v>1162</v>
      </c>
      <c r="D447" t="s">
        <v>37</v>
      </c>
      <c r="E447" t="s">
        <v>31</v>
      </c>
      <c r="F447" s="2">
        <v>45861.851334502309</v>
      </c>
      <c r="AC447" s="24">
        <f t="shared" ca="1" si="13"/>
        <v>272.14866549769067</v>
      </c>
      <c r="AD447" s="25" t="str">
        <f t="shared" ca="1" si="14"/>
        <v>&gt;60 dias</v>
      </c>
      <c r="AE447" s="25">
        <f>MONTH(Tabela1[[#This Row],[Criado em]])</f>
        <v>7</v>
      </c>
      <c r="AF447" s="25">
        <f>YEAR(Tabela1[[#This Row],[Criado em]])</f>
        <v>2025</v>
      </c>
      <c r="AG447" s="25">
        <f>COUNTIFS(Tabela1[Mês],Tabela1[[#This Row],[Mês]])</f>
        <v>177</v>
      </c>
      <c r="AH447" s="25">
        <f>COUNTIFS(Tabela1[Mês],Tabela1[[#This Row],[Mês]],Tabela1[Fase atual],"Recebido")</f>
        <v>130</v>
      </c>
      <c r="AI447" s="26">
        <f>Tabela1[[#This Row],[Recebido_ Mes]]/Tabela1[[#This Row],[Total_Mes]]</f>
        <v>0.7344632768361582</v>
      </c>
      <c r="AJ447" s="19">
        <f>COUNTIFS(Tabela1[Fase atual],"Recebido",Tabela1[Mês],Tabela1[[#This Row],[Mês]],Tabela1[Ano],Tabela1[[#This Row],[Ano]])/COUNTIF(Tabela1[Mês],Tabela1[[#This Row],[Mês]])</f>
        <v>0.7344632768361582</v>
      </c>
      <c r="AK447" s="20">
        <f>100%</f>
        <v>1</v>
      </c>
    </row>
    <row r="448" spans="1:37" ht="18" customHeight="1" x14ac:dyDescent="0.25">
      <c r="A448">
        <v>1238634042</v>
      </c>
      <c r="B448" t="s">
        <v>1163</v>
      </c>
      <c r="C448" t="s">
        <v>1164</v>
      </c>
      <c r="D448" t="s">
        <v>40</v>
      </c>
      <c r="E448" t="s">
        <v>31</v>
      </c>
      <c r="F448" s="2">
        <v>45947.921017696761</v>
      </c>
      <c r="AC448" s="24">
        <f t="shared" ca="1" si="13"/>
        <v>186.07898230323917</v>
      </c>
      <c r="AD448" s="25" t="str">
        <f t="shared" ca="1" si="14"/>
        <v>&gt;60 dias</v>
      </c>
      <c r="AE448" s="25">
        <f>MONTH(Tabela1[[#This Row],[Criado em]])</f>
        <v>10</v>
      </c>
      <c r="AF448" s="25">
        <f>YEAR(Tabela1[[#This Row],[Criado em]])</f>
        <v>2025</v>
      </c>
      <c r="AG448" s="25">
        <f>COUNTIFS(Tabela1[Mês],Tabela1[[#This Row],[Mês]])</f>
        <v>196</v>
      </c>
      <c r="AH448" s="25">
        <f>COUNTIFS(Tabela1[Mês],Tabela1[[#This Row],[Mês]],Tabela1[Fase atual],"Recebido")</f>
        <v>138</v>
      </c>
      <c r="AI448" s="26">
        <f>Tabela1[[#This Row],[Recebido_ Mes]]/Tabela1[[#This Row],[Total_Mes]]</f>
        <v>0.70408163265306123</v>
      </c>
      <c r="AJ448" s="19">
        <f>COUNTIFS(Tabela1[Fase atual],"Recebido",Tabela1[Mês],Tabela1[[#This Row],[Mês]],Tabela1[Ano],Tabela1[[#This Row],[Ano]])/COUNTIF(Tabela1[Mês],Tabela1[[#This Row],[Mês]])</f>
        <v>0.70408163265306123</v>
      </c>
      <c r="AK448" s="20">
        <f>100%</f>
        <v>1</v>
      </c>
    </row>
    <row r="449" spans="1:37" ht="18" customHeight="1" x14ac:dyDescent="0.25">
      <c r="A449">
        <v>1248047406</v>
      </c>
      <c r="B449" t="s">
        <v>1163</v>
      </c>
      <c r="C449" t="s">
        <v>1164</v>
      </c>
      <c r="D449" t="s">
        <v>40</v>
      </c>
      <c r="E449" t="s">
        <v>31</v>
      </c>
      <c r="F449" s="2">
        <v>45961.627414652772</v>
      </c>
      <c r="AC449" s="24">
        <f t="shared" ca="1" si="13"/>
        <v>172.37258534722787</v>
      </c>
      <c r="AD449" s="25" t="str">
        <f t="shared" ca="1" si="14"/>
        <v>&gt;60 dias</v>
      </c>
      <c r="AE449" s="25">
        <f>MONTH(Tabela1[[#This Row],[Criado em]])</f>
        <v>10</v>
      </c>
      <c r="AF449" s="25">
        <f>YEAR(Tabela1[[#This Row],[Criado em]])</f>
        <v>2025</v>
      </c>
      <c r="AG449" s="25">
        <f>COUNTIFS(Tabela1[Mês],Tabela1[[#This Row],[Mês]])</f>
        <v>196</v>
      </c>
      <c r="AH449" s="25">
        <f>COUNTIFS(Tabela1[Mês],Tabela1[[#This Row],[Mês]],Tabela1[Fase atual],"Recebido")</f>
        <v>138</v>
      </c>
      <c r="AI449" s="26">
        <f>Tabela1[[#This Row],[Recebido_ Mes]]/Tabela1[[#This Row],[Total_Mes]]</f>
        <v>0.70408163265306123</v>
      </c>
      <c r="AJ449" s="19">
        <f>COUNTIFS(Tabela1[Fase atual],"Recebido",Tabela1[Mês],Tabela1[[#This Row],[Mês]],Tabela1[Ano],Tabela1[[#This Row],[Ano]])/COUNTIF(Tabela1[Mês],Tabela1[[#This Row],[Mês]])</f>
        <v>0.70408163265306123</v>
      </c>
      <c r="AK449" s="20">
        <f>100%</f>
        <v>1</v>
      </c>
    </row>
    <row r="450" spans="1:37" ht="18" customHeight="1" x14ac:dyDescent="0.25">
      <c r="A450">
        <v>1282778798</v>
      </c>
      <c r="B450" t="s">
        <v>212</v>
      </c>
      <c r="C450" t="s">
        <v>213</v>
      </c>
      <c r="D450" t="s">
        <v>37</v>
      </c>
      <c r="E450" t="s">
        <v>31</v>
      </c>
      <c r="F450" s="2">
        <v>46038.547628217602</v>
      </c>
      <c r="AC450" s="24">
        <f t="shared" ca="1" si="13"/>
        <v>95.452371782397677</v>
      </c>
      <c r="AD450" s="25" t="str">
        <f t="shared" ca="1" si="14"/>
        <v>&gt;60 dias</v>
      </c>
      <c r="AE450" s="25">
        <f>MONTH(Tabela1[[#This Row],[Criado em]])</f>
        <v>1</v>
      </c>
      <c r="AF450" s="25">
        <f>YEAR(Tabela1[[#This Row],[Criado em]])</f>
        <v>2026</v>
      </c>
      <c r="AG450" s="25">
        <f>COUNTIFS(Tabela1[Mês],Tabela1[[#This Row],[Mês]])</f>
        <v>222</v>
      </c>
      <c r="AH450" s="25">
        <f>COUNTIFS(Tabela1[Mês],Tabela1[[#This Row],[Mês]],Tabela1[Fase atual],"Recebido")</f>
        <v>174</v>
      </c>
      <c r="AI450" s="26">
        <f>Tabela1[[#This Row],[Recebido_ Mes]]/Tabela1[[#This Row],[Total_Mes]]</f>
        <v>0.78378378378378377</v>
      </c>
      <c r="AJ450" s="19">
        <f>COUNTIFS(Tabela1[Fase atual],"Recebido",Tabela1[Mês],Tabela1[[#This Row],[Mês]],Tabela1[Ano],Tabela1[[#This Row],[Ano]])/COUNTIF(Tabela1[Mês],Tabela1[[#This Row],[Mês]])</f>
        <v>0.78378378378378377</v>
      </c>
      <c r="AK450" s="20">
        <f>100%</f>
        <v>1</v>
      </c>
    </row>
    <row r="451" spans="1:37" ht="18" customHeight="1" x14ac:dyDescent="0.25">
      <c r="A451">
        <v>1217728349</v>
      </c>
      <c r="B451" t="s">
        <v>212</v>
      </c>
      <c r="C451" t="s">
        <v>1165</v>
      </c>
      <c r="D451" t="s">
        <v>37</v>
      </c>
      <c r="E451" t="s">
        <v>31</v>
      </c>
      <c r="F451" s="2">
        <v>45920.643496249999</v>
      </c>
      <c r="AC451" s="24">
        <f t="shared" ref="AC451:AC514" ca="1" si="15">TODAY() - F451</f>
        <v>213.35650375000114</v>
      </c>
      <c r="AD451" s="25" t="str">
        <f t="shared" ref="AD451:AD514" ca="1" si="16">IF(AC451&lt;=14,"0-14 dias",
IF(AC451&lt;=19,"15-19 dias",
IF(AC451&lt;=24,"20-24 dias",
IF(AC451&lt;=30,"25-30 dias",
IF(AC451&lt;=60,"31-60 dias",
"&gt;60 dias")))))</f>
        <v>&gt;60 dias</v>
      </c>
      <c r="AE451" s="25">
        <f>MONTH(Tabela1[[#This Row],[Criado em]])</f>
        <v>9</v>
      </c>
      <c r="AF451" s="25">
        <f>YEAR(Tabela1[[#This Row],[Criado em]])</f>
        <v>2025</v>
      </c>
      <c r="AG451" s="25">
        <f>COUNTIFS(Tabela1[Mês],Tabela1[[#This Row],[Mês]])</f>
        <v>197</v>
      </c>
      <c r="AH451" s="25">
        <f>COUNTIFS(Tabela1[Mês],Tabela1[[#This Row],[Mês]],Tabela1[Fase atual],"Recebido")</f>
        <v>152</v>
      </c>
      <c r="AI451" s="26">
        <f>Tabela1[[#This Row],[Recebido_ Mes]]/Tabela1[[#This Row],[Total_Mes]]</f>
        <v>0.77157360406091369</v>
      </c>
      <c r="AJ451" s="19">
        <f>COUNTIFS(Tabela1[Fase atual],"Recebido",Tabela1[Mês],Tabela1[[#This Row],[Mês]],Tabela1[Ano],Tabela1[[#This Row],[Ano]])/COUNTIF(Tabela1[Mês],Tabela1[[#This Row],[Mês]])</f>
        <v>0.77157360406091369</v>
      </c>
      <c r="AK451" s="20">
        <f>100%</f>
        <v>1</v>
      </c>
    </row>
    <row r="452" spans="1:37" ht="18" customHeight="1" x14ac:dyDescent="0.25">
      <c r="A452">
        <v>1238505763</v>
      </c>
      <c r="B452" t="s">
        <v>689</v>
      </c>
      <c r="C452" t="s">
        <v>215</v>
      </c>
      <c r="D452" t="s">
        <v>37</v>
      </c>
      <c r="E452" t="s">
        <v>31</v>
      </c>
      <c r="F452" s="2">
        <v>45947.796257326387</v>
      </c>
      <c r="AC452" s="24">
        <f t="shared" ca="1" si="15"/>
        <v>186.20374267361331</v>
      </c>
      <c r="AD452" s="25" t="str">
        <f t="shared" ca="1" si="16"/>
        <v>&gt;60 dias</v>
      </c>
      <c r="AE452" s="25">
        <f>MONTH(Tabela1[[#This Row],[Criado em]])</f>
        <v>10</v>
      </c>
      <c r="AF452" s="25">
        <f>YEAR(Tabela1[[#This Row],[Criado em]])</f>
        <v>2025</v>
      </c>
      <c r="AG452" s="25">
        <f>COUNTIFS(Tabela1[Mês],Tabela1[[#This Row],[Mês]])</f>
        <v>196</v>
      </c>
      <c r="AH452" s="25">
        <f>COUNTIFS(Tabela1[Mês],Tabela1[[#This Row],[Mês]],Tabela1[Fase atual],"Recebido")</f>
        <v>138</v>
      </c>
      <c r="AI452" s="26">
        <f>Tabela1[[#This Row],[Recebido_ Mes]]/Tabela1[[#This Row],[Total_Mes]]</f>
        <v>0.70408163265306123</v>
      </c>
      <c r="AJ452" s="19">
        <f>COUNTIFS(Tabela1[Fase atual],"Recebido",Tabela1[Mês],Tabela1[[#This Row],[Mês]],Tabela1[Ano],Tabela1[[#This Row],[Ano]])/COUNTIF(Tabela1[Mês],Tabela1[[#This Row],[Mês]])</f>
        <v>0.70408163265306123</v>
      </c>
      <c r="AK452" s="20">
        <f>100%</f>
        <v>1</v>
      </c>
    </row>
    <row r="453" spans="1:37" ht="18" customHeight="1" x14ac:dyDescent="0.25">
      <c r="A453">
        <v>1294319343</v>
      </c>
      <c r="B453" t="s">
        <v>214</v>
      </c>
      <c r="C453" t="s">
        <v>215</v>
      </c>
      <c r="D453" t="s">
        <v>202</v>
      </c>
      <c r="E453" t="s">
        <v>31</v>
      </c>
      <c r="F453" s="2">
        <v>46059.606592569442</v>
      </c>
      <c r="AC453" s="24">
        <f t="shared" ca="1" si="15"/>
        <v>74.393407430558</v>
      </c>
      <c r="AD453" s="25" t="str">
        <f t="shared" ca="1" si="16"/>
        <v>&gt;60 dias</v>
      </c>
      <c r="AE453" s="25">
        <f>MONTH(Tabela1[[#This Row],[Criado em]])</f>
        <v>2</v>
      </c>
      <c r="AF453" s="25">
        <f>YEAR(Tabela1[[#This Row],[Criado em]])</f>
        <v>2026</v>
      </c>
      <c r="AG453" s="25">
        <f>COUNTIFS(Tabela1[Mês],Tabela1[[#This Row],[Mês]])</f>
        <v>197</v>
      </c>
      <c r="AH453" s="25">
        <f>COUNTIFS(Tabela1[Mês],Tabela1[[#This Row],[Mês]],Tabela1[Fase atual],"Recebido")</f>
        <v>124</v>
      </c>
      <c r="AI453" s="26">
        <f>Tabela1[[#This Row],[Recebido_ Mes]]/Tabela1[[#This Row],[Total_Mes]]</f>
        <v>0.62944162436548223</v>
      </c>
      <c r="AJ453" s="19">
        <f>COUNTIFS(Tabela1[Fase atual],"Recebido",Tabela1[Mês],Tabela1[[#This Row],[Mês]],Tabela1[Ano],Tabela1[[#This Row],[Ano]])/COUNTIF(Tabela1[Mês],Tabela1[[#This Row],[Mês]])</f>
        <v>0.62944162436548223</v>
      </c>
      <c r="AK453" s="20">
        <f>100%</f>
        <v>1</v>
      </c>
    </row>
    <row r="454" spans="1:37" ht="18" customHeight="1" x14ac:dyDescent="0.25">
      <c r="A454">
        <v>1172114292</v>
      </c>
      <c r="B454" t="s">
        <v>1166</v>
      </c>
      <c r="C454" t="s">
        <v>1167</v>
      </c>
      <c r="D454" t="s">
        <v>37</v>
      </c>
      <c r="E454" t="s">
        <v>31</v>
      </c>
      <c r="F454" s="2">
        <v>45843.644080162027</v>
      </c>
      <c r="AC454" s="24">
        <f t="shared" ca="1" si="15"/>
        <v>290.35591983797349</v>
      </c>
      <c r="AD454" s="25" t="str">
        <f t="shared" ca="1" si="16"/>
        <v>&gt;60 dias</v>
      </c>
      <c r="AE454" s="25">
        <f>MONTH(Tabela1[[#This Row],[Criado em]])</f>
        <v>7</v>
      </c>
      <c r="AF454" s="25">
        <f>YEAR(Tabela1[[#This Row],[Criado em]])</f>
        <v>2025</v>
      </c>
      <c r="AG454" s="25">
        <f>COUNTIFS(Tabela1[Mês],Tabela1[[#This Row],[Mês]])</f>
        <v>177</v>
      </c>
      <c r="AH454" s="25">
        <f>COUNTIFS(Tabela1[Mês],Tabela1[[#This Row],[Mês]],Tabela1[Fase atual],"Recebido")</f>
        <v>130</v>
      </c>
      <c r="AI454" s="26">
        <f>Tabela1[[#This Row],[Recebido_ Mes]]/Tabela1[[#This Row],[Total_Mes]]</f>
        <v>0.7344632768361582</v>
      </c>
      <c r="AJ454" s="19">
        <f>COUNTIFS(Tabela1[Fase atual],"Recebido",Tabela1[Mês],Tabela1[[#This Row],[Mês]],Tabela1[Ano],Tabela1[[#This Row],[Ano]])/COUNTIF(Tabela1[Mês],Tabela1[[#This Row],[Mês]])</f>
        <v>0.7344632768361582</v>
      </c>
      <c r="AK454" s="20">
        <f>100%</f>
        <v>1</v>
      </c>
    </row>
    <row r="455" spans="1:37" ht="18" customHeight="1" x14ac:dyDescent="0.25">
      <c r="A455">
        <v>1269670416</v>
      </c>
      <c r="B455" t="s">
        <v>1168</v>
      </c>
      <c r="C455" t="s">
        <v>1169</v>
      </c>
      <c r="D455" t="s">
        <v>37</v>
      </c>
      <c r="E455" t="s">
        <v>31</v>
      </c>
      <c r="F455" s="2">
        <v>46008.797245925933</v>
      </c>
      <c r="AC455" s="24">
        <f t="shared" ca="1" si="15"/>
        <v>125.20275407406734</v>
      </c>
      <c r="AD455" s="25" t="str">
        <f t="shared" ca="1" si="16"/>
        <v>&gt;60 dias</v>
      </c>
      <c r="AE455" s="25">
        <f>MONTH(Tabela1[[#This Row],[Criado em]])</f>
        <v>12</v>
      </c>
      <c r="AF455" s="25">
        <f>YEAR(Tabela1[[#This Row],[Criado em]])</f>
        <v>2025</v>
      </c>
      <c r="AG455" s="25">
        <f>COUNTIFS(Tabela1[Mês],Tabela1[[#This Row],[Mês]])</f>
        <v>207</v>
      </c>
      <c r="AH455" s="25">
        <f>COUNTIFS(Tabela1[Mês],Tabela1[[#This Row],[Mês]],Tabela1[Fase atual],"Recebido")</f>
        <v>155</v>
      </c>
      <c r="AI455" s="26">
        <f>Tabela1[[#This Row],[Recebido_ Mes]]/Tabela1[[#This Row],[Total_Mes]]</f>
        <v>0.74879227053140096</v>
      </c>
      <c r="AJ455" s="19">
        <f>COUNTIFS(Tabela1[Fase atual],"Recebido",Tabela1[Mês],Tabela1[[#This Row],[Mês]],Tabela1[Ano],Tabela1[[#This Row],[Ano]])/COUNTIF(Tabela1[Mês],Tabela1[[#This Row],[Mês]])</f>
        <v>0.74879227053140096</v>
      </c>
      <c r="AK455" s="20">
        <f>100%</f>
        <v>1</v>
      </c>
    </row>
    <row r="456" spans="1:37" ht="18" customHeight="1" x14ac:dyDescent="0.25">
      <c r="A456">
        <v>1203231807</v>
      </c>
      <c r="B456" t="s">
        <v>1170</v>
      </c>
      <c r="C456" t="s">
        <v>1171</v>
      </c>
      <c r="D456" t="s">
        <v>2184</v>
      </c>
      <c r="E456" t="s">
        <v>31</v>
      </c>
      <c r="F456" s="2">
        <v>45896.85076050926</v>
      </c>
      <c r="AC456" s="24">
        <f t="shared" ca="1" si="15"/>
        <v>237.14923949074</v>
      </c>
      <c r="AD456" s="25" t="str">
        <f t="shared" ca="1" si="16"/>
        <v>&gt;60 dias</v>
      </c>
      <c r="AE456" s="25">
        <f>MONTH(Tabela1[[#This Row],[Criado em]])</f>
        <v>8</v>
      </c>
      <c r="AF456" s="25">
        <f>YEAR(Tabela1[[#This Row],[Criado em]])</f>
        <v>2025</v>
      </c>
      <c r="AG456" s="25">
        <f>COUNTIFS(Tabela1[Mês],Tabela1[[#This Row],[Mês]])</f>
        <v>146</v>
      </c>
      <c r="AH456" s="25">
        <f>COUNTIFS(Tabela1[Mês],Tabela1[[#This Row],[Mês]],Tabela1[Fase atual],"Recebido")</f>
        <v>115</v>
      </c>
      <c r="AI456" s="26">
        <f>Tabela1[[#This Row],[Recebido_ Mes]]/Tabela1[[#This Row],[Total_Mes]]</f>
        <v>0.78767123287671237</v>
      </c>
      <c r="AJ456" s="19">
        <f>COUNTIFS(Tabela1[Fase atual],"Recebido",Tabela1[Mês],Tabela1[[#This Row],[Mês]],Tabela1[Ano],Tabela1[[#This Row],[Ano]])/COUNTIF(Tabela1[Mês],Tabela1[[#This Row],[Mês]])</f>
        <v>0.78767123287671237</v>
      </c>
      <c r="AK456" s="20">
        <f>100%</f>
        <v>1</v>
      </c>
    </row>
    <row r="457" spans="1:37" ht="18" customHeight="1" x14ac:dyDescent="0.25">
      <c r="A457">
        <v>1264271761</v>
      </c>
      <c r="B457" t="s">
        <v>1170</v>
      </c>
      <c r="C457" t="s">
        <v>1171</v>
      </c>
      <c r="D457" t="s">
        <v>37</v>
      </c>
      <c r="E457" t="s">
        <v>31</v>
      </c>
      <c r="F457" s="2">
        <v>45995.797157800916</v>
      </c>
      <c r="AC457" s="24">
        <f t="shared" ca="1" si="15"/>
        <v>138.20284219908353</v>
      </c>
      <c r="AD457" s="25" t="str">
        <f t="shared" ca="1" si="16"/>
        <v>&gt;60 dias</v>
      </c>
      <c r="AE457" s="25">
        <f>MONTH(Tabela1[[#This Row],[Criado em]])</f>
        <v>12</v>
      </c>
      <c r="AF457" s="25">
        <f>YEAR(Tabela1[[#This Row],[Criado em]])</f>
        <v>2025</v>
      </c>
      <c r="AG457" s="25">
        <f>COUNTIFS(Tabela1[Mês],Tabela1[[#This Row],[Mês]])</f>
        <v>207</v>
      </c>
      <c r="AH457" s="25">
        <f>COUNTIFS(Tabela1[Mês],Tabela1[[#This Row],[Mês]],Tabela1[Fase atual],"Recebido")</f>
        <v>155</v>
      </c>
      <c r="AI457" s="26">
        <f>Tabela1[[#This Row],[Recebido_ Mes]]/Tabela1[[#This Row],[Total_Mes]]</f>
        <v>0.74879227053140096</v>
      </c>
      <c r="AJ457" s="19">
        <f>COUNTIFS(Tabela1[Fase atual],"Recebido",Tabela1[Mês],Tabela1[[#This Row],[Mês]],Tabela1[Ano],Tabela1[[#This Row],[Ano]])/COUNTIF(Tabela1[Mês],Tabela1[[#This Row],[Mês]])</f>
        <v>0.74879227053140096</v>
      </c>
      <c r="AK457" s="20">
        <f>100%</f>
        <v>1</v>
      </c>
    </row>
    <row r="458" spans="1:37" ht="18" customHeight="1" x14ac:dyDescent="0.25">
      <c r="A458">
        <v>1307008258</v>
      </c>
      <c r="B458" t="s">
        <v>1170</v>
      </c>
      <c r="C458" t="s">
        <v>1171</v>
      </c>
      <c r="D458" t="s">
        <v>2179</v>
      </c>
      <c r="E458" t="s">
        <v>31</v>
      </c>
      <c r="F458" s="2">
        <v>46083.544195763883</v>
      </c>
      <c r="AC458" s="24">
        <f t="shared" ca="1" si="15"/>
        <v>50.455804236116819</v>
      </c>
      <c r="AD458" s="25" t="str">
        <f t="shared" ca="1" si="16"/>
        <v>31-60 dias</v>
      </c>
      <c r="AE458" s="25">
        <f>MONTH(Tabela1[[#This Row],[Criado em]])</f>
        <v>3</v>
      </c>
      <c r="AF458" s="25">
        <f>YEAR(Tabela1[[#This Row],[Criado em]])</f>
        <v>2026</v>
      </c>
      <c r="AG458" s="25">
        <f>COUNTIFS(Tabela1[Mês],Tabela1[[#This Row],[Mês]])</f>
        <v>62</v>
      </c>
      <c r="AH458" s="25">
        <f>COUNTIFS(Tabela1[Mês],Tabela1[[#This Row],[Mês]],Tabela1[Fase atual],"Recebido")</f>
        <v>13</v>
      </c>
      <c r="AI458" s="26">
        <f>Tabela1[[#This Row],[Recebido_ Mes]]/Tabela1[[#This Row],[Total_Mes]]</f>
        <v>0.20967741935483872</v>
      </c>
      <c r="AJ458" s="19">
        <f>COUNTIFS(Tabela1[Fase atual],"Recebido",Tabela1[Mês],Tabela1[[#This Row],[Mês]],Tabela1[Ano],Tabela1[[#This Row],[Ano]])/COUNTIF(Tabela1[Mês],Tabela1[[#This Row],[Mês]])</f>
        <v>0.20967741935483872</v>
      </c>
      <c r="AK458" s="20">
        <f>100%</f>
        <v>1</v>
      </c>
    </row>
    <row r="459" spans="1:37" ht="18" customHeight="1" x14ac:dyDescent="0.25">
      <c r="A459">
        <v>1267755615</v>
      </c>
      <c r="B459" t="s">
        <v>1172</v>
      </c>
      <c r="C459" t="s">
        <v>1173</v>
      </c>
      <c r="D459" t="s">
        <v>37</v>
      </c>
      <c r="E459" t="s">
        <v>31</v>
      </c>
      <c r="F459" s="2">
        <v>46003.829593807874</v>
      </c>
      <c r="AC459" s="24">
        <f t="shared" ca="1" si="15"/>
        <v>130.17040619212639</v>
      </c>
      <c r="AD459" s="25" t="str">
        <f t="shared" ca="1" si="16"/>
        <v>&gt;60 dias</v>
      </c>
      <c r="AE459" s="25">
        <f>MONTH(Tabela1[[#This Row],[Criado em]])</f>
        <v>12</v>
      </c>
      <c r="AF459" s="25">
        <f>YEAR(Tabela1[[#This Row],[Criado em]])</f>
        <v>2025</v>
      </c>
      <c r="AG459" s="25">
        <f>COUNTIFS(Tabela1[Mês],Tabela1[[#This Row],[Mês]])</f>
        <v>207</v>
      </c>
      <c r="AH459" s="25">
        <f>COUNTIFS(Tabela1[Mês],Tabela1[[#This Row],[Mês]],Tabela1[Fase atual],"Recebido")</f>
        <v>155</v>
      </c>
      <c r="AI459" s="26">
        <f>Tabela1[[#This Row],[Recebido_ Mes]]/Tabela1[[#This Row],[Total_Mes]]</f>
        <v>0.74879227053140096</v>
      </c>
      <c r="AJ459" s="19">
        <f>COUNTIFS(Tabela1[Fase atual],"Recebido",Tabela1[Mês],Tabela1[[#This Row],[Mês]],Tabela1[Ano],Tabela1[[#This Row],[Ano]])/COUNTIF(Tabela1[Mês],Tabela1[[#This Row],[Mês]])</f>
        <v>0.74879227053140096</v>
      </c>
      <c r="AK459" s="20">
        <f>100%</f>
        <v>1</v>
      </c>
    </row>
    <row r="460" spans="1:37" ht="18" customHeight="1" x14ac:dyDescent="0.25">
      <c r="A460">
        <v>1301746253</v>
      </c>
      <c r="B460" t="s">
        <v>216</v>
      </c>
      <c r="C460" t="s">
        <v>217</v>
      </c>
      <c r="D460" t="s">
        <v>37</v>
      </c>
      <c r="E460" t="s">
        <v>31</v>
      </c>
      <c r="F460" s="2">
        <v>46076.79593226852</v>
      </c>
      <c r="AC460" s="24">
        <f t="shared" ca="1" si="15"/>
        <v>57.204067731479881</v>
      </c>
      <c r="AD460" s="25" t="str">
        <f t="shared" ca="1" si="16"/>
        <v>31-60 dias</v>
      </c>
      <c r="AE460" s="25">
        <f>MONTH(Tabela1[[#This Row],[Criado em]])</f>
        <v>2</v>
      </c>
      <c r="AF460" s="25">
        <f>YEAR(Tabela1[[#This Row],[Criado em]])</f>
        <v>2026</v>
      </c>
      <c r="AG460" s="25">
        <f>COUNTIFS(Tabela1[Mês],Tabela1[[#This Row],[Mês]])</f>
        <v>197</v>
      </c>
      <c r="AH460" s="25">
        <f>COUNTIFS(Tabela1[Mês],Tabela1[[#This Row],[Mês]],Tabela1[Fase atual],"Recebido")</f>
        <v>124</v>
      </c>
      <c r="AI460" s="26">
        <f>Tabela1[[#This Row],[Recebido_ Mes]]/Tabela1[[#This Row],[Total_Mes]]</f>
        <v>0.62944162436548223</v>
      </c>
      <c r="AJ460" s="19">
        <f>COUNTIFS(Tabela1[Fase atual],"Recebido",Tabela1[Mês],Tabela1[[#This Row],[Mês]],Tabela1[Ano],Tabela1[[#This Row],[Ano]])/COUNTIF(Tabela1[Mês],Tabela1[[#This Row],[Mês]])</f>
        <v>0.62944162436548223</v>
      </c>
      <c r="AK460" s="20">
        <f>100%</f>
        <v>1</v>
      </c>
    </row>
    <row r="461" spans="1:37" ht="18" customHeight="1" x14ac:dyDescent="0.25">
      <c r="A461">
        <v>1297689628</v>
      </c>
      <c r="B461" t="s">
        <v>216</v>
      </c>
      <c r="C461" t="s">
        <v>217</v>
      </c>
      <c r="D461" t="s">
        <v>37</v>
      </c>
      <c r="E461" t="s">
        <v>31</v>
      </c>
      <c r="F461" s="2">
        <v>46066.795375995367</v>
      </c>
      <c r="AC461" s="24">
        <f t="shared" ca="1" si="15"/>
        <v>67.204624004632933</v>
      </c>
      <c r="AD461" s="25" t="str">
        <f t="shared" ca="1" si="16"/>
        <v>&gt;60 dias</v>
      </c>
      <c r="AE461" s="25">
        <f>MONTH(Tabela1[[#This Row],[Criado em]])</f>
        <v>2</v>
      </c>
      <c r="AF461" s="25">
        <f>YEAR(Tabela1[[#This Row],[Criado em]])</f>
        <v>2026</v>
      </c>
      <c r="AG461" s="25">
        <f>COUNTIFS(Tabela1[Mês],Tabela1[[#This Row],[Mês]])</f>
        <v>197</v>
      </c>
      <c r="AH461" s="25">
        <f>COUNTIFS(Tabela1[Mês],Tabela1[[#This Row],[Mês]],Tabela1[Fase atual],"Recebido")</f>
        <v>124</v>
      </c>
      <c r="AI461" s="26">
        <f>Tabela1[[#This Row],[Recebido_ Mes]]/Tabela1[[#This Row],[Total_Mes]]</f>
        <v>0.62944162436548223</v>
      </c>
      <c r="AJ461" s="19">
        <f>COUNTIFS(Tabela1[Fase atual],"Recebido",Tabela1[Mês],Tabela1[[#This Row],[Mês]],Tabela1[Ano],Tabela1[[#This Row],[Ano]])/COUNTIF(Tabela1[Mês],Tabela1[[#This Row],[Mês]])</f>
        <v>0.62944162436548223</v>
      </c>
      <c r="AK461" s="20">
        <f>100%</f>
        <v>1</v>
      </c>
    </row>
    <row r="462" spans="1:37" ht="18" customHeight="1" x14ac:dyDescent="0.25">
      <c r="A462">
        <v>1203231763</v>
      </c>
      <c r="B462" t="s">
        <v>216</v>
      </c>
      <c r="C462" t="s">
        <v>217</v>
      </c>
      <c r="D462" t="s">
        <v>37</v>
      </c>
      <c r="E462" t="s">
        <v>31</v>
      </c>
      <c r="F462" s="2">
        <v>45896.850708229162</v>
      </c>
      <c r="AC462" s="24">
        <f t="shared" ca="1" si="15"/>
        <v>237.14929177083832</v>
      </c>
      <c r="AD462" s="25" t="str">
        <f t="shared" ca="1" si="16"/>
        <v>&gt;60 dias</v>
      </c>
      <c r="AE462" s="25">
        <f>MONTH(Tabela1[[#This Row],[Criado em]])</f>
        <v>8</v>
      </c>
      <c r="AF462" s="25">
        <f>YEAR(Tabela1[[#This Row],[Criado em]])</f>
        <v>2025</v>
      </c>
      <c r="AG462" s="25">
        <f>COUNTIFS(Tabela1[Mês],Tabela1[[#This Row],[Mês]])</f>
        <v>146</v>
      </c>
      <c r="AH462" s="25">
        <f>COUNTIFS(Tabela1[Mês],Tabela1[[#This Row],[Mês]],Tabela1[Fase atual],"Recebido")</f>
        <v>115</v>
      </c>
      <c r="AI462" s="26">
        <f>Tabela1[[#This Row],[Recebido_ Mes]]/Tabela1[[#This Row],[Total_Mes]]</f>
        <v>0.78767123287671237</v>
      </c>
      <c r="AJ462" s="19">
        <f>COUNTIFS(Tabela1[Fase atual],"Recebido",Tabela1[Mês],Tabela1[[#This Row],[Mês]],Tabela1[Ano],Tabela1[[#This Row],[Ano]])/COUNTIF(Tabela1[Mês],Tabela1[[#This Row],[Mês]])</f>
        <v>0.78767123287671237</v>
      </c>
      <c r="AK462" s="20">
        <f>100%</f>
        <v>1</v>
      </c>
    </row>
    <row r="463" spans="1:37" ht="18" customHeight="1" x14ac:dyDescent="0.25">
      <c r="A463">
        <v>1310047624</v>
      </c>
      <c r="B463" t="s">
        <v>2202</v>
      </c>
      <c r="C463" t="s">
        <v>2203</v>
      </c>
      <c r="D463" t="s">
        <v>37</v>
      </c>
      <c r="E463" t="s">
        <v>31</v>
      </c>
      <c r="F463" s="2">
        <v>46086.812552858799</v>
      </c>
      <c r="AC463" s="24">
        <f t="shared" ca="1" si="15"/>
        <v>47.187447141201119</v>
      </c>
      <c r="AD463" s="25" t="str">
        <f t="shared" ca="1" si="16"/>
        <v>31-60 dias</v>
      </c>
      <c r="AE463" s="25">
        <f>MONTH(Tabela1[[#This Row],[Criado em]])</f>
        <v>3</v>
      </c>
      <c r="AF463" s="25">
        <f>YEAR(Tabela1[[#This Row],[Criado em]])</f>
        <v>2026</v>
      </c>
      <c r="AG463" s="25">
        <f>COUNTIFS(Tabela1[Mês],Tabela1[[#This Row],[Mês]])</f>
        <v>62</v>
      </c>
      <c r="AH463" s="25">
        <f>COUNTIFS(Tabela1[Mês],Tabela1[[#This Row],[Mês]],Tabela1[Fase atual],"Recebido")</f>
        <v>13</v>
      </c>
      <c r="AI463" s="26">
        <f>Tabela1[[#This Row],[Recebido_ Mes]]/Tabela1[[#This Row],[Total_Mes]]</f>
        <v>0.20967741935483872</v>
      </c>
      <c r="AJ463" s="19">
        <f>COUNTIFS(Tabela1[Fase atual],"Recebido",Tabela1[Mês],Tabela1[[#This Row],[Mês]],Tabela1[Ano],Tabela1[[#This Row],[Ano]])/COUNTIF(Tabela1[Mês],Tabela1[[#This Row],[Mês]])</f>
        <v>0.20967741935483872</v>
      </c>
      <c r="AK463" s="20">
        <f>100%</f>
        <v>1</v>
      </c>
    </row>
    <row r="464" spans="1:37" ht="18" customHeight="1" x14ac:dyDescent="0.25">
      <c r="A464">
        <v>1187232044</v>
      </c>
      <c r="B464" t="s">
        <v>1174</v>
      </c>
      <c r="C464" t="s">
        <v>1175</v>
      </c>
      <c r="D464" t="s">
        <v>784</v>
      </c>
      <c r="E464" t="s">
        <v>31</v>
      </c>
      <c r="F464" s="2">
        <v>45870.851079328713</v>
      </c>
      <c r="AC464" s="24">
        <f t="shared" ca="1" si="15"/>
        <v>263.14892067128676</v>
      </c>
      <c r="AD464" s="25" t="str">
        <f t="shared" ca="1" si="16"/>
        <v>&gt;60 dias</v>
      </c>
      <c r="AE464" s="25">
        <f>MONTH(Tabela1[[#This Row],[Criado em]])</f>
        <v>8</v>
      </c>
      <c r="AF464" s="25">
        <f>YEAR(Tabela1[[#This Row],[Criado em]])</f>
        <v>2025</v>
      </c>
      <c r="AG464" s="25">
        <f>COUNTIFS(Tabela1[Mês],Tabela1[[#This Row],[Mês]])</f>
        <v>146</v>
      </c>
      <c r="AH464" s="25">
        <f>COUNTIFS(Tabela1[Mês],Tabela1[[#This Row],[Mês]],Tabela1[Fase atual],"Recebido")</f>
        <v>115</v>
      </c>
      <c r="AI464" s="26">
        <f>Tabela1[[#This Row],[Recebido_ Mes]]/Tabela1[[#This Row],[Total_Mes]]</f>
        <v>0.78767123287671237</v>
      </c>
      <c r="AJ464" s="19">
        <f>COUNTIFS(Tabela1[Fase atual],"Recebido",Tabela1[Mês],Tabela1[[#This Row],[Mês]],Tabela1[Ano],Tabela1[[#This Row],[Ano]])/COUNTIF(Tabela1[Mês],Tabela1[[#This Row],[Mês]])</f>
        <v>0.78767123287671237</v>
      </c>
      <c r="AK464" s="20">
        <f>100%</f>
        <v>1</v>
      </c>
    </row>
    <row r="465" spans="1:37" ht="18" customHeight="1" x14ac:dyDescent="0.25">
      <c r="A465">
        <v>1184493392</v>
      </c>
      <c r="B465" t="s">
        <v>1176</v>
      </c>
      <c r="C465" t="s">
        <v>1177</v>
      </c>
      <c r="D465" t="s">
        <v>37</v>
      </c>
      <c r="E465" t="s">
        <v>31</v>
      </c>
      <c r="F465" s="2">
        <v>45866.643407361109</v>
      </c>
      <c r="AC465" s="24">
        <f t="shared" ca="1" si="15"/>
        <v>267.35659263889102</v>
      </c>
      <c r="AD465" s="25" t="str">
        <f t="shared" ca="1" si="16"/>
        <v>&gt;60 dias</v>
      </c>
      <c r="AE465" s="25">
        <f>MONTH(Tabela1[[#This Row],[Criado em]])</f>
        <v>7</v>
      </c>
      <c r="AF465" s="25">
        <f>YEAR(Tabela1[[#This Row],[Criado em]])</f>
        <v>2025</v>
      </c>
      <c r="AG465" s="25">
        <f>COUNTIFS(Tabela1[Mês],Tabela1[[#This Row],[Mês]])</f>
        <v>177</v>
      </c>
      <c r="AH465" s="25">
        <f>COUNTIFS(Tabela1[Mês],Tabela1[[#This Row],[Mês]],Tabela1[Fase atual],"Recebido")</f>
        <v>130</v>
      </c>
      <c r="AI465" s="26">
        <f>Tabela1[[#This Row],[Recebido_ Mes]]/Tabela1[[#This Row],[Total_Mes]]</f>
        <v>0.7344632768361582</v>
      </c>
      <c r="AJ465" s="19">
        <f>COUNTIFS(Tabela1[Fase atual],"Recebido",Tabela1[Mês],Tabela1[[#This Row],[Mês]],Tabela1[Ano],Tabela1[[#This Row],[Ano]])/COUNTIF(Tabela1[Mês],Tabela1[[#This Row],[Mês]])</f>
        <v>0.7344632768361582</v>
      </c>
      <c r="AK465" s="20">
        <f>100%</f>
        <v>1</v>
      </c>
    </row>
    <row r="466" spans="1:37" ht="18" customHeight="1" x14ac:dyDescent="0.25">
      <c r="A466">
        <v>1300237456</v>
      </c>
      <c r="B466" t="s">
        <v>218</v>
      </c>
      <c r="C466" t="s">
        <v>219</v>
      </c>
      <c r="D466" t="s">
        <v>40</v>
      </c>
      <c r="E466" t="s">
        <v>31</v>
      </c>
      <c r="F466" s="2">
        <v>46073.628862303252</v>
      </c>
      <c r="AC466" s="24">
        <f t="shared" ca="1" si="15"/>
        <v>60.37113769674761</v>
      </c>
      <c r="AD466" s="25" t="str">
        <f t="shared" ca="1" si="16"/>
        <v>&gt;60 dias</v>
      </c>
      <c r="AE466" s="25">
        <f>MONTH(Tabela1[[#This Row],[Criado em]])</f>
        <v>2</v>
      </c>
      <c r="AF466" s="25">
        <f>YEAR(Tabela1[[#This Row],[Criado em]])</f>
        <v>2026</v>
      </c>
      <c r="AG466" s="25">
        <f>COUNTIFS(Tabela1[Mês],Tabela1[[#This Row],[Mês]])</f>
        <v>197</v>
      </c>
      <c r="AH466" s="25">
        <f>COUNTIFS(Tabela1[Mês],Tabela1[[#This Row],[Mês]],Tabela1[Fase atual],"Recebido")</f>
        <v>124</v>
      </c>
      <c r="AI466" s="26">
        <f>Tabela1[[#This Row],[Recebido_ Mes]]/Tabela1[[#This Row],[Total_Mes]]</f>
        <v>0.62944162436548223</v>
      </c>
      <c r="AJ466" s="19">
        <f>COUNTIFS(Tabela1[Fase atual],"Recebido",Tabela1[Mês],Tabela1[[#This Row],[Mês]],Tabela1[Ano],Tabela1[[#This Row],[Ano]])/COUNTIF(Tabela1[Mês],Tabela1[[#This Row],[Mês]])</f>
        <v>0.62944162436548223</v>
      </c>
      <c r="AK466" s="20">
        <f>100%</f>
        <v>1</v>
      </c>
    </row>
    <row r="467" spans="1:37" ht="18" customHeight="1" x14ac:dyDescent="0.25">
      <c r="A467">
        <v>1229898797</v>
      </c>
      <c r="B467" t="s">
        <v>1178</v>
      </c>
      <c r="C467" t="s">
        <v>1179</v>
      </c>
      <c r="D467" t="s">
        <v>37</v>
      </c>
      <c r="E467" t="s">
        <v>31</v>
      </c>
      <c r="F467" s="2">
        <v>45937.851518935189</v>
      </c>
      <c r="AC467" s="24">
        <f t="shared" ca="1" si="15"/>
        <v>196.14848106481077</v>
      </c>
      <c r="AD467" s="25" t="str">
        <f t="shared" ca="1" si="16"/>
        <v>&gt;60 dias</v>
      </c>
      <c r="AE467" s="25">
        <f>MONTH(Tabela1[[#This Row],[Criado em]])</f>
        <v>10</v>
      </c>
      <c r="AF467" s="25">
        <f>YEAR(Tabela1[[#This Row],[Criado em]])</f>
        <v>2025</v>
      </c>
      <c r="AG467" s="25">
        <f>COUNTIFS(Tabela1[Mês],Tabela1[[#This Row],[Mês]])</f>
        <v>196</v>
      </c>
      <c r="AH467" s="25">
        <f>COUNTIFS(Tabela1[Mês],Tabela1[[#This Row],[Mês]],Tabela1[Fase atual],"Recebido")</f>
        <v>138</v>
      </c>
      <c r="AI467" s="26">
        <f>Tabela1[[#This Row],[Recebido_ Mes]]/Tabela1[[#This Row],[Total_Mes]]</f>
        <v>0.70408163265306123</v>
      </c>
      <c r="AJ467" s="19">
        <f>COUNTIFS(Tabela1[Fase atual],"Recebido",Tabela1[Mês],Tabela1[[#This Row],[Mês]],Tabela1[Ano],Tabela1[[#This Row],[Ano]])/COUNTIF(Tabela1[Mês],Tabela1[[#This Row],[Mês]])</f>
        <v>0.70408163265306123</v>
      </c>
      <c r="AK467" s="20">
        <f>100%</f>
        <v>1</v>
      </c>
    </row>
    <row r="468" spans="1:37" ht="18" customHeight="1" x14ac:dyDescent="0.25">
      <c r="A468">
        <v>1284174396</v>
      </c>
      <c r="B468" t="s">
        <v>220</v>
      </c>
      <c r="C468" t="s">
        <v>221</v>
      </c>
      <c r="D468" t="s">
        <v>37</v>
      </c>
      <c r="E468" t="s">
        <v>31</v>
      </c>
      <c r="F468" s="2">
        <v>46041.91963005787</v>
      </c>
      <c r="AC468" s="24">
        <f t="shared" ca="1" si="15"/>
        <v>92.080369942130346</v>
      </c>
      <c r="AD468" s="25" t="str">
        <f t="shared" ca="1" si="16"/>
        <v>&gt;60 dias</v>
      </c>
      <c r="AE468" s="25">
        <f>MONTH(Tabela1[[#This Row],[Criado em]])</f>
        <v>1</v>
      </c>
      <c r="AF468" s="25">
        <f>YEAR(Tabela1[[#This Row],[Criado em]])</f>
        <v>2026</v>
      </c>
      <c r="AG468" s="25">
        <f>COUNTIFS(Tabela1[Mês],Tabela1[[#This Row],[Mês]])</f>
        <v>222</v>
      </c>
      <c r="AH468" s="25">
        <f>COUNTIFS(Tabela1[Mês],Tabela1[[#This Row],[Mês]],Tabela1[Fase atual],"Recebido")</f>
        <v>174</v>
      </c>
      <c r="AI468" s="26">
        <f>Tabela1[[#This Row],[Recebido_ Mes]]/Tabela1[[#This Row],[Total_Mes]]</f>
        <v>0.78378378378378377</v>
      </c>
      <c r="AJ468" s="19">
        <f>COUNTIFS(Tabela1[Fase atual],"Recebido",Tabela1[Mês],Tabela1[[#This Row],[Mês]],Tabela1[Ano],Tabela1[[#This Row],[Ano]])/COUNTIF(Tabela1[Mês],Tabela1[[#This Row],[Mês]])</f>
        <v>0.78378378378378377</v>
      </c>
      <c r="AK468" s="20">
        <f>100%</f>
        <v>1</v>
      </c>
    </row>
    <row r="469" spans="1:37" ht="18" customHeight="1" x14ac:dyDescent="0.25">
      <c r="A469">
        <v>1245632562</v>
      </c>
      <c r="B469" t="s">
        <v>1180</v>
      </c>
      <c r="C469" t="s">
        <v>1181</v>
      </c>
      <c r="D469" t="s">
        <v>40</v>
      </c>
      <c r="E469" t="s">
        <v>31</v>
      </c>
      <c r="F469" s="2">
        <v>45957.795539872677</v>
      </c>
      <c r="AC469" s="24">
        <f t="shared" ca="1" si="15"/>
        <v>176.20446012732282</v>
      </c>
      <c r="AD469" s="25" t="str">
        <f t="shared" ca="1" si="16"/>
        <v>&gt;60 dias</v>
      </c>
      <c r="AE469" s="25">
        <f>MONTH(Tabela1[[#This Row],[Criado em]])</f>
        <v>10</v>
      </c>
      <c r="AF469" s="25">
        <f>YEAR(Tabela1[[#This Row],[Criado em]])</f>
        <v>2025</v>
      </c>
      <c r="AG469" s="25">
        <f>COUNTIFS(Tabela1[Mês],Tabela1[[#This Row],[Mês]])</f>
        <v>196</v>
      </c>
      <c r="AH469" s="25">
        <f>COUNTIFS(Tabela1[Mês],Tabela1[[#This Row],[Mês]],Tabela1[Fase atual],"Recebido")</f>
        <v>138</v>
      </c>
      <c r="AI469" s="26">
        <f>Tabela1[[#This Row],[Recebido_ Mes]]/Tabela1[[#This Row],[Total_Mes]]</f>
        <v>0.70408163265306123</v>
      </c>
      <c r="AJ469" s="19">
        <f>COUNTIFS(Tabela1[Fase atual],"Recebido",Tabela1[Mês],Tabela1[[#This Row],[Mês]],Tabela1[Ano],Tabela1[[#This Row],[Ano]])/COUNTIF(Tabela1[Mês],Tabela1[[#This Row],[Mês]])</f>
        <v>0.70408163265306123</v>
      </c>
      <c r="AK469" s="20">
        <f>100%</f>
        <v>1</v>
      </c>
    </row>
    <row r="470" spans="1:37" ht="18" customHeight="1" x14ac:dyDescent="0.25">
      <c r="A470">
        <v>1193712574</v>
      </c>
      <c r="B470" t="s">
        <v>1182</v>
      </c>
      <c r="C470" t="s">
        <v>1183</v>
      </c>
      <c r="D470" t="s">
        <v>37</v>
      </c>
      <c r="E470" t="s">
        <v>31</v>
      </c>
      <c r="F470" s="2">
        <v>45881.641464942128</v>
      </c>
      <c r="AC470" s="24">
        <f t="shared" ca="1" si="15"/>
        <v>252.35853505787236</v>
      </c>
      <c r="AD470" s="25" t="str">
        <f t="shared" ca="1" si="16"/>
        <v>&gt;60 dias</v>
      </c>
      <c r="AE470" s="25">
        <f>MONTH(Tabela1[[#This Row],[Criado em]])</f>
        <v>8</v>
      </c>
      <c r="AF470" s="25">
        <f>YEAR(Tabela1[[#This Row],[Criado em]])</f>
        <v>2025</v>
      </c>
      <c r="AG470" s="25">
        <f>COUNTIFS(Tabela1[Mês],Tabela1[[#This Row],[Mês]])</f>
        <v>146</v>
      </c>
      <c r="AH470" s="25">
        <f>COUNTIFS(Tabela1[Mês],Tabela1[[#This Row],[Mês]],Tabela1[Fase atual],"Recebido")</f>
        <v>115</v>
      </c>
      <c r="AI470" s="26">
        <f>Tabela1[[#This Row],[Recebido_ Mes]]/Tabela1[[#This Row],[Total_Mes]]</f>
        <v>0.78767123287671237</v>
      </c>
      <c r="AJ470" s="19">
        <f>COUNTIFS(Tabela1[Fase atual],"Recebido",Tabela1[Mês],Tabela1[[#This Row],[Mês]],Tabela1[Ano],Tabela1[[#This Row],[Ano]])/COUNTIF(Tabela1[Mês],Tabela1[[#This Row],[Mês]])</f>
        <v>0.78767123287671237</v>
      </c>
      <c r="AK470" s="20">
        <f>100%</f>
        <v>1</v>
      </c>
    </row>
    <row r="471" spans="1:37" ht="18" customHeight="1" x14ac:dyDescent="0.25">
      <c r="A471">
        <v>1201525603</v>
      </c>
      <c r="B471" t="s">
        <v>1182</v>
      </c>
      <c r="C471" t="s">
        <v>1183</v>
      </c>
      <c r="D471" t="s">
        <v>37</v>
      </c>
      <c r="E471" t="s">
        <v>31</v>
      </c>
      <c r="F471" s="2">
        <v>45894.64114172454</v>
      </c>
      <c r="AC471" s="24">
        <f t="shared" ca="1" si="15"/>
        <v>239.35885827546008</v>
      </c>
      <c r="AD471" s="25" t="str">
        <f t="shared" ca="1" si="16"/>
        <v>&gt;60 dias</v>
      </c>
      <c r="AE471" s="25">
        <f>MONTH(Tabela1[[#This Row],[Criado em]])</f>
        <v>8</v>
      </c>
      <c r="AF471" s="25">
        <f>YEAR(Tabela1[[#This Row],[Criado em]])</f>
        <v>2025</v>
      </c>
      <c r="AG471" s="25">
        <f>COUNTIFS(Tabela1[Mês],Tabela1[[#This Row],[Mês]])</f>
        <v>146</v>
      </c>
      <c r="AH471" s="25">
        <f>COUNTIFS(Tabela1[Mês],Tabela1[[#This Row],[Mês]],Tabela1[Fase atual],"Recebido")</f>
        <v>115</v>
      </c>
      <c r="AI471" s="26">
        <f>Tabela1[[#This Row],[Recebido_ Mes]]/Tabela1[[#This Row],[Total_Mes]]</f>
        <v>0.78767123287671237</v>
      </c>
      <c r="AJ471" s="19">
        <f>COUNTIFS(Tabela1[Fase atual],"Recebido",Tabela1[Mês],Tabela1[[#This Row],[Mês]],Tabela1[Ano],Tabela1[[#This Row],[Ano]])/COUNTIF(Tabela1[Mês],Tabela1[[#This Row],[Mês]])</f>
        <v>0.78767123287671237</v>
      </c>
      <c r="AK471" s="20">
        <f>100%</f>
        <v>1</v>
      </c>
    </row>
    <row r="472" spans="1:37" ht="18" customHeight="1" x14ac:dyDescent="0.25">
      <c r="A472">
        <v>1256934542</v>
      </c>
      <c r="B472" t="s">
        <v>1184</v>
      </c>
      <c r="C472" t="s">
        <v>1185</v>
      </c>
      <c r="D472" t="s">
        <v>37</v>
      </c>
      <c r="E472" t="s">
        <v>31</v>
      </c>
      <c r="F472" s="2">
        <v>45980.628381782401</v>
      </c>
      <c r="AC472" s="24">
        <f t="shared" ca="1" si="15"/>
        <v>153.37161821759946</v>
      </c>
      <c r="AD472" s="25" t="str">
        <f t="shared" ca="1" si="16"/>
        <v>&gt;60 dias</v>
      </c>
      <c r="AE472" s="25">
        <f>MONTH(Tabela1[[#This Row],[Criado em]])</f>
        <v>11</v>
      </c>
      <c r="AF472" s="25">
        <f>YEAR(Tabela1[[#This Row],[Criado em]])</f>
        <v>2025</v>
      </c>
      <c r="AG472" s="25">
        <f>COUNTIFS(Tabela1[Mês],Tabela1[[#This Row],[Mês]])</f>
        <v>130</v>
      </c>
      <c r="AH472" s="25">
        <f>COUNTIFS(Tabela1[Mês],Tabela1[[#This Row],[Mês]],Tabela1[Fase atual],"Recebido")</f>
        <v>100</v>
      </c>
      <c r="AI472" s="26">
        <f>Tabela1[[#This Row],[Recebido_ Mes]]/Tabela1[[#This Row],[Total_Mes]]</f>
        <v>0.76923076923076927</v>
      </c>
      <c r="AJ472" s="19">
        <f>COUNTIFS(Tabela1[Fase atual],"Recebido",Tabela1[Mês],Tabela1[[#This Row],[Mês]],Tabela1[Ano],Tabela1[[#This Row],[Ano]])/COUNTIF(Tabela1[Mês],Tabela1[[#This Row],[Mês]])</f>
        <v>0.76923076923076927</v>
      </c>
      <c r="AK472" s="20">
        <f>100%</f>
        <v>1</v>
      </c>
    </row>
    <row r="473" spans="1:37" ht="18" customHeight="1" x14ac:dyDescent="0.25">
      <c r="A473">
        <v>1259469553</v>
      </c>
      <c r="B473" t="s">
        <v>160</v>
      </c>
      <c r="C473" t="s">
        <v>1186</v>
      </c>
      <c r="D473" t="s">
        <v>37</v>
      </c>
      <c r="E473" t="s">
        <v>31</v>
      </c>
      <c r="F473" s="2">
        <v>45986.787634513887</v>
      </c>
      <c r="AC473" s="24">
        <f t="shared" ca="1" si="15"/>
        <v>147.21236548611341</v>
      </c>
      <c r="AD473" s="25" t="str">
        <f t="shared" ca="1" si="16"/>
        <v>&gt;60 dias</v>
      </c>
      <c r="AE473" s="25">
        <f>MONTH(Tabela1[[#This Row],[Criado em]])</f>
        <v>11</v>
      </c>
      <c r="AF473" s="25">
        <f>YEAR(Tabela1[[#This Row],[Criado em]])</f>
        <v>2025</v>
      </c>
      <c r="AG473" s="25">
        <f>COUNTIFS(Tabela1[Mês],Tabela1[[#This Row],[Mês]])</f>
        <v>130</v>
      </c>
      <c r="AH473" s="25">
        <f>COUNTIFS(Tabela1[Mês],Tabela1[[#This Row],[Mês]],Tabela1[Fase atual],"Recebido")</f>
        <v>100</v>
      </c>
      <c r="AI473" s="26">
        <f>Tabela1[[#This Row],[Recebido_ Mes]]/Tabela1[[#This Row],[Total_Mes]]</f>
        <v>0.76923076923076927</v>
      </c>
      <c r="AJ473" s="19">
        <f>COUNTIFS(Tabela1[Fase atual],"Recebido",Tabela1[Mês],Tabela1[[#This Row],[Mês]],Tabela1[Ano],Tabela1[[#This Row],[Ano]])/COUNTIF(Tabela1[Mês],Tabela1[[#This Row],[Mês]])</f>
        <v>0.76923076923076927</v>
      </c>
      <c r="AK473" s="20">
        <f>100%</f>
        <v>1</v>
      </c>
    </row>
    <row r="474" spans="1:37" ht="18" customHeight="1" x14ac:dyDescent="0.25">
      <c r="A474">
        <v>1298847305</v>
      </c>
      <c r="B474" t="s">
        <v>222</v>
      </c>
      <c r="C474" t="s">
        <v>223</v>
      </c>
      <c r="D474" t="s">
        <v>40</v>
      </c>
      <c r="E474" t="s">
        <v>31</v>
      </c>
      <c r="F474" s="2">
        <v>46071.628571354173</v>
      </c>
      <c r="AC474" s="24">
        <f t="shared" ca="1" si="15"/>
        <v>62.371428645827109</v>
      </c>
      <c r="AD474" s="25" t="str">
        <f t="shared" ca="1" si="16"/>
        <v>&gt;60 dias</v>
      </c>
      <c r="AE474" s="25">
        <f>MONTH(Tabela1[[#This Row],[Criado em]])</f>
        <v>2</v>
      </c>
      <c r="AF474" s="25">
        <f>YEAR(Tabela1[[#This Row],[Criado em]])</f>
        <v>2026</v>
      </c>
      <c r="AG474" s="25">
        <f>COUNTIFS(Tabela1[Mês],Tabela1[[#This Row],[Mês]])</f>
        <v>197</v>
      </c>
      <c r="AH474" s="25">
        <f>COUNTIFS(Tabela1[Mês],Tabela1[[#This Row],[Mês]],Tabela1[Fase atual],"Recebido")</f>
        <v>124</v>
      </c>
      <c r="AI474" s="26">
        <f>Tabela1[[#This Row],[Recebido_ Mes]]/Tabela1[[#This Row],[Total_Mes]]</f>
        <v>0.62944162436548223</v>
      </c>
      <c r="AJ474" s="19">
        <f>COUNTIFS(Tabela1[Fase atual],"Recebido",Tabela1[Mês],Tabela1[[#This Row],[Mês]],Tabela1[Ano],Tabela1[[#This Row],[Ano]])/COUNTIF(Tabela1[Mês],Tabela1[[#This Row],[Mês]])</f>
        <v>0.62944162436548223</v>
      </c>
      <c r="AK474" s="20">
        <f>100%</f>
        <v>1</v>
      </c>
    </row>
    <row r="475" spans="1:37" ht="18" customHeight="1" x14ac:dyDescent="0.25">
      <c r="A475">
        <v>1295383367</v>
      </c>
      <c r="B475" t="s">
        <v>222</v>
      </c>
      <c r="C475" t="s">
        <v>224</v>
      </c>
      <c r="D475" t="s">
        <v>37</v>
      </c>
      <c r="E475" t="s">
        <v>31</v>
      </c>
      <c r="F475" s="2">
        <v>46062.795263888889</v>
      </c>
      <c r="AC475" s="24">
        <f t="shared" ca="1" si="15"/>
        <v>71.204736111110833</v>
      </c>
      <c r="AD475" s="25" t="str">
        <f t="shared" ca="1" si="16"/>
        <v>&gt;60 dias</v>
      </c>
      <c r="AE475" s="25">
        <f>MONTH(Tabela1[[#This Row],[Criado em]])</f>
        <v>2</v>
      </c>
      <c r="AF475" s="25">
        <f>YEAR(Tabela1[[#This Row],[Criado em]])</f>
        <v>2026</v>
      </c>
      <c r="AG475" s="25">
        <f>COUNTIFS(Tabela1[Mês],Tabela1[[#This Row],[Mês]])</f>
        <v>197</v>
      </c>
      <c r="AH475" s="25">
        <f>COUNTIFS(Tabela1[Mês],Tabela1[[#This Row],[Mês]],Tabela1[Fase atual],"Recebido")</f>
        <v>124</v>
      </c>
      <c r="AI475" s="26">
        <f>Tabela1[[#This Row],[Recebido_ Mes]]/Tabela1[[#This Row],[Total_Mes]]</f>
        <v>0.62944162436548223</v>
      </c>
      <c r="AJ475" s="19">
        <f>COUNTIFS(Tabela1[Fase atual],"Recebido",Tabela1[Mês],Tabela1[[#This Row],[Mês]],Tabela1[Ano],Tabela1[[#This Row],[Ano]])/COUNTIF(Tabela1[Mês],Tabela1[[#This Row],[Mês]])</f>
        <v>0.62944162436548223</v>
      </c>
      <c r="AK475" s="20">
        <f>100%</f>
        <v>1</v>
      </c>
    </row>
    <row r="476" spans="1:37" ht="18" customHeight="1" x14ac:dyDescent="0.25">
      <c r="A476">
        <v>1284993548</v>
      </c>
      <c r="B476" t="s">
        <v>225</v>
      </c>
      <c r="C476" t="s">
        <v>226</v>
      </c>
      <c r="D476" t="s">
        <v>37</v>
      </c>
      <c r="E476" t="s">
        <v>31</v>
      </c>
      <c r="F476" s="2">
        <v>46043.552343229167</v>
      </c>
      <c r="AC476" s="24">
        <f t="shared" ca="1" si="15"/>
        <v>90.447656770833419</v>
      </c>
      <c r="AD476" s="25" t="str">
        <f t="shared" ca="1" si="16"/>
        <v>&gt;60 dias</v>
      </c>
      <c r="AE476" s="25">
        <f>MONTH(Tabela1[[#This Row],[Criado em]])</f>
        <v>1</v>
      </c>
      <c r="AF476" s="25">
        <f>YEAR(Tabela1[[#This Row],[Criado em]])</f>
        <v>2026</v>
      </c>
      <c r="AG476" s="25">
        <f>COUNTIFS(Tabela1[Mês],Tabela1[[#This Row],[Mês]])</f>
        <v>222</v>
      </c>
      <c r="AH476" s="25">
        <f>COUNTIFS(Tabela1[Mês],Tabela1[[#This Row],[Mês]],Tabela1[Fase atual],"Recebido")</f>
        <v>174</v>
      </c>
      <c r="AI476" s="26">
        <f>Tabela1[[#This Row],[Recebido_ Mes]]/Tabela1[[#This Row],[Total_Mes]]</f>
        <v>0.78378378378378377</v>
      </c>
      <c r="AJ476" s="19">
        <f>COUNTIFS(Tabela1[Fase atual],"Recebido",Tabela1[Mês],Tabela1[[#This Row],[Mês]],Tabela1[Ano],Tabela1[[#This Row],[Ano]])/COUNTIF(Tabela1[Mês],Tabela1[[#This Row],[Mês]])</f>
        <v>0.78378378378378377</v>
      </c>
      <c r="AK476" s="20">
        <f>100%</f>
        <v>1</v>
      </c>
    </row>
    <row r="477" spans="1:37" ht="18" customHeight="1" x14ac:dyDescent="0.25">
      <c r="A477">
        <v>1246331375</v>
      </c>
      <c r="B477" t="s">
        <v>1187</v>
      </c>
      <c r="C477" t="s">
        <v>1188</v>
      </c>
      <c r="D477" t="s">
        <v>37</v>
      </c>
      <c r="E477" t="s">
        <v>31</v>
      </c>
      <c r="F477" s="2">
        <v>45958.794149953697</v>
      </c>
      <c r="AC477" s="24">
        <f t="shared" ca="1" si="15"/>
        <v>175.20585004630266</v>
      </c>
      <c r="AD477" s="25" t="str">
        <f t="shared" ca="1" si="16"/>
        <v>&gt;60 dias</v>
      </c>
      <c r="AE477" s="25">
        <f>MONTH(Tabela1[[#This Row],[Criado em]])</f>
        <v>10</v>
      </c>
      <c r="AF477" s="25">
        <f>YEAR(Tabela1[[#This Row],[Criado em]])</f>
        <v>2025</v>
      </c>
      <c r="AG477" s="25">
        <f>COUNTIFS(Tabela1[Mês],Tabela1[[#This Row],[Mês]])</f>
        <v>196</v>
      </c>
      <c r="AH477" s="25">
        <f>COUNTIFS(Tabela1[Mês],Tabela1[[#This Row],[Mês]],Tabela1[Fase atual],"Recebido")</f>
        <v>138</v>
      </c>
      <c r="AI477" s="26">
        <f>Tabela1[[#This Row],[Recebido_ Mes]]/Tabela1[[#This Row],[Total_Mes]]</f>
        <v>0.70408163265306123</v>
      </c>
      <c r="AJ477" s="19">
        <f>COUNTIFS(Tabela1[Fase atual],"Recebido",Tabela1[Mês],Tabela1[[#This Row],[Mês]],Tabela1[Ano],Tabela1[[#This Row],[Ano]])/COUNTIF(Tabela1[Mês],Tabela1[[#This Row],[Mês]])</f>
        <v>0.70408163265306123</v>
      </c>
      <c r="AK477" s="20">
        <f>100%</f>
        <v>1</v>
      </c>
    </row>
    <row r="478" spans="1:37" ht="18" customHeight="1" x14ac:dyDescent="0.25">
      <c r="A478">
        <v>1182800751</v>
      </c>
      <c r="B478" t="s">
        <v>1189</v>
      </c>
      <c r="C478" t="s">
        <v>1190</v>
      </c>
      <c r="D478" t="s">
        <v>37</v>
      </c>
      <c r="E478" t="s">
        <v>31</v>
      </c>
      <c r="F478" s="2">
        <v>45862.851842465272</v>
      </c>
      <c r="AC478" s="24">
        <f t="shared" ca="1" si="15"/>
        <v>271.14815753472794</v>
      </c>
      <c r="AD478" s="25" t="str">
        <f t="shared" ca="1" si="16"/>
        <v>&gt;60 dias</v>
      </c>
      <c r="AE478" s="25">
        <f>MONTH(Tabela1[[#This Row],[Criado em]])</f>
        <v>7</v>
      </c>
      <c r="AF478" s="25">
        <f>YEAR(Tabela1[[#This Row],[Criado em]])</f>
        <v>2025</v>
      </c>
      <c r="AG478" s="25">
        <f>COUNTIFS(Tabela1[Mês],Tabela1[[#This Row],[Mês]])</f>
        <v>177</v>
      </c>
      <c r="AH478" s="25">
        <f>COUNTIFS(Tabela1[Mês],Tabela1[[#This Row],[Mês]],Tabela1[Fase atual],"Recebido")</f>
        <v>130</v>
      </c>
      <c r="AI478" s="26">
        <f>Tabela1[[#This Row],[Recebido_ Mes]]/Tabela1[[#This Row],[Total_Mes]]</f>
        <v>0.7344632768361582</v>
      </c>
      <c r="AJ478" s="19">
        <f>COUNTIFS(Tabela1[Fase atual],"Recebido",Tabela1[Mês],Tabela1[[#This Row],[Mês]],Tabela1[Ano],Tabela1[[#This Row],[Ano]])/COUNTIF(Tabela1[Mês],Tabela1[[#This Row],[Mês]])</f>
        <v>0.7344632768361582</v>
      </c>
      <c r="AK478" s="20">
        <f>100%</f>
        <v>1</v>
      </c>
    </row>
    <row r="479" spans="1:37" ht="18" customHeight="1" x14ac:dyDescent="0.25">
      <c r="A479">
        <v>1260496157</v>
      </c>
      <c r="B479" t="s">
        <v>1191</v>
      </c>
      <c r="C479" t="s">
        <v>1192</v>
      </c>
      <c r="D479" t="s">
        <v>37</v>
      </c>
      <c r="E479" t="s">
        <v>31</v>
      </c>
      <c r="F479" s="2">
        <v>45988.796697858787</v>
      </c>
      <c r="AC479" s="24">
        <f t="shared" ca="1" si="15"/>
        <v>145.2033021412135</v>
      </c>
      <c r="AD479" s="25" t="str">
        <f t="shared" ca="1" si="16"/>
        <v>&gt;60 dias</v>
      </c>
      <c r="AE479" s="25">
        <f>MONTH(Tabela1[[#This Row],[Criado em]])</f>
        <v>11</v>
      </c>
      <c r="AF479" s="25">
        <f>YEAR(Tabela1[[#This Row],[Criado em]])</f>
        <v>2025</v>
      </c>
      <c r="AG479" s="25">
        <f>COUNTIFS(Tabela1[Mês],Tabela1[[#This Row],[Mês]])</f>
        <v>130</v>
      </c>
      <c r="AH479" s="25">
        <f>COUNTIFS(Tabela1[Mês],Tabela1[[#This Row],[Mês]],Tabela1[Fase atual],"Recebido")</f>
        <v>100</v>
      </c>
      <c r="AI479" s="26">
        <f>Tabela1[[#This Row],[Recebido_ Mes]]/Tabela1[[#This Row],[Total_Mes]]</f>
        <v>0.76923076923076927</v>
      </c>
      <c r="AJ479" s="19">
        <f>COUNTIFS(Tabela1[Fase atual],"Recebido",Tabela1[Mês],Tabela1[[#This Row],[Mês]],Tabela1[Ano],Tabela1[[#This Row],[Ano]])/COUNTIF(Tabela1[Mês],Tabela1[[#This Row],[Mês]])</f>
        <v>0.76923076923076927</v>
      </c>
      <c r="AK479" s="20">
        <f>100%</f>
        <v>1</v>
      </c>
    </row>
    <row r="480" spans="1:37" ht="18" customHeight="1" x14ac:dyDescent="0.25">
      <c r="A480">
        <v>1205877718</v>
      </c>
      <c r="B480" t="s">
        <v>1193</v>
      </c>
      <c r="C480" t="s">
        <v>1194</v>
      </c>
      <c r="D480" t="s">
        <v>40</v>
      </c>
      <c r="E480" t="s">
        <v>31</v>
      </c>
      <c r="F480" s="2">
        <v>45901.642957939817</v>
      </c>
      <c r="AC480" s="24">
        <f t="shared" ca="1" si="15"/>
        <v>232.35704206018272</v>
      </c>
      <c r="AD480" s="25" t="str">
        <f t="shared" ca="1" si="16"/>
        <v>&gt;60 dias</v>
      </c>
      <c r="AE480" s="25">
        <f>MONTH(Tabela1[[#This Row],[Criado em]])</f>
        <v>9</v>
      </c>
      <c r="AF480" s="25">
        <f>YEAR(Tabela1[[#This Row],[Criado em]])</f>
        <v>2025</v>
      </c>
      <c r="AG480" s="25">
        <f>COUNTIFS(Tabela1[Mês],Tabela1[[#This Row],[Mês]])</f>
        <v>197</v>
      </c>
      <c r="AH480" s="25">
        <f>COUNTIFS(Tabela1[Mês],Tabela1[[#This Row],[Mês]],Tabela1[Fase atual],"Recebido")</f>
        <v>152</v>
      </c>
      <c r="AI480" s="26">
        <f>Tabela1[[#This Row],[Recebido_ Mes]]/Tabela1[[#This Row],[Total_Mes]]</f>
        <v>0.77157360406091369</v>
      </c>
      <c r="AJ480" s="19">
        <f>COUNTIFS(Tabela1[Fase atual],"Recebido",Tabela1[Mês],Tabela1[[#This Row],[Mês]],Tabela1[Ano],Tabela1[[#This Row],[Ano]])/COUNTIF(Tabela1[Mês],Tabela1[[#This Row],[Mês]])</f>
        <v>0.77157360406091369</v>
      </c>
      <c r="AK480" s="20">
        <f>100%</f>
        <v>1</v>
      </c>
    </row>
    <row r="481" spans="1:37" ht="18" customHeight="1" x14ac:dyDescent="0.25">
      <c r="A481">
        <v>1247641167</v>
      </c>
      <c r="B481" t="s">
        <v>1195</v>
      </c>
      <c r="C481" t="s">
        <v>1196</v>
      </c>
      <c r="D481" t="s">
        <v>40</v>
      </c>
      <c r="E481" t="s">
        <v>31</v>
      </c>
      <c r="F481" s="2">
        <v>45960.794609456017</v>
      </c>
      <c r="AC481" s="24">
        <f t="shared" ca="1" si="15"/>
        <v>173.2053905439825</v>
      </c>
      <c r="AD481" s="25" t="str">
        <f t="shared" ca="1" si="16"/>
        <v>&gt;60 dias</v>
      </c>
      <c r="AE481" s="25">
        <f>MONTH(Tabela1[[#This Row],[Criado em]])</f>
        <v>10</v>
      </c>
      <c r="AF481" s="25">
        <f>YEAR(Tabela1[[#This Row],[Criado em]])</f>
        <v>2025</v>
      </c>
      <c r="AG481" s="25">
        <f>COUNTIFS(Tabela1[Mês],Tabela1[[#This Row],[Mês]])</f>
        <v>196</v>
      </c>
      <c r="AH481" s="25">
        <f>COUNTIFS(Tabela1[Mês],Tabela1[[#This Row],[Mês]],Tabela1[Fase atual],"Recebido")</f>
        <v>138</v>
      </c>
      <c r="AI481" s="26">
        <f>Tabela1[[#This Row],[Recebido_ Mes]]/Tabela1[[#This Row],[Total_Mes]]</f>
        <v>0.70408163265306123</v>
      </c>
      <c r="AJ481" s="19">
        <f>COUNTIFS(Tabela1[Fase atual],"Recebido",Tabela1[Mês],Tabela1[[#This Row],[Mês]],Tabela1[Ano],Tabela1[[#This Row],[Ano]])/COUNTIF(Tabela1[Mês],Tabela1[[#This Row],[Mês]])</f>
        <v>0.70408163265306123</v>
      </c>
      <c r="AK481" s="20">
        <f>100%</f>
        <v>1</v>
      </c>
    </row>
    <row r="482" spans="1:37" ht="18" customHeight="1" x14ac:dyDescent="0.25">
      <c r="A482">
        <v>1258054900</v>
      </c>
      <c r="B482" t="s">
        <v>1197</v>
      </c>
      <c r="C482" t="s">
        <v>1198</v>
      </c>
      <c r="D482" t="s">
        <v>37</v>
      </c>
      <c r="E482" t="s">
        <v>31</v>
      </c>
      <c r="F482" s="2">
        <v>45982.92056140046</v>
      </c>
      <c r="AC482" s="24">
        <f t="shared" ca="1" si="15"/>
        <v>151.07943859953957</v>
      </c>
      <c r="AD482" s="25" t="str">
        <f t="shared" ca="1" si="16"/>
        <v>&gt;60 dias</v>
      </c>
      <c r="AE482" s="25">
        <f>MONTH(Tabela1[[#This Row],[Criado em]])</f>
        <v>11</v>
      </c>
      <c r="AF482" s="25">
        <f>YEAR(Tabela1[[#This Row],[Criado em]])</f>
        <v>2025</v>
      </c>
      <c r="AG482" s="25">
        <f>COUNTIFS(Tabela1[Mês],Tabela1[[#This Row],[Mês]])</f>
        <v>130</v>
      </c>
      <c r="AH482" s="25">
        <f>COUNTIFS(Tabela1[Mês],Tabela1[[#This Row],[Mês]],Tabela1[Fase atual],"Recebido")</f>
        <v>100</v>
      </c>
      <c r="AI482" s="26">
        <f>Tabela1[[#This Row],[Recebido_ Mes]]/Tabela1[[#This Row],[Total_Mes]]</f>
        <v>0.76923076923076927</v>
      </c>
      <c r="AJ482" s="19">
        <f>COUNTIFS(Tabela1[Fase atual],"Recebido",Tabela1[Mês],Tabela1[[#This Row],[Mês]],Tabela1[Ano],Tabela1[[#This Row],[Ano]])/COUNTIF(Tabela1[Mês],Tabela1[[#This Row],[Mês]])</f>
        <v>0.76923076923076927</v>
      </c>
      <c r="AK482" s="20">
        <f>100%</f>
        <v>1</v>
      </c>
    </row>
    <row r="483" spans="1:37" ht="18" customHeight="1" x14ac:dyDescent="0.25">
      <c r="A483">
        <v>1216567854</v>
      </c>
      <c r="B483" t="s">
        <v>1199</v>
      </c>
      <c r="C483" t="s">
        <v>1200</v>
      </c>
      <c r="D483" t="s">
        <v>37</v>
      </c>
      <c r="E483" t="s">
        <v>31</v>
      </c>
      <c r="F483" s="2">
        <v>45918.60475298611</v>
      </c>
      <c r="AC483" s="24">
        <f t="shared" ca="1" si="15"/>
        <v>215.39524701389018</v>
      </c>
      <c r="AD483" s="25" t="str">
        <f t="shared" ca="1" si="16"/>
        <v>&gt;60 dias</v>
      </c>
      <c r="AE483" s="25">
        <f>MONTH(Tabela1[[#This Row],[Criado em]])</f>
        <v>9</v>
      </c>
      <c r="AF483" s="25">
        <f>YEAR(Tabela1[[#This Row],[Criado em]])</f>
        <v>2025</v>
      </c>
      <c r="AG483" s="25">
        <f>COUNTIFS(Tabela1[Mês],Tabela1[[#This Row],[Mês]])</f>
        <v>197</v>
      </c>
      <c r="AH483" s="25">
        <f>COUNTIFS(Tabela1[Mês],Tabela1[[#This Row],[Mês]],Tabela1[Fase atual],"Recebido")</f>
        <v>152</v>
      </c>
      <c r="AI483" s="26">
        <f>Tabela1[[#This Row],[Recebido_ Mes]]/Tabela1[[#This Row],[Total_Mes]]</f>
        <v>0.77157360406091369</v>
      </c>
      <c r="AJ483" s="19">
        <f>COUNTIFS(Tabela1[Fase atual],"Recebido",Tabela1[Mês],Tabela1[[#This Row],[Mês]],Tabela1[Ano],Tabela1[[#This Row],[Ano]])/COUNTIF(Tabela1[Mês],Tabela1[[#This Row],[Mês]])</f>
        <v>0.77157360406091369</v>
      </c>
      <c r="AK483" s="20">
        <f>100%</f>
        <v>1</v>
      </c>
    </row>
    <row r="484" spans="1:37" ht="18" customHeight="1" x14ac:dyDescent="0.25">
      <c r="A484">
        <v>1286720114</v>
      </c>
      <c r="B484" t="s">
        <v>227</v>
      </c>
      <c r="C484" t="s">
        <v>228</v>
      </c>
      <c r="D484" t="s">
        <v>40</v>
      </c>
      <c r="E484" t="s">
        <v>31</v>
      </c>
      <c r="F484" s="2">
        <v>46045.795185590279</v>
      </c>
      <c r="AC484" s="24">
        <f t="shared" ca="1" si="15"/>
        <v>88.204814409720711</v>
      </c>
      <c r="AD484" s="25" t="str">
        <f t="shared" ca="1" si="16"/>
        <v>&gt;60 dias</v>
      </c>
      <c r="AE484" s="25">
        <f>MONTH(Tabela1[[#This Row],[Criado em]])</f>
        <v>1</v>
      </c>
      <c r="AF484" s="25">
        <f>YEAR(Tabela1[[#This Row],[Criado em]])</f>
        <v>2026</v>
      </c>
      <c r="AG484" s="25">
        <f>COUNTIFS(Tabela1[Mês],Tabela1[[#This Row],[Mês]])</f>
        <v>222</v>
      </c>
      <c r="AH484" s="25">
        <f>COUNTIFS(Tabela1[Mês],Tabela1[[#This Row],[Mês]],Tabela1[Fase atual],"Recebido")</f>
        <v>174</v>
      </c>
      <c r="AI484" s="26">
        <f>Tabela1[[#This Row],[Recebido_ Mes]]/Tabela1[[#This Row],[Total_Mes]]</f>
        <v>0.78378378378378377</v>
      </c>
      <c r="AJ484" s="19">
        <f>COUNTIFS(Tabela1[Fase atual],"Recebido",Tabela1[Mês],Tabela1[[#This Row],[Mês]],Tabela1[Ano],Tabela1[[#This Row],[Ano]])/COUNTIF(Tabela1[Mês],Tabela1[[#This Row],[Mês]])</f>
        <v>0.78378378378378377</v>
      </c>
      <c r="AK484" s="20">
        <f>100%</f>
        <v>1</v>
      </c>
    </row>
    <row r="485" spans="1:37" ht="18" customHeight="1" x14ac:dyDescent="0.25">
      <c r="A485">
        <v>1282981661</v>
      </c>
      <c r="B485" t="s">
        <v>229</v>
      </c>
      <c r="C485" t="s">
        <v>230</v>
      </c>
      <c r="D485" t="s">
        <v>202</v>
      </c>
      <c r="E485" t="s">
        <v>31</v>
      </c>
      <c r="F485" s="2">
        <v>46038.794320532412</v>
      </c>
      <c r="AC485" s="24">
        <f t="shared" ca="1" si="15"/>
        <v>95.205679467588197</v>
      </c>
      <c r="AD485" s="25" t="str">
        <f t="shared" ca="1" si="16"/>
        <v>&gt;60 dias</v>
      </c>
      <c r="AE485" s="25">
        <f>MONTH(Tabela1[[#This Row],[Criado em]])</f>
        <v>1</v>
      </c>
      <c r="AF485" s="25">
        <f>YEAR(Tabela1[[#This Row],[Criado em]])</f>
        <v>2026</v>
      </c>
      <c r="AG485" s="25">
        <f>COUNTIFS(Tabela1[Mês],Tabela1[[#This Row],[Mês]])</f>
        <v>222</v>
      </c>
      <c r="AH485" s="25">
        <f>COUNTIFS(Tabela1[Mês],Tabela1[[#This Row],[Mês]],Tabela1[Fase atual],"Recebido")</f>
        <v>174</v>
      </c>
      <c r="AI485" s="26">
        <f>Tabela1[[#This Row],[Recebido_ Mes]]/Tabela1[[#This Row],[Total_Mes]]</f>
        <v>0.78378378378378377</v>
      </c>
      <c r="AJ485" s="19">
        <f>COUNTIFS(Tabela1[Fase atual],"Recebido",Tabela1[Mês],Tabela1[[#This Row],[Mês]],Tabela1[Ano],Tabela1[[#This Row],[Ano]])/COUNTIF(Tabela1[Mês],Tabela1[[#This Row],[Mês]])</f>
        <v>0.78378378378378377</v>
      </c>
      <c r="AK485" s="20">
        <f>100%</f>
        <v>1</v>
      </c>
    </row>
    <row r="486" spans="1:37" ht="18" customHeight="1" x14ac:dyDescent="0.25">
      <c r="A486">
        <v>1305655440</v>
      </c>
      <c r="B486" t="s">
        <v>2204</v>
      </c>
      <c r="C486" t="s">
        <v>2205</v>
      </c>
      <c r="D486" t="s">
        <v>2179</v>
      </c>
      <c r="E486" t="s">
        <v>31</v>
      </c>
      <c r="F486" s="2">
        <v>46080.920387546299</v>
      </c>
      <c r="AC486" s="24">
        <f t="shared" ca="1" si="15"/>
        <v>53.079612453700975</v>
      </c>
      <c r="AD486" s="25" t="str">
        <f t="shared" ca="1" si="16"/>
        <v>31-60 dias</v>
      </c>
      <c r="AE486" s="25">
        <f>MONTH(Tabela1[[#This Row],[Criado em]])</f>
        <v>2</v>
      </c>
      <c r="AF486" s="25">
        <f>YEAR(Tabela1[[#This Row],[Criado em]])</f>
        <v>2026</v>
      </c>
      <c r="AG486" s="25">
        <f>COUNTIFS(Tabela1[Mês],Tabela1[[#This Row],[Mês]])</f>
        <v>197</v>
      </c>
      <c r="AH486" s="25">
        <f>COUNTIFS(Tabela1[Mês],Tabela1[[#This Row],[Mês]],Tabela1[Fase atual],"Recebido")</f>
        <v>124</v>
      </c>
      <c r="AI486" s="26">
        <f>Tabela1[[#This Row],[Recebido_ Mes]]/Tabela1[[#This Row],[Total_Mes]]</f>
        <v>0.62944162436548223</v>
      </c>
      <c r="AJ486" s="19">
        <f>COUNTIFS(Tabela1[Fase atual],"Recebido",Tabela1[Mês],Tabela1[[#This Row],[Mês]],Tabela1[Ano],Tabela1[[#This Row],[Ano]])/COUNTIF(Tabela1[Mês],Tabela1[[#This Row],[Mês]])</f>
        <v>0.62944162436548223</v>
      </c>
      <c r="AK486" s="20">
        <f>100%</f>
        <v>1</v>
      </c>
    </row>
    <row r="487" spans="1:37" ht="18" customHeight="1" x14ac:dyDescent="0.25">
      <c r="A487">
        <v>1190370174</v>
      </c>
      <c r="B487" t="s">
        <v>535</v>
      </c>
      <c r="C487" t="s">
        <v>1201</v>
      </c>
      <c r="D487" t="s">
        <v>37</v>
      </c>
      <c r="E487" t="s">
        <v>31</v>
      </c>
      <c r="F487" s="2">
        <v>45876.732258680553</v>
      </c>
      <c r="AC487" s="24">
        <f t="shared" ca="1" si="15"/>
        <v>257.26774131944694</v>
      </c>
      <c r="AD487" s="25" t="str">
        <f t="shared" ca="1" si="16"/>
        <v>&gt;60 dias</v>
      </c>
      <c r="AE487" s="25">
        <f>MONTH(Tabela1[[#This Row],[Criado em]])</f>
        <v>8</v>
      </c>
      <c r="AF487" s="25">
        <f>YEAR(Tabela1[[#This Row],[Criado em]])</f>
        <v>2025</v>
      </c>
      <c r="AG487" s="25">
        <f>COUNTIFS(Tabela1[Mês],Tabela1[[#This Row],[Mês]])</f>
        <v>146</v>
      </c>
      <c r="AH487" s="25">
        <f>COUNTIFS(Tabela1[Mês],Tabela1[[#This Row],[Mês]],Tabela1[Fase atual],"Recebido")</f>
        <v>115</v>
      </c>
      <c r="AI487" s="26">
        <f>Tabela1[[#This Row],[Recebido_ Mes]]/Tabela1[[#This Row],[Total_Mes]]</f>
        <v>0.78767123287671237</v>
      </c>
      <c r="AJ487" s="19">
        <f>COUNTIFS(Tabela1[Fase atual],"Recebido",Tabela1[Mês],Tabela1[[#This Row],[Mês]],Tabela1[Ano],Tabela1[[#This Row],[Ano]])/COUNTIF(Tabela1[Mês],Tabela1[[#This Row],[Mês]])</f>
        <v>0.78767123287671237</v>
      </c>
      <c r="AK487" s="20">
        <f>100%</f>
        <v>1</v>
      </c>
    </row>
    <row r="488" spans="1:37" ht="18" customHeight="1" x14ac:dyDescent="0.25">
      <c r="A488">
        <v>1267302956</v>
      </c>
      <c r="B488" t="s">
        <v>231</v>
      </c>
      <c r="C488" t="s">
        <v>1202</v>
      </c>
      <c r="D488" t="s">
        <v>40</v>
      </c>
      <c r="E488" t="s">
        <v>31</v>
      </c>
      <c r="F488" s="2">
        <v>46002.922057164353</v>
      </c>
      <c r="AC488" s="24">
        <f t="shared" ca="1" si="15"/>
        <v>131.07794283564726</v>
      </c>
      <c r="AD488" s="25" t="str">
        <f t="shared" ca="1" si="16"/>
        <v>&gt;60 dias</v>
      </c>
      <c r="AE488" s="25">
        <f>MONTH(Tabela1[[#This Row],[Criado em]])</f>
        <v>12</v>
      </c>
      <c r="AF488" s="25">
        <f>YEAR(Tabela1[[#This Row],[Criado em]])</f>
        <v>2025</v>
      </c>
      <c r="AG488" s="25">
        <f>COUNTIFS(Tabela1[Mês],Tabela1[[#This Row],[Mês]])</f>
        <v>207</v>
      </c>
      <c r="AH488" s="25">
        <f>COUNTIFS(Tabela1[Mês],Tabela1[[#This Row],[Mês]],Tabela1[Fase atual],"Recebido")</f>
        <v>155</v>
      </c>
      <c r="AI488" s="26">
        <f>Tabela1[[#This Row],[Recebido_ Mes]]/Tabela1[[#This Row],[Total_Mes]]</f>
        <v>0.74879227053140096</v>
      </c>
      <c r="AJ488" s="19">
        <f>COUNTIFS(Tabela1[Fase atual],"Recebido",Tabela1[Mês],Tabela1[[#This Row],[Mês]],Tabela1[Ano],Tabela1[[#This Row],[Ano]])/COUNTIF(Tabela1[Mês],Tabela1[[#This Row],[Mês]])</f>
        <v>0.74879227053140096</v>
      </c>
      <c r="AK488" s="20">
        <f>100%</f>
        <v>1</v>
      </c>
    </row>
    <row r="489" spans="1:37" ht="18" customHeight="1" x14ac:dyDescent="0.25">
      <c r="A489">
        <v>1271278297</v>
      </c>
      <c r="B489" t="s">
        <v>231</v>
      </c>
      <c r="C489" t="s">
        <v>1203</v>
      </c>
      <c r="D489" t="s">
        <v>37</v>
      </c>
      <c r="E489" t="s">
        <v>31</v>
      </c>
      <c r="F489" s="2">
        <v>46013.548928206023</v>
      </c>
      <c r="AC489" s="24">
        <f t="shared" ca="1" si="15"/>
        <v>120.45107179397746</v>
      </c>
      <c r="AD489" s="25" t="str">
        <f t="shared" ca="1" si="16"/>
        <v>&gt;60 dias</v>
      </c>
      <c r="AE489" s="25">
        <f>MONTH(Tabela1[[#This Row],[Criado em]])</f>
        <v>12</v>
      </c>
      <c r="AF489" s="25">
        <f>YEAR(Tabela1[[#This Row],[Criado em]])</f>
        <v>2025</v>
      </c>
      <c r="AG489" s="25">
        <f>COUNTIFS(Tabela1[Mês],Tabela1[[#This Row],[Mês]])</f>
        <v>207</v>
      </c>
      <c r="AH489" s="25">
        <f>COUNTIFS(Tabela1[Mês],Tabela1[[#This Row],[Mês]],Tabela1[Fase atual],"Recebido")</f>
        <v>155</v>
      </c>
      <c r="AI489" s="26">
        <f>Tabela1[[#This Row],[Recebido_ Mes]]/Tabela1[[#This Row],[Total_Mes]]</f>
        <v>0.74879227053140096</v>
      </c>
      <c r="AJ489" s="19">
        <f>COUNTIFS(Tabela1[Fase atual],"Recebido",Tabela1[Mês],Tabela1[[#This Row],[Mês]],Tabela1[Ano],Tabela1[[#This Row],[Ano]])/COUNTIF(Tabela1[Mês],Tabela1[[#This Row],[Mês]])</f>
        <v>0.74879227053140096</v>
      </c>
      <c r="AK489" s="20">
        <f>100%</f>
        <v>1</v>
      </c>
    </row>
    <row r="490" spans="1:37" ht="18" customHeight="1" x14ac:dyDescent="0.25">
      <c r="A490">
        <v>1280350802</v>
      </c>
      <c r="B490" t="s">
        <v>231</v>
      </c>
      <c r="C490" t="s">
        <v>232</v>
      </c>
      <c r="D490" t="s">
        <v>37</v>
      </c>
      <c r="E490" t="s">
        <v>31</v>
      </c>
      <c r="F490" s="2">
        <v>46034.568644039347</v>
      </c>
      <c r="AC490" s="24">
        <f t="shared" ca="1" si="15"/>
        <v>99.431355960652581</v>
      </c>
      <c r="AD490" s="25" t="str">
        <f t="shared" ca="1" si="16"/>
        <v>&gt;60 dias</v>
      </c>
      <c r="AE490" s="25">
        <f>MONTH(Tabela1[[#This Row],[Criado em]])</f>
        <v>1</v>
      </c>
      <c r="AF490" s="25">
        <f>YEAR(Tabela1[[#This Row],[Criado em]])</f>
        <v>2026</v>
      </c>
      <c r="AG490" s="25">
        <f>COUNTIFS(Tabela1[Mês],Tabela1[[#This Row],[Mês]])</f>
        <v>222</v>
      </c>
      <c r="AH490" s="25">
        <f>COUNTIFS(Tabela1[Mês],Tabela1[[#This Row],[Mês]],Tabela1[Fase atual],"Recebido")</f>
        <v>174</v>
      </c>
      <c r="AI490" s="26">
        <f>Tabela1[[#This Row],[Recebido_ Mes]]/Tabela1[[#This Row],[Total_Mes]]</f>
        <v>0.78378378378378377</v>
      </c>
      <c r="AJ490" s="19">
        <f>COUNTIFS(Tabela1[Fase atual],"Recebido",Tabela1[Mês],Tabela1[[#This Row],[Mês]],Tabela1[Ano],Tabela1[[#This Row],[Ano]])/COUNTIF(Tabela1[Mês],Tabela1[[#This Row],[Mês]])</f>
        <v>0.78378378378378377</v>
      </c>
      <c r="AK490" s="20">
        <f>100%</f>
        <v>1</v>
      </c>
    </row>
    <row r="491" spans="1:37" ht="18" customHeight="1" x14ac:dyDescent="0.25">
      <c r="A491">
        <v>1207657251</v>
      </c>
      <c r="B491" t="s">
        <v>1204</v>
      </c>
      <c r="C491" t="s">
        <v>1205</v>
      </c>
      <c r="D491" t="s">
        <v>37</v>
      </c>
      <c r="E491" t="s">
        <v>31</v>
      </c>
      <c r="F491" s="2">
        <v>45903.852136273148</v>
      </c>
      <c r="AC491" s="24">
        <f t="shared" ca="1" si="15"/>
        <v>230.14786372685194</v>
      </c>
      <c r="AD491" s="25" t="str">
        <f t="shared" ca="1" si="16"/>
        <v>&gt;60 dias</v>
      </c>
      <c r="AE491" s="25">
        <f>MONTH(Tabela1[[#This Row],[Criado em]])</f>
        <v>9</v>
      </c>
      <c r="AF491" s="25">
        <f>YEAR(Tabela1[[#This Row],[Criado em]])</f>
        <v>2025</v>
      </c>
      <c r="AG491" s="25">
        <f>COUNTIFS(Tabela1[Mês],Tabela1[[#This Row],[Mês]])</f>
        <v>197</v>
      </c>
      <c r="AH491" s="25">
        <f>COUNTIFS(Tabela1[Mês],Tabela1[[#This Row],[Mês]],Tabela1[Fase atual],"Recebido")</f>
        <v>152</v>
      </c>
      <c r="AI491" s="26">
        <f>Tabela1[[#This Row],[Recebido_ Mes]]/Tabela1[[#This Row],[Total_Mes]]</f>
        <v>0.77157360406091369</v>
      </c>
      <c r="AJ491" s="19">
        <f>COUNTIFS(Tabela1[Fase atual],"Recebido",Tabela1[Mês],Tabela1[[#This Row],[Mês]],Tabela1[Ano],Tabela1[[#This Row],[Ano]])/COUNTIF(Tabela1[Mês],Tabela1[[#This Row],[Mês]])</f>
        <v>0.77157360406091369</v>
      </c>
      <c r="AK491" s="20">
        <f>100%</f>
        <v>1</v>
      </c>
    </row>
    <row r="492" spans="1:37" ht="18" customHeight="1" x14ac:dyDescent="0.25">
      <c r="A492">
        <v>1234611406</v>
      </c>
      <c r="B492" t="s">
        <v>133</v>
      </c>
      <c r="C492" t="s">
        <v>1206</v>
      </c>
      <c r="D492" t="s">
        <v>40</v>
      </c>
      <c r="E492" t="s">
        <v>31</v>
      </c>
      <c r="F492" s="2">
        <v>45943.919389363422</v>
      </c>
      <c r="AC492" s="24">
        <f t="shared" ca="1" si="15"/>
        <v>190.08061063657806</v>
      </c>
      <c r="AD492" s="25" t="str">
        <f t="shared" ca="1" si="16"/>
        <v>&gt;60 dias</v>
      </c>
      <c r="AE492" s="25">
        <f>MONTH(Tabela1[[#This Row],[Criado em]])</f>
        <v>10</v>
      </c>
      <c r="AF492" s="25">
        <f>YEAR(Tabela1[[#This Row],[Criado em]])</f>
        <v>2025</v>
      </c>
      <c r="AG492" s="25">
        <f>COUNTIFS(Tabela1[Mês],Tabela1[[#This Row],[Mês]])</f>
        <v>196</v>
      </c>
      <c r="AH492" s="25">
        <f>COUNTIFS(Tabela1[Mês],Tabela1[[#This Row],[Mês]],Tabela1[Fase atual],"Recebido")</f>
        <v>138</v>
      </c>
      <c r="AI492" s="26">
        <f>Tabela1[[#This Row],[Recebido_ Mes]]/Tabela1[[#This Row],[Total_Mes]]</f>
        <v>0.70408163265306123</v>
      </c>
      <c r="AJ492" s="19">
        <f>COUNTIFS(Tabela1[Fase atual],"Recebido",Tabela1[Mês],Tabela1[[#This Row],[Mês]],Tabela1[Ano],Tabela1[[#This Row],[Ano]])/COUNTIF(Tabela1[Mês],Tabela1[[#This Row],[Mês]])</f>
        <v>0.70408163265306123</v>
      </c>
      <c r="AK492" s="20">
        <f>100%</f>
        <v>1</v>
      </c>
    </row>
    <row r="493" spans="1:37" ht="18" customHeight="1" x14ac:dyDescent="0.25">
      <c r="A493">
        <v>1229140466</v>
      </c>
      <c r="B493" t="s">
        <v>133</v>
      </c>
      <c r="C493" t="s">
        <v>1207</v>
      </c>
      <c r="D493" t="s">
        <v>40</v>
      </c>
      <c r="E493" t="s">
        <v>31</v>
      </c>
      <c r="F493" s="2">
        <v>45936.850565335648</v>
      </c>
      <c r="AC493" s="24">
        <f t="shared" ca="1" si="15"/>
        <v>197.14943466435216</v>
      </c>
      <c r="AD493" s="25" t="str">
        <f t="shared" ca="1" si="16"/>
        <v>&gt;60 dias</v>
      </c>
      <c r="AE493" s="25">
        <f>MONTH(Tabela1[[#This Row],[Criado em]])</f>
        <v>10</v>
      </c>
      <c r="AF493" s="25">
        <f>YEAR(Tabela1[[#This Row],[Criado em]])</f>
        <v>2025</v>
      </c>
      <c r="AG493" s="25">
        <f>COUNTIFS(Tabela1[Mês],Tabela1[[#This Row],[Mês]])</f>
        <v>196</v>
      </c>
      <c r="AH493" s="25">
        <f>COUNTIFS(Tabela1[Mês],Tabela1[[#This Row],[Mês]],Tabela1[Fase atual],"Recebido")</f>
        <v>138</v>
      </c>
      <c r="AI493" s="26">
        <f>Tabela1[[#This Row],[Recebido_ Mes]]/Tabela1[[#This Row],[Total_Mes]]</f>
        <v>0.70408163265306123</v>
      </c>
      <c r="AJ493" s="19">
        <f>COUNTIFS(Tabela1[Fase atual],"Recebido",Tabela1[Mês],Tabela1[[#This Row],[Mês]],Tabela1[Ano],Tabela1[[#This Row],[Ano]])/COUNTIF(Tabela1[Mês],Tabela1[[#This Row],[Mês]])</f>
        <v>0.70408163265306123</v>
      </c>
      <c r="AK493" s="20">
        <f>100%</f>
        <v>1</v>
      </c>
    </row>
    <row r="494" spans="1:37" ht="18" customHeight="1" x14ac:dyDescent="0.25">
      <c r="A494">
        <v>1217451618</v>
      </c>
      <c r="B494" t="s">
        <v>1208</v>
      </c>
      <c r="C494" t="s">
        <v>1209</v>
      </c>
      <c r="D494" t="s">
        <v>784</v>
      </c>
      <c r="E494" t="s">
        <v>31</v>
      </c>
      <c r="F494" s="2">
        <v>45919.851754733798</v>
      </c>
      <c r="AC494" s="24">
        <f t="shared" ca="1" si="15"/>
        <v>214.14824526620214</v>
      </c>
      <c r="AD494" s="25" t="str">
        <f t="shared" ca="1" si="16"/>
        <v>&gt;60 dias</v>
      </c>
      <c r="AE494" s="25">
        <f>MONTH(Tabela1[[#This Row],[Criado em]])</f>
        <v>9</v>
      </c>
      <c r="AF494" s="25">
        <f>YEAR(Tabela1[[#This Row],[Criado em]])</f>
        <v>2025</v>
      </c>
      <c r="AG494" s="25">
        <f>COUNTIFS(Tabela1[Mês],Tabela1[[#This Row],[Mês]])</f>
        <v>197</v>
      </c>
      <c r="AH494" s="25">
        <f>COUNTIFS(Tabela1[Mês],Tabela1[[#This Row],[Mês]],Tabela1[Fase atual],"Recebido")</f>
        <v>152</v>
      </c>
      <c r="AI494" s="26">
        <f>Tabela1[[#This Row],[Recebido_ Mes]]/Tabela1[[#This Row],[Total_Mes]]</f>
        <v>0.77157360406091369</v>
      </c>
      <c r="AJ494" s="19">
        <f>COUNTIFS(Tabela1[Fase atual],"Recebido",Tabela1[Mês],Tabela1[[#This Row],[Mês]],Tabela1[Ano],Tabela1[[#This Row],[Ano]])/COUNTIF(Tabela1[Mês],Tabela1[[#This Row],[Mês]])</f>
        <v>0.77157360406091369</v>
      </c>
      <c r="AK494" s="20">
        <f>100%</f>
        <v>1</v>
      </c>
    </row>
    <row r="495" spans="1:37" ht="18" customHeight="1" x14ac:dyDescent="0.25">
      <c r="A495">
        <v>1307438405</v>
      </c>
      <c r="B495" t="s">
        <v>2206</v>
      </c>
      <c r="C495" t="s">
        <v>2207</v>
      </c>
      <c r="D495" t="s">
        <v>2179</v>
      </c>
      <c r="E495" t="s">
        <v>31</v>
      </c>
      <c r="F495" s="2">
        <v>46083.919826018522</v>
      </c>
      <c r="AC495" s="24">
        <f t="shared" ca="1" si="15"/>
        <v>50.080173981477856</v>
      </c>
      <c r="AD495" s="25" t="str">
        <f t="shared" ca="1" si="16"/>
        <v>31-60 dias</v>
      </c>
      <c r="AE495" s="25">
        <f>MONTH(Tabela1[[#This Row],[Criado em]])</f>
        <v>3</v>
      </c>
      <c r="AF495" s="25">
        <f>YEAR(Tabela1[[#This Row],[Criado em]])</f>
        <v>2026</v>
      </c>
      <c r="AG495" s="25">
        <f>COUNTIFS(Tabela1[Mês],Tabela1[[#This Row],[Mês]])</f>
        <v>62</v>
      </c>
      <c r="AH495" s="25">
        <f>COUNTIFS(Tabela1[Mês],Tabela1[[#This Row],[Mês]],Tabela1[Fase atual],"Recebido")</f>
        <v>13</v>
      </c>
      <c r="AI495" s="26">
        <f>Tabela1[[#This Row],[Recebido_ Mes]]/Tabela1[[#This Row],[Total_Mes]]</f>
        <v>0.20967741935483872</v>
      </c>
      <c r="AJ495" s="19">
        <f>COUNTIFS(Tabela1[Fase atual],"Recebido",Tabela1[Mês],Tabela1[[#This Row],[Mês]],Tabela1[Ano],Tabela1[[#This Row],[Ano]])/COUNTIF(Tabela1[Mês],Tabela1[[#This Row],[Mês]])</f>
        <v>0.20967741935483872</v>
      </c>
      <c r="AK495" s="20">
        <f>100%</f>
        <v>1</v>
      </c>
    </row>
    <row r="496" spans="1:37" ht="18" customHeight="1" x14ac:dyDescent="0.25">
      <c r="A496">
        <v>1267729278</v>
      </c>
      <c r="B496" t="s">
        <v>233</v>
      </c>
      <c r="C496" t="s">
        <v>234</v>
      </c>
      <c r="D496" t="s">
        <v>37</v>
      </c>
      <c r="E496" t="s">
        <v>31</v>
      </c>
      <c r="F496" s="2">
        <v>46003.798820914351</v>
      </c>
      <c r="AC496" s="24">
        <f t="shared" ca="1" si="15"/>
        <v>130.20117908564862</v>
      </c>
      <c r="AD496" s="25" t="str">
        <f t="shared" ca="1" si="16"/>
        <v>&gt;60 dias</v>
      </c>
      <c r="AE496" s="25">
        <f>MONTH(Tabela1[[#This Row],[Criado em]])</f>
        <v>12</v>
      </c>
      <c r="AF496" s="25">
        <f>YEAR(Tabela1[[#This Row],[Criado em]])</f>
        <v>2025</v>
      </c>
      <c r="AG496" s="25">
        <f>COUNTIFS(Tabela1[Mês],Tabela1[[#This Row],[Mês]])</f>
        <v>207</v>
      </c>
      <c r="AH496" s="25">
        <f>COUNTIFS(Tabela1[Mês],Tabela1[[#This Row],[Mês]],Tabela1[Fase atual],"Recebido")</f>
        <v>155</v>
      </c>
      <c r="AI496" s="26">
        <f>Tabela1[[#This Row],[Recebido_ Mes]]/Tabela1[[#This Row],[Total_Mes]]</f>
        <v>0.74879227053140096</v>
      </c>
      <c r="AJ496" s="19">
        <f>COUNTIFS(Tabela1[Fase atual],"Recebido",Tabela1[Mês],Tabela1[[#This Row],[Mês]],Tabela1[Ano],Tabela1[[#This Row],[Ano]])/COUNTIF(Tabela1[Mês],Tabela1[[#This Row],[Mês]])</f>
        <v>0.74879227053140096</v>
      </c>
      <c r="AK496" s="20">
        <f>100%</f>
        <v>1</v>
      </c>
    </row>
    <row r="497" spans="1:37" ht="18" customHeight="1" x14ac:dyDescent="0.25">
      <c r="A497">
        <v>1278476623</v>
      </c>
      <c r="B497" t="s">
        <v>233</v>
      </c>
      <c r="C497" t="s">
        <v>234</v>
      </c>
      <c r="D497" t="s">
        <v>37</v>
      </c>
      <c r="E497" t="s">
        <v>31</v>
      </c>
      <c r="F497" s="2">
        <v>46029.920825706024</v>
      </c>
      <c r="AC497" s="24">
        <f t="shared" ca="1" si="15"/>
        <v>104.07917429397639</v>
      </c>
      <c r="AD497" s="25" t="str">
        <f t="shared" ca="1" si="16"/>
        <v>&gt;60 dias</v>
      </c>
      <c r="AE497" s="25">
        <f>MONTH(Tabela1[[#This Row],[Criado em]])</f>
        <v>1</v>
      </c>
      <c r="AF497" s="25">
        <f>YEAR(Tabela1[[#This Row],[Criado em]])</f>
        <v>2026</v>
      </c>
      <c r="AG497" s="25">
        <f>COUNTIFS(Tabela1[Mês],Tabela1[[#This Row],[Mês]])</f>
        <v>222</v>
      </c>
      <c r="AH497" s="25">
        <f>COUNTIFS(Tabela1[Mês],Tabela1[[#This Row],[Mês]],Tabela1[Fase atual],"Recebido")</f>
        <v>174</v>
      </c>
      <c r="AI497" s="26">
        <f>Tabela1[[#This Row],[Recebido_ Mes]]/Tabela1[[#This Row],[Total_Mes]]</f>
        <v>0.78378378378378377</v>
      </c>
      <c r="AJ497" s="19">
        <f>COUNTIFS(Tabela1[Fase atual],"Recebido",Tabela1[Mês],Tabela1[[#This Row],[Mês]],Tabela1[Ano],Tabela1[[#This Row],[Ano]])/COUNTIF(Tabela1[Mês],Tabela1[[#This Row],[Mês]])</f>
        <v>0.78378378378378377</v>
      </c>
      <c r="AK497" s="20">
        <f>100%</f>
        <v>1</v>
      </c>
    </row>
    <row r="498" spans="1:37" ht="18" customHeight="1" x14ac:dyDescent="0.25">
      <c r="A498">
        <v>1299909020</v>
      </c>
      <c r="B498" t="s">
        <v>235</v>
      </c>
      <c r="C498" t="s">
        <v>236</v>
      </c>
      <c r="D498" t="s">
        <v>37</v>
      </c>
      <c r="E498" t="s">
        <v>31</v>
      </c>
      <c r="F498" s="2">
        <v>46072.920791655088</v>
      </c>
      <c r="AC498" s="24">
        <f t="shared" ca="1" si="15"/>
        <v>61.079208344912331</v>
      </c>
      <c r="AD498" s="25" t="str">
        <f t="shared" ca="1" si="16"/>
        <v>&gt;60 dias</v>
      </c>
      <c r="AE498" s="25">
        <f>MONTH(Tabela1[[#This Row],[Criado em]])</f>
        <v>2</v>
      </c>
      <c r="AF498" s="25">
        <f>YEAR(Tabela1[[#This Row],[Criado em]])</f>
        <v>2026</v>
      </c>
      <c r="AG498" s="25">
        <f>COUNTIFS(Tabela1[Mês],Tabela1[[#This Row],[Mês]])</f>
        <v>197</v>
      </c>
      <c r="AH498" s="25">
        <f>COUNTIFS(Tabela1[Mês],Tabela1[[#This Row],[Mês]],Tabela1[Fase atual],"Recebido")</f>
        <v>124</v>
      </c>
      <c r="AI498" s="26">
        <f>Tabela1[[#This Row],[Recebido_ Mes]]/Tabela1[[#This Row],[Total_Mes]]</f>
        <v>0.62944162436548223</v>
      </c>
      <c r="AJ498" s="19">
        <f>COUNTIFS(Tabela1[Fase atual],"Recebido",Tabela1[Mês],Tabela1[[#This Row],[Mês]],Tabela1[Ano],Tabela1[[#This Row],[Ano]])/COUNTIF(Tabela1[Mês],Tabela1[[#This Row],[Mês]])</f>
        <v>0.62944162436548223</v>
      </c>
      <c r="AK498" s="20">
        <f>100%</f>
        <v>1</v>
      </c>
    </row>
    <row r="499" spans="1:37" ht="18" customHeight="1" x14ac:dyDescent="0.25">
      <c r="A499">
        <v>1246141180</v>
      </c>
      <c r="B499" t="s">
        <v>1210</v>
      </c>
      <c r="C499" t="s">
        <v>1211</v>
      </c>
      <c r="D499" t="s">
        <v>37</v>
      </c>
      <c r="E499" t="s">
        <v>31</v>
      </c>
      <c r="F499" s="2">
        <v>45958.626826423613</v>
      </c>
      <c r="AC499" s="24">
        <f t="shared" ca="1" si="15"/>
        <v>175.37317357638676</v>
      </c>
      <c r="AD499" s="25" t="str">
        <f t="shared" ca="1" si="16"/>
        <v>&gt;60 dias</v>
      </c>
      <c r="AE499" s="25">
        <f>MONTH(Tabela1[[#This Row],[Criado em]])</f>
        <v>10</v>
      </c>
      <c r="AF499" s="25">
        <f>YEAR(Tabela1[[#This Row],[Criado em]])</f>
        <v>2025</v>
      </c>
      <c r="AG499" s="25">
        <f>COUNTIFS(Tabela1[Mês],Tabela1[[#This Row],[Mês]])</f>
        <v>196</v>
      </c>
      <c r="AH499" s="25">
        <f>COUNTIFS(Tabela1[Mês],Tabela1[[#This Row],[Mês]],Tabela1[Fase atual],"Recebido")</f>
        <v>138</v>
      </c>
      <c r="AI499" s="26">
        <f>Tabela1[[#This Row],[Recebido_ Mes]]/Tabela1[[#This Row],[Total_Mes]]</f>
        <v>0.70408163265306123</v>
      </c>
      <c r="AJ499" s="19">
        <f>COUNTIFS(Tabela1[Fase atual],"Recebido",Tabela1[Mês],Tabela1[[#This Row],[Mês]],Tabela1[Ano],Tabela1[[#This Row],[Ano]])/COUNTIF(Tabela1[Mês],Tabela1[[#This Row],[Mês]])</f>
        <v>0.70408163265306123</v>
      </c>
      <c r="AK499" s="20">
        <f>100%</f>
        <v>1</v>
      </c>
    </row>
    <row r="500" spans="1:37" ht="18" customHeight="1" x14ac:dyDescent="0.25">
      <c r="A500">
        <v>1171784043</v>
      </c>
      <c r="B500" t="s">
        <v>849</v>
      </c>
      <c r="C500" t="s">
        <v>1212</v>
      </c>
      <c r="D500" t="s">
        <v>37</v>
      </c>
      <c r="E500" t="s">
        <v>31</v>
      </c>
      <c r="F500" s="2">
        <v>45842.642912951393</v>
      </c>
      <c r="AC500" s="24">
        <f t="shared" ca="1" si="15"/>
        <v>291.35708704860735</v>
      </c>
      <c r="AD500" s="25" t="str">
        <f t="shared" ca="1" si="16"/>
        <v>&gt;60 dias</v>
      </c>
      <c r="AE500" s="25">
        <f>MONTH(Tabela1[[#This Row],[Criado em]])</f>
        <v>7</v>
      </c>
      <c r="AF500" s="25">
        <f>YEAR(Tabela1[[#This Row],[Criado em]])</f>
        <v>2025</v>
      </c>
      <c r="AG500" s="25">
        <f>COUNTIFS(Tabela1[Mês],Tabela1[[#This Row],[Mês]])</f>
        <v>177</v>
      </c>
      <c r="AH500" s="25">
        <f>COUNTIFS(Tabela1[Mês],Tabela1[[#This Row],[Mês]],Tabela1[Fase atual],"Recebido")</f>
        <v>130</v>
      </c>
      <c r="AI500" s="26">
        <f>Tabela1[[#This Row],[Recebido_ Mes]]/Tabela1[[#This Row],[Total_Mes]]</f>
        <v>0.7344632768361582</v>
      </c>
      <c r="AJ500" s="19">
        <f>COUNTIFS(Tabela1[Fase atual],"Recebido",Tabela1[Mês],Tabela1[[#This Row],[Mês]],Tabela1[Ano],Tabela1[[#This Row],[Ano]])/COUNTIF(Tabela1[Mês],Tabela1[[#This Row],[Mês]])</f>
        <v>0.7344632768361582</v>
      </c>
      <c r="AK500" s="20">
        <f>100%</f>
        <v>1</v>
      </c>
    </row>
    <row r="501" spans="1:37" ht="18" customHeight="1" x14ac:dyDescent="0.25">
      <c r="A501">
        <v>1172781311</v>
      </c>
      <c r="B501" t="s">
        <v>849</v>
      </c>
      <c r="C501" t="s">
        <v>1212</v>
      </c>
      <c r="D501" t="s">
        <v>37</v>
      </c>
      <c r="E501" t="s">
        <v>31</v>
      </c>
      <c r="F501" s="2">
        <v>45845.851542939818</v>
      </c>
      <c r="AC501" s="24">
        <f t="shared" ca="1" si="15"/>
        <v>288.14845706018241</v>
      </c>
      <c r="AD501" s="25" t="str">
        <f t="shared" ca="1" si="16"/>
        <v>&gt;60 dias</v>
      </c>
      <c r="AE501" s="25">
        <f>MONTH(Tabela1[[#This Row],[Criado em]])</f>
        <v>7</v>
      </c>
      <c r="AF501" s="25">
        <f>YEAR(Tabela1[[#This Row],[Criado em]])</f>
        <v>2025</v>
      </c>
      <c r="AG501" s="25">
        <f>COUNTIFS(Tabela1[Mês],Tabela1[[#This Row],[Mês]])</f>
        <v>177</v>
      </c>
      <c r="AH501" s="25">
        <f>COUNTIFS(Tabela1[Mês],Tabela1[[#This Row],[Mês]],Tabela1[Fase atual],"Recebido")</f>
        <v>130</v>
      </c>
      <c r="AI501" s="26">
        <f>Tabela1[[#This Row],[Recebido_ Mes]]/Tabela1[[#This Row],[Total_Mes]]</f>
        <v>0.7344632768361582</v>
      </c>
      <c r="AJ501" s="19">
        <f>COUNTIFS(Tabela1[Fase atual],"Recebido",Tabela1[Mês],Tabela1[[#This Row],[Mês]],Tabela1[Ano],Tabela1[[#This Row],[Ano]])/COUNTIF(Tabela1[Mês],Tabela1[[#This Row],[Mês]])</f>
        <v>0.7344632768361582</v>
      </c>
      <c r="AK501" s="20">
        <f>100%</f>
        <v>1</v>
      </c>
    </row>
    <row r="502" spans="1:37" ht="18" customHeight="1" x14ac:dyDescent="0.25">
      <c r="A502">
        <v>1237689948</v>
      </c>
      <c r="B502" t="s">
        <v>1213</v>
      </c>
      <c r="C502" t="s">
        <v>1214</v>
      </c>
      <c r="D502" t="s">
        <v>37</v>
      </c>
      <c r="E502" t="s">
        <v>31</v>
      </c>
      <c r="F502" s="2">
        <v>45946.795309386573</v>
      </c>
      <c r="AC502" s="24">
        <f t="shared" ca="1" si="15"/>
        <v>187.20469061342737</v>
      </c>
      <c r="AD502" s="25" t="str">
        <f t="shared" ca="1" si="16"/>
        <v>&gt;60 dias</v>
      </c>
      <c r="AE502" s="25">
        <f>MONTH(Tabela1[[#This Row],[Criado em]])</f>
        <v>10</v>
      </c>
      <c r="AF502" s="25">
        <f>YEAR(Tabela1[[#This Row],[Criado em]])</f>
        <v>2025</v>
      </c>
      <c r="AG502" s="25">
        <f>COUNTIFS(Tabela1[Mês],Tabela1[[#This Row],[Mês]])</f>
        <v>196</v>
      </c>
      <c r="AH502" s="25">
        <f>COUNTIFS(Tabela1[Mês],Tabela1[[#This Row],[Mês]],Tabela1[Fase atual],"Recebido")</f>
        <v>138</v>
      </c>
      <c r="AI502" s="26">
        <f>Tabela1[[#This Row],[Recebido_ Mes]]/Tabela1[[#This Row],[Total_Mes]]</f>
        <v>0.70408163265306123</v>
      </c>
      <c r="AJ502" s="19">
        <f>COUNTIFS(Tabela1[Fase atual],"Recebido",Tabela1[Mês],Tabela1[[#This Row],[Mês]],Tabela1[Ano],Tabela1[[#This Row],[Ano]])/COUNTIF(Tabela1[Mês],Tabela1[[#This Row],[Mês]])</f>
        <v>0.70408163265306123</v>
      </c>
      <c r="AK502" s="20">
        <f>100%</f>
        <v>1</v>
      </c>
    </row>
    <row r="503" spans="1:37" ht="18" customHeight="1" x14ac:dyDescent="0.25">
      <c r="A503">
        <v>1266538773</v>
      </c>
      <c r="B503" t="s">
        <v>1215</v>
      </c>
      <c r="C503" t="s">
        <v>1216</v>
      </c>
      <c r="D503" t="s">
        <v>37</v>
      </c>
      <c r="E503" t="s">
        <v>31</v>
      </c>
      <c r="F503" s="2">
        <v>46001.628417129628</v>
      </c>
      <c r="AC503" s="24">
        <f t="shared" ca="1" si="15"/>
        <v>132.37158287037164</v>
      </c>
      <c r="AD503" s="25" t="str">
        <f t="shared" ca="1" si="16"/>
        <v>&gt;60 dias</v>
      </c>
      <c r="AE503" s="25">
        <f>MONTH(Tabela1[[#This Row],[Criado em]])</f>
        <v>12</v>
      </c>
      <c r="AF503" s="25">
        <f>YEAR(Tabela1[[#This Row],[Criado em]])</f>
        <v>2025</v>
      </c>
      <c r="AG503" s="25">
        <f>COUNTIFS(Tabela1[Mês],Tabela1[[#This Row],[Mês]])</f>
        <v>207</v>
      </c>
      <c r="AH503" s="25">
        <f>COUNTIFS(Tabela1[Mês],Tabela1[[#This Row],[Mês]],Tabela1[Fase atual],"Recebido")</f>
        <v>155</v>
      </c>
      <c r="AI503" s="26">
        <f>Tabela1[[#This Row],[Recebido_ Mes]]/Tabela1[[#This Row],[Total_Mes]]</f>
        <v>0.74879227053140096</v>
      </c>
      <c r="AJ503" s="19">
        <f>COUNTIFS(Tabela1[Fase atual],"Recebido",Tabela1[Mês],Tabela1[[#This Row],[Mês]],Tabela1[Ano],Tabela1[[#This Row],[Ano]])/COUNTIF(Tabela1[Mês],Tabela1[[#This Row],[Mês]])</f>
        <v>0.74879227053140096</v>
      </c>
      <c r="AK503" s="20">
        <f>100%</f>
        <v>1</v>
      </c>
    </row>
    <row r="504" spans="1:37" ht="18" customHeight="1" x14ac:dyDescent="0.25">
      <c r="A504">
        <v>1276525041</v>
      </c>
      <c r="B504" t="s">
        <v>237</v>
      </c>
      <c r="C504" t="s">
        <v>238</v>
      </c>
      <c r="D504" t="s">
        <v>37</v>
      </c>
      <c r="E504" t="s">
        <v>31</v>
      </c>
      <c r="F504" s="2">
        <v>46027.794725231477</v>
      </c>
      <c r="AC504" s="24">
        <f t="shared" ca="1" si="15"/>
        <v>106.20527476852294</v>
      </c>
      <c r="AD504" s="25" t="str">
        <f t="shared" ca="1" si="16"/>
        <v>&gt;60 dias</v>
      </c>
      <c r="AE504" s="25">
        <f>MONTH(Tabela1[[#This Row],[Criado em]])</f>
        <v>1</v>
      </c>
      <c r="AF504" s="25">
        <f>YEAR(Tabela1[[#This Row],[Criado em]])</f>
        <v>2026</v>
      </c>
      <c r="AG504" s="25">
        <f>COUNTIFS(Tabela1[Mês],Tabela1[[#This Row],[Mês]])</f>
        <v>222</v>
      </c>
      <c r="AH504" s="25">
        <f>COUNTIFS(Tabela1[Mês],Tabela1[[#This Row],[Mês]],Tabela1[Fase atual],"Recebido")</f>
        <v>174</v>
      </c>
      <c r="AI504" s="26">
        <f>Tabela1[[#This Row],[Recebido_ Mes]]/Tabela1[[#This Row],[Total_Mes]]</f>
        <v>0.78378378378378377</v>
      </c>
      <c r="AJ504" s="19">
        <f>COUNTIFS(Tabela1[Fase atual],"Recebido",Tabela1[Mês],Tabela1[[#This Row],[Mês]],Tabela1[Ano],Tabela1[[#This Row],[Ano]])/COUNTIF(Tabela1[Mês],Tabela1[[#This Row],[Mês]])</f>
        <v>0.78378378378378377</v>
      </c>
      <c r="AK504" s="20">
        <f>100%</f>
        <v>1</v>
      </c>
    </row>
    <row r="505" spans="1:37" ht="18" customHeight="1" x14ac:dyDescent="0.25">
      <c r="A505">
        <v>1216186053</v>
      </c>
      <c r="B505" t="s">
        <v>237</v>
      </c>
      <c r="C505" t="s">
        <v>238</v>
      </c>
      <c r="D505" t="s">
        <v>37</v>
      </c>
      <c r="E505" t="s">
        <v>31</v>
      </c>
      <c r="F505" s="2">
        <v>45917.851730243063</v>
      </c>
      <c r="AC505" s="24">
        <f t="shared" ca="1" si="15"/>
        <v>216.14826975693722</v>
      </c>
      <c r="AD505" s="25" t="str">
        <f t="shared" ca="1" si="16"/>
        <v>&gt;60 dias</v>
      </c>
      <c r="AE505" s="25">
        <f>MONTH(Tabela1[[#This Row],[Criado em]])</f>
        <v>9</v>
      </c>
      <c r="AF505" s="25">
        <f>YEAR(Tabela1[[#This Row],[Criado em]])</f>
        <v>2025</v>
      </c>
      <c r="AG505" s="25">
        <f>COUNTIFS(Tabela1[Mês],Tabela1[[#This Row],[Mês]])</f>
        <v>197</v>
      </c>
      <c r="AH505" s="25">
        <f>COUNTIFS(Tabela1[Mês],Tabela1[[#This Row],[Mês]],Tabela1[Fase atual],"Recebido")</f>
        <v>152</v>
      </c>
      <c r="AI505" s="26">
        <f>Tabela1[[#This Row],[Recebido_ Mes]]/Tabela1[[#This Row],[Total_Mes]]</f>
        <v>0.77157360406091369</v>
      </c>
      <c r="AJ505" s="19">
        <f>COUNTIFS(Tabela1[Fase atual],"Recebido",Tabela1[Mês],Tabela1[[#This Row],[Mês]],Tabela1[Ano],Tabela1[[#This Row],[Ano]])/COUNTIF(Tabela1[Mês],Tabela1[[#This Row],[Mês]])</f>
        <v>0.77157360406091369</v>
      </c>
      <c r="AK505" s="20">
        <f>100%</f>
        <v>1</v>
      </c>
    </row>
    <row r="506" spans="1:37" ht="18" customHeight="1" x14ac:dyDescent="0.25">
      <c r="A506">
        <v>1201803816</v>
      </c>
      <c r="B506" t="s">
        <v>237</v>
      </c>
      <c r="C506" t="s">
        <v>238</v>
      </c>
      <c r="D506" t="s">
        <v>37</v>
      </c>
      <c r="E506" t="s">
        <v>31</v>
      </c>
      <c r="F506" s="2">
        <v>45894.850692546301</v>
      </c>
      <c r="AC506" s="24">
        <f t="shared" ca="1" si="15"/>
        <v>239.14930745369929</v>
      </c>
      <c r="AD506" s="25" t="str">
        <f t="shared" ca="1" si="16"/>
        <v>&gt;60 dias</v>
      </c>
      <c r="AE506" s="25">
        <f>MONTH(Tabela1[[#This Row],[Criado em]])</f>
        <v>8</v>
      </c>
      <c r="AF506" s="25">
        <f>YEAR(Tabela1[[#This Row],[Criado em]])</f>
        <v>2025</v>
      </c>
      <c r="AG506" s="25">
        <f>COUNTIFS(Tabela1[Mês],Tabela1[[#This Row],[Mês]])</f>
        <v>146</v>
      </c>
      <c r="AH506" s="25">
        <f>COUNTIFS(Tabela1[Mês],Tabela1[[#This Row],[Mês]],Tabela1[Fase atual],"Recebido")</f>
        <v>115</v>
      </c>
      <c r="AI506" s="26">
        <f>Tabela1[[#This Row],[Recebido_ Mes]]/Tabela1[[#This Row],[Total_Mes]]</f>
        <v>0.78767123287671237</v>
      </c>
      <c r="AJ506" s="19">
        <f>COUNTIFS(Tabela1[Fase atual],"Recebido",Tabela1[Mês],Tabela1[[#This Row],[Mês]],Tabela1[Ano],Tabela1[[#This Row],[Ano]])/COUNTIF(Tabela1[Mês],Tabela1[[#This Row],[Mês]])</f>
        <v>0.78767123287671237</v>
      </c>
      <c r="AK506" s="20">
        <f>100%</f>
        <v>1</v>
      </c>
    </row>
    <row r="507" spans="1:37" ht="18" customHeight="1" x14ac:dyDescent="0.25">
      <c r="A507">
        <v>1293443360</v>
      </c>
      <c r="B507" t="s">
        <v>237</v>
      </c>
      <c r="C507" t="s">
        <v>239</v>
      </c>
      <c r="D507" t="s">
        <v>2184</v>
      </c>
      <c r="E507" t="s">
        <v>31</v>
      </c>
      <c r="F507" s="2">
        <v>46057.919611273137</v>
      </c>
      <c r="AC507" s="24">
        <f t="shared" ca="1" si="15"/>
        <v>76.080388726863021</v>
      </c>
      <c r="AD507" s="25" t="str">
        <f t="shared" ca="1" si="16"/>
        <v>&gt;60 dias</v>
      </c>
      <c r="AE507" s="25">
        <f>MONTH(Tabela1[[#This Row],[Criado em]])</f>
        <v>2</v>
      </c>
      <c r="AF507" s="25">
        <f>YEAR(Tabela1[[#This Row],[Criado em]])</f>
        <v>2026</v>
      </c>
      <c r="AG507" s="25">
        <f>COUNTIFS(Tabela1[Mês],Tabela1[[#This Row],[Mês]])</f>
        <v>197</v>
      </c>
      <c r="AH507" s="25">
        <f>COUNTIFS(Tabela1[Mês],Tabela1[[#This Row],[Mês]],Tabela1[Fase atual],"Recebido")</f>
        <v>124</v>
      </c>
      <c r="AI507" s="26">
        <f>Tabela1[[#This Row],[Recebido_ Mes]]/Tabela1[[#This Row],[Total_Mes]]</f>
        <v>0.62944162436548223</v>
      </c>
      <c r="AJ507" s="19">
        <f>COUNTIFS(Tabela1[Fase atual],"Recebido",Tabela1[Mês],Tabela1[[#This Row],[Mês]],Tabela1[Ano],Tabela1[[#This Row],[Ano]])/COUNTIF(Tabela1[Mês],Tabela1[[#This Row],[Mês]])</f>
        <v>0.62944162436548223</v>
      </c>
      <c r="AK507" s="20">
        <f>100%</f>
        <v>1</v>
      </c>
    </row>
    <row r="508" spans="1:37" ht="18" customHeight="1" x14ac:dyDescent="0.25">
      <c r="A508">
        <v>1182151464</v>
      </c>
      <c r="B508" t="s">
        <v>237</v>
      </c>
      <c r="C508" t="s">
        <v>239</v>
      </c>
      <c r="D508" t="s">
        <v>37</v>
      </c>
      <c r="E508" t="s">
        <v>31</v>
      </c>
      <c r="F508" s="2">
        <v>45861.852147766207</v>
      </c>
      <c r="AC508" s="24">
        <f t="shared" ca="1" si="15"/>
        <v>272.14785223379295</v>
      </c>
      <c r="AD508" s="25" t="str">
        <f t="shared" ca="1" si="16"/>
        <v>&gt;60 dias</v>
      </c>
      <c r="AE508" s="25">
        <f>MONTH(Tabela1[[#This Row],[Criado em]])</f>
        <v>7</v>
      </c>
      <c r="AF508" s="25">
        <f>YEAR(Tabela1[[#This Row],[Criado em]])</f>
        <v>2025</v>
      </c>
      <c r="AG508" s="25">
        <f>COUNTIFS(Tabela1[Mês],Tabela1[[#This Row],[Mês]])</f>
        <v>177</v>
      </c>
      <c r="AH508" s="25">
        <f>COUNTIFS(Tabela1[Mês],Tabela1[[#This Row],[Mês]],Tabela1[Fase atual],"Recebido")</f>
        <v>130</v>
      </c>
      <c r="AI508" s="26">
        <f>Tabela1[[#This Row],[Recebido_ Mes]]/Tabela1[[#This Row],[Total_Mes]]</f>
        <v>0.7344632768361582</v>
      </c>
      <c r="AJ508" s="19">
        <f>COUNTIFS(Tabela1[Fase atual],"Recebido",Tabela1[Mês],Tabela1[[#This Row],[Mês]],Tabela1[Ano],Tabela1[[#This Row],[Ano]])/COUNTIF(Tabela1[Mês],Tabela1[[#This Row],[Mês]])</f>
        <v>0.7344632768361582</v>
      </c>
      <c r="AK508" s="20">
        <f>100%</f>
        <v>1</v>
      </c>
    </row>
    <row r="509" spans="1:37" ht="18" customHeight="1" x14ac:dyDescent="0.25">
      <c r="A509">
        <v>1223941996</v>
      </c>
      <c r="B509" t="s">
        <v>237</v>
      </c>
      <c r="C509" t="s">
        <v>239</v>
      </c>
      <c r="D509" t="s">
        <v>784</v>
      </c>
      <c r="E509" t="s">
        <v>31</v>
      </c>
      <c r="F509" s="2">
        <v>45929.851810011583</v>
      </c>
      <c r="AC509" s="24">
        <f t="shared" ca="1" si="15"/>
        <v>204.14818998841656</v>
      </c>
      <c r="AD509" s="25" t="str">
        <f t="shared" ca="1" si="16"/>
        <v>&gt;60 dias</v>
      </c>
      <c r="AE509" s="25">
        <f>MONTH(Tabela1[[#This Row],[Criado em]])</f>
        <v>9</v>
      </c>
      <c r="AF509" s="25">
        <f>YEAR(Tabela1[[#This Row],[Criado em]])</f>
        <v>2025</v>
      </c>
      <c r="AG509" s="25">
        <f>COUNTIFS(Tabela1[Mês],Tabela1[[#This Row],[Mês]])</f>
        <v>197</v>
      </c>
      <c r="AH509" s="25">
        <f>COUNTIFS(Tabela1[Mês],Tabela1[[#This Row],[Mês]],Tabela1[Fase atual],"Recebido")</f>
        <v>152</v>
      </c>
      <c r="AI509" s="26">
        <f>Tabela1[[#This Row],[Recebido_ Mes]]/Tabela1[[#This Row],[Total_Mes]]</f>
        <v>0.77157360406091369</v>
      </c>
      <c r="AJ509" s="19">
        <f>COUNTIFS(Tabela1[Fase atual],"Recebido",Tabela1[Mês],Tabela1[[#This Row],[Mês]],Tabela1[Ano],Tabela1[[#This Row],[Ano]])/COUNTIF(Tabela1[Mês],Tabela1[[#This Row],[Mês]])</f>
        <v>0.77157360406091369</v>
      </c>
      <c r="AK509" s="20">
        <f>100%</f>
        <v>1</v>
      </c>
    </row>
    <row r="510" spans="1:37" ht="18" customHeight="1" x14ac:dyDescent="0.25">
      <c r="A510">
        <v>1293188768</v>
      </c>
      <c r="B510" t="s">
        <v>237</v>
      </c>
      <c r="C510" t="s">
        <v>239</v>
      </c>
      <c r="D510" t="s">
        <v>37</v>
      </c>
      <c r="E510" t="s">
        <v>31</v>
      </c>
      <c r="F510" s="2">
        <v>46057.678897233804</v>
      </c>
      <c r="AC510" s="24">
        <f t="shared" ca="1" si="15"/>
        <v>76.321102766196418</v>
      </c>
      <c r="AD510" s="25" t="str">
        <f t="shared" ca="1" si="16"/>
        <v>&gt;60 dias</v>
      </c>
      <c r="AE510" s="25">
        <f>MONTH(Tabela1[[#This Row],[Criado em]])</f>
        <v>2</v>
      </c>
      <c r="AF510" s="25">
        <f>YEAR(Tabela1[[#This Row],[Criado em]])</f>
        <v>2026</v>
      </c>
      <c r="AG510" s="25">
        <f>COUNTIFS(Tabela1[Mês],Tabela1[[#This Row],[Mês]])</f>
        <v>197</v>
      </c>
      <c r="AH510" s="25">
        <f>COUNTIFS(Tabela1[Mês],Tabela1[[#This Row],[Mês]],Tabela1[Fase atual],"Recebido")</f>
        <v>124</v>
      </c>
      <c r="AI510" s="26">
        <f>Tabela1[[#This Row],[Recebido_ Mes]]/Tabela1[[#This Row],[Total_Mes]]</f>
        <v>0.62944162436548223</v>
      </c>
      <c r="AJ510" s="19">
        <f>COUNTIFS(Tabela1[Fase atual],"Recebido",Tabela1[Mês],Tabela1[[#This Row],[Mês]],Tabela1[Ano],Tabela1[[#This Row],[Ano]])/COUNTIF(Tabela1[Mês],Tabela1[[#This Row],[Mês]])</f>
        <v>0.62944162436548223</v>
      </c>
      <c r="AK510" s="20">
        <f>100%</f>
        <v>1</v>
      </c>
    </row>
    <row r="511" spans="1:37" ht="18" customHeight="1" x14ac:dyDescent="0.25">
      <c r="A511">
        <v>1237845146</v>
      </c>
      <c r="B511" t="s">
        <v>237</v>
      </c>
      <c r="C511" t="s">
        <v>1217</v>
      </c>
      <c r="D511" t="s">
        <v>37</v>
      </c>
      <c r="E511" t="s">
        <v>31</v>
      </c>
      <c r="F511" s="2">
        <v>45946.920672245367</v>
      </c>
      <c r="AC511" s="24">
        <f t="shared" ca="1" si="15"/>
        <v>187.07932775463269</v>
      </c>
      <c r="AD511" s="25" t="str">
        <f t="shared" ca="1" si="16"/>
        <v>&gt;60 dias</v>
      </c>
      <c r="AE511" s="25">
        <f>MONTH(Tabela1[[#This Row],[Criado em]])</f>
        <v>10</v>
      </c>
      <c r="AF511" s="25">
        <f>YEAR(Tabela1[[#This Row],[Criado em]])</f>
        <v>2025</v>
      </c>
      <c r="AG511" s="25">
        <f>COUNTIFS(Tabela1[Mês],Tabela1[[#This Row],[Mês]])</f>
        <v>196</v>
      </c>
      <c r="AH511" s="25">
        <f>COUNTIFS(Tabela1[Mês],Tabela1[[#This Row],[Mês]],Tabela1[Fase atual],"Recebido")</f>
        <v>138</v>
      </c>
      <c r="AI511" s="26">
        <f>Tabela1[[#This Row],[Recebido_ Mes]]/Tabela1[[#This Row],[Total_Mes]]</f>
        <v>0.70408163265306123</v>
      </c>
      <c r="AJ511" s="19">
        <f>COUNTIFS(Tabela1[Fase atual],"Recebido",Tabela1[Mês],Tabela1[[#This Row],[Mês]],Tabela1[Ano],Tabela1[[#This Row],[Ano]])/COUNTIF(Tabela1[Mês],Tabela1[[#This Row],[Mês]])</f>
        <v>0.70408163265306123</v>
      </c>
      <c r="AK511" s="20">
        <f>100%</f>
        <v>1</v>
      </c>
    </row>
    <row r="512" spans="1:37" ht="18" customHeight="1" x14ac:dyDescent="0.25">
      <c r="A512">
        <v>1282564402</v>
      </c>
      <c r="B512" t="s">
        <v>237</v>
      </c>
      <c r="C512" t="s">
        <v>240</v>
      </c>
      <c r="D512" t="s">
        <v>40</v>
      </c>
      <c r="E512" t="s">
        <v>31</v>
      </c>
      <c r="F512" s="2">
        <v>46037.92127806713</v>
      </c>
      <c r="AC512" s="24">
        <f t="shared" ca="1" si="15"/>
        <v>96.078721932870394</v>
      </c>
      <c r="AD512" s="25" t="str">
        <f t="shared" ca="1" si="16"/>
        <v>&gt;60 dias</v>
      </c>
      <c r="AE512" s="25">
        <f>MONTH(Tabela1[[#This Row],[Criado em]])</f>
        <v>1</v>
      </c>
      <c r="AF512" s="25">
        <f>YEAR(Tabela1[[#This Row],[Criado em]])</f>
        <v>2026</v>
      </c>
      <c r="AG512" s="25">
        <f>COUNTIFS(Tabela1[Mês],Tabela1[[#This Row],[Mês]])</f>
        <v>222</v>
      </c>
      <c r="AH512" s="25">
        <f>COUNTIFS(Tabela1[Mês],Tabela1[[#This Row],[Mês]],Tabela1[Fase atual],"Recebido")</f>
        <v>174</v>
      </c>
      <c r="AI512" s="26">
        <f>Tabela1[[#This Row],[Recebido_ Mes]]/Tabela1[[#This Row],[Total_Mes]]</f>
        <v>0.78378378378378377</v>
      </c>
      <c r="AJ512" s="19">
        <f>COUNTIFS(Tabela1[Fase atual],"Recebido",Tabela1[Mês],Tabela1[[#This Row],[Mês]],Tabela1[Ano],Tabela1[[#This Row],[Ano]])/COUNTIF(Tabela1[Mês],Tabela1[[#This Row],[Mês]])</f>
        <v>0.78378378378378377</v>
      </c>
      <c r="AK512" s="20">
        <f>100%</f>
        <v>1</v>
      </c>
    </row>
    <row r="513" spans="1:37" ht="18" customHeight="1" x14ac:dyDescent="0.25">
      <c r="A513">
        <v>1182801442</v>
      </c>
      <c r="B513" t="s">
        <v>1218</v>
      </c>
      <c r="C513" t="s">
        <v>1219</v>
      </c>
      <c r="D513" t="s">
        <v>40</v>
      </c>
      <c r="E513" t="s">
        <v>31</v>
      </c>
      <c r="F513" s="2">
        <v>45862.85231934028</v>
      </c>
      <c r="AC513" s="24">
        <f t="shared" ca="1" si="15"/>
        <v>271.14768065972021</v>
      </c>
      <c r="AD513" s="25" t="str">
        <f t="shared" ca="1" si="16"/>
        <v>&gt;60 dias</v>
      </c>
      <c r="AE513" s="25">
        <f>MONTH(Tabela1[[#This Row],[Criado em]])</f>
        <v>7</v>
      </c>
      <c r="AF513" s="25">
        <f>YEAR(Tabela1[[#This Row],[Criado em]])</f>
        <v>2025</v>
      </c>
      <c r="AG513" s="25">
        <f>COUNTIFS(Tabela1[Mês],Tabela1[[#This Row],[Mês]])</f>
        <v>177</v>
      </c>
      <c r="AH513" s="25">
        <f>COUNTIFS(Tabela1[Mês],Tabela1[[#This Row],[Mês]],Tabela1[Fase atual],"Recebido")</f>
        <v>130</v>
      </c>
      <c r="AI513" s="26">
        <f>Tabela1[[#This Row],[Recebido_ Mes]]/Tabela1[[#This Row],[Total_Mes]]</f>
        <v>0.7344632768361582</v>
      </c>
      <c r="AJ513" s="19">
        <f>COUNTIFS(Tabela1[Fase atual],"Recebido",Tabela1[Mês],Tabela1[[#This Row],[Mês]],Tabela1[Ano],Tabela1[[#This Row],[Ano]])/COUNTIF(Tabela1[Mês],Tabela1[[#This Row],[Mês]])</f>
        <v>0.7344632768361582</v>
      </c>
      <c r="AK513" s="20">
        <f>100%</f>
        <v>1</v>
      </c>
    </row>
    <row r="514" spans="1:37" ht="18" customHeight="1" x14ac:dyDescent="0.25">
      <c r="A514">
        <v>1181276543</v>
      </c>
      <c r="B514" t="s">
        <v>1218</v>
      </c>
      <c r="C514" t="s">
        <v>1219</v>
      </c>
      <c r="D514" t="s">
        <v>40</v>
      </c>
      <c r="E514" t="s">
        <v>31</v>
      </c>
      <c r="F514" s="2">
        <v>45860.852204236107</v>
      </c>
      <c r="AC514" s="24">
        <f t="shared" ca="1" si="15"/>
        <v>273.14779576389265</v>
      </c>
      <c r="AD514" s="25" t="str">
        <f t="shared" ca="1" si="16"/>
        <v>&gt;60 dias</v>
      </c>
      <c r="AE514" s="25">
        <f>MONTH(Tabela1[[#This Row],[Criado em]])</f>
        <v>7</v>
      </c>
      <c r="AF514" s="25">
        <f>YEAR(Tabela1[[#This Row],[Criado em]])</f>
        <v>2025</v>
      </c>
      <c r="AG514" s="25">
        <f>COUNTIFS(Tabela1[Mês],Tabela1[[#This Row],[Mês]])</f>
        <v>177</v>
      </c>
      <c r="AH514" s="25">
        <f>COUNTIFS(Tabela1[Mês],Tabela1[[#This Row],[Mês]],Tabela1[Fase atual],"Recebido")</f>
        <v>130</v>
      </c>
      <c r="AI514" s="26">
        <f>Tabela1[[#This Row],[Recebido_ Mes]]/Tabela1[[#This Row],[Total_Mes]]</f>
        <v>0.7344632768361582</v>
      </c>
      <c r="AJ514" s="19">
        <f>COUNTIFS(Tabela1[Fase atual],"Recebido",Tabela1[Mês],Tabela1[[#This Row],[Mês]],Tabela1[Ano],Tabela1[[#This Row],[Ano]])/COUNTIF(Tabela1[Mês],Tabela1[[#This Row],[Mês]])</f>
        <v>0.7344632768361582</v>
      </c>
      <c r="AK514" s="20">
        <f>100%</f>
        <v>1</v>
      </c>
    </row>
    <row r="515" spans="1:37" ht="18" customHeight="1" x14ac:dyDescent="0.25">
      <c r="A515">
        <v>1277617693</v>
      </c>
      <c r="B515" t="s">
        <v>241</v>
      </c>
      <c r="C515" t="s">
        <v>242</v>
      </c>
      <c r="D515" t="s">
        <v>37</v>
      </c>
      <c r="E515" t="s">
        <v>31</v>
      </c>
      <c r="F515" s="2">
        <v>46028.794569594902</v>
      </c>
      <c r="AC515" s="24">
        <f t="shared" ref="AC515:AC578" ca="1" si="17">TODAY() - F515</f>
        <v>105.20543040509801</v>
      </c>
      <c r="AD515" s="25" t="str">
        <f t="shared" ref="AD515:AD578" ca="1" si="18">IF(AC515&lt;=14,"0-14 dias",
IF(AC515&lt;=19,"15-19 dias",
IF(AC515&lt;=24,"20-24 dias",
IF(AC515&lt;=30,"25-30 dias",
IF(AC515&lt;=60,"31-60 dias",
"&gt;60 dias")))))</f>
        <v>&gt;60 dias</v>
      </c>
      <c r="AE515" s="25">
        <f>MONTH(Tabela1[[#This Row],[Criado em]])</f>
        <v>1</v>
      </c>
      <c r="AF515" s="25">
        <f>YEAR(Tabela1[[#This Row],[Criado em]])</f>
        <v>2026</v>
      </c>
      <c r="AG515" s="25">
        <f>COUNTIFS(Tabela1[Mês],Tabela1[[#This Row],[Mês]])</f>
        <v>222</v>
      </c>
      <c r="AH515" s="25">
        <f>COUNTIFS(Tabela1[Mês],Tabela1[[#This Row],[Mês]],Tabela1[Fase atual],"Recebido")</f>
        <v>174</v>
      </c>
      <c r="AI515" s="26">
        <f>Tabela1[[#This Row],[Recebido_ Mes]]/Tabela1[[#This Row],[Total_Mes]]</f>
        <v>0.78378378378378377</v>
      </c>
      <c r="AJ515" s="19">
        <f>COUNTIFS(Tabela1[Fase atual],"Recebido",Tabela1[Mês],Tabela1[[#This Row],[Mês]],Tabela1[Ano],Tabela1[[#This Row],[Ano]])/COUNTIF(Tabela1[Mês],Tabela1[[#This Row],[Mês]])</f>
        <v>0.78378378378378377</v>
      </c>
      <c r="AK515" s="20">
        <f>100%</f>
        <v>1</v>
      </c>
    </row>
    <row r="516" spans="1:37" ht="18" customHeight="1" x14ac:dyDescent="0.25">
      <c r="A516">
        <v>1288941538</v>
      </c>
      <c r="B516" t="s">
        <v>243</v>
      </c>
      <c r="C516" t="s">
        <v>244</v>
      </c>
      <c r="D516" t="s">
        <v>40</v>
      </c>
      <c r="E516" t="s">
        <v>31</v>
      </c>
      <c r="F516" s="2">
        <v>46049.794442604158</v>
      </c>
      <c r="AC516" s="24">
        <f t="shared" ca="1" si="17"/>
        <v>84.205557395842334</v>
      </c>
      <c r="AD516" s="25" t="str">
        <f t="shared" ca="1" si="18"/>
        <v>&gt;60 dias</v>
      </c>
      <c r="AE516" s="25">
        <f>MONTH(Tabela1[[#This Row],[Criado em]])</f>
        <v>1</v>
      </c>
      <c r="AF516" s="25">
        <f>YEAR(Tabela1[[#This Row],[Criado em]])</f>
        <v>2026</v>
      </c>
      <c r="AG516" s="25">
        <f>COUNTIFS(Tabela1[Mês],Tabela1[[#This Row],[Mês]])</f>
        <v>222</v>
      </c>
      <c r="AH516" s="25">
        <f>COUNTIFS(Tabela1[Mês],Tabela1[[#This Row],[Mês]],Tabela1[Fase atual],"Recebido")</f>
        <v>174</v>
      </c>
      <c r="AI516" s="26">
        <f>Tabela1[[#This Row],[Recebido_ Mes]]/Tabela1[[#This Row],[Total_Mes]]</f>
        <v>0.78378378378378377</v>
      </c>
      <c r="AJ516" s="19">
        <f>COUNTIFS(Tabela1[Fase atual],"Recebido",Tabela1[Mês],Tabela1[[#This Row],[Mês]],Tabela1[Ano],Tabela1[[#This Row],[Ano]])/COUNTIF(Tabela1[Mês],Tabela1[[#This Row],[Mês]])</f>
        <v>0.78378378378378377</v>
      </c>
      <c r="AK516" s="20">
        <f>100%</f>
        <v>1</v>
      </c>
    </row>
    <row r="517" spans="1:37" ht="18" customHeight="1" x14ac:dyDescent="0.25">
      <c r="A517">
        <v>1222239089</v>
      </c>
      <c r="B517" t="s">
        <v>1220</v>
      </c>
      <c r="C517" t="s">
        <v>1221</v>
      </c>
      <c r="D517" t="s">
        <v>37</v>
      </c>
      <c r="E517" t="s">
        <v>31</v>
      </c>
      <c r="F517" s="2">
        <v>45926.850748009259</v>
      </c>
      <c r="AC517" s="24">
        <f t="shared" ca="1" si="17"/>
        <v>207.14925199074059</v>
      </c>
      <c r="AD517" s="25" t="str">
        <f t="shared" ca="1" si="18"/>
        <v>&gt;60 dias</v>
      </c>
      <c r="AE517" s="25">
        <f>MONTH(Tabela1[[#This Row],[Criado em]])</f>
        <v>9</v>
      </c>
      <c r="AF517" s="25">
        <f>YEAR(Tabela1[[#This Row],[Criado em]])</f>
        <v>2025</v>
      </c>
      <c r="AG517" s="25">
        <f>COUNTIFS(Tabela1[Mês],Tabela1[[#This Row],[Mês]])</f>
        <v>197</v>
      </c>
      <c r="AH517" s="25">
        <f>COUNTIFS(Tabela1[Mês],Tabela1[[#This Row],[Mês]],Tabela1[Fase atual],"Recebido")</f>
        <v>152</v>
      </c>
      <c r="AI517" s="26">
        <f>Tabela1[[#This Row],[Recebido_ Mes]]/Tabela1[[#This Row],[Total_Mes]]</f>
        <v>0.77157360406091369</v>
      </c>
      <c r="AJ517" s="19">
        <f>COUNTIFS(Tabela1[Fase atual],"Recebido",Tabela1[Mês],Tabela1[[#This Row],[Mês]],Tabela1[Ano],Tabela1[[#This Row],[Ano]])/COUNTIF(Tabela1[Mês],Tabela1[[#This Row],[Mês]])</f>
        <v>0.77157360406091369</v>
      </c>
      <c r="AK517" s="20">
        <f>100%</f>
        <v>1</v>
      </c>
    </row>
    <row r="518" spans="1:37" ht="18" customHeight="1" x14ac:dyDescent="0.25">
      <c r="A518">
        <v>1180443623</v>
      </c>
      <c r="B518" t="s">
        <v>1222</v>
      </c>
      <c r="C518" t="s">
        <v>1223</v>
      </c>
      <c r="D518" t="s">
        <v>37</v>
      </c>
      <c r="E518" t="s">
        <v>31</v>
      </c>
      <c r="F518" s="2">
        <v>45859.85219878472</v>
      </c>
      <c r="AC518" s="24">
        <f t="shared" ca="1" si="17"/>
        <v>274.1478012152802</v>
      </c>
      <c r="AD518" s="25" t="str">
        <f t="shared" ca="1" si="18"/>
        <v>&gt;60 dias</v>
      </c>
      <c r="AE518" s="25">
        <f>MONTH(Tabela1[[#This Row],[Criado em]])</f>
        <v>7</v>
      </c>
      <c r="AF518" s="25">
        <f>YEAR(Tabela1[[#This Row],[Criado em]])</f>
        <v>2025</v>
      </c>
      <c r="AG518" s="25">
        <f>COUNTIFS(Tabela1[Mês],Tabela1[[#This Row],[Mês]])</f>
        <v>177</v>
      </c>
      <c r="AH518" s="25">
        <f>COUNTIFS(Tabela1[Mês],Tabela1[[#This Row],[Mês]],Tabela1[Fase atual],"Recebido")</f>
        <v>130</v>
      </c>
      <c r="AI518" s="26">
        <f>Tabela1[[#This Row],[Recebido_ Mes]]/Tabela1[[#This Row],[Total_Mes]]</f>
        <v>0.7344632768361582</v>
      </c>
      <c r="AJ518" s="19">
        <f>COUNTIFS(Tabela1[Fase atual],"Recebido",Tabela1[Mês],Tabela1[[#This Row],[Mês]],Tabela1[Ano],Tabela1[[#This Row],[Ano]])/COUNTIF(Tabela1[Mês],Tabela1[[#This Row],[Mês]])</f>
        <v>0.7344632768361582</v>
      </c>
      <c r="AK518" s="20">
        <f>100%</f>
        <v>1</v>
      </c>
    </row>
    <row r="519" spans="1:37" ht="18" customHeight="1" x14ac:dyDescent="0.25">
      <c r="A519">
        <v>1183425762</v>
      </c>
      <c r="B519" t="s">
        <v>1222</v>
      </c>
      <c r="C519" t="s">
        <v>1224</v>
      </c>
      <c r="D519" t="s">
        <v>37</v>
      </c>
      <c r="E519" t="s">
        <v>31</v>
      </c>
      <c r="F519" s="2">
        <v>45863.853236712966</v>
      </c>
      <c r="AC519" s="24">
        <f t="shared" ca="1" si="17"/>
        <v>270.14676328703354</v>
      </c>
      <c r="AD519" s="25" t="str">
        <f t="shared" ca="1" si="18"/>
        <v>&gt;60 dias</v>
      </c>
      <c r="AE519" s="25">
        <f>MONTH(Tabela1[[#This Row],[Criado em]])</f>
        <v>7</v>
      </c>
      <c r="AF519" s="25">
        <f>YEAR(Tabela1[[#This Row],[Criado em]])</f>
        <v>2025</v>
      </c>
      <c r="AG519" s="25">
        <f>COUNTIFS(Tabela1[Mês],Tabela1[[#This Row],[Mês]])</f>
        <v>177</v>
      </c>
      <c r="AH519" s="25">
        <f>COUNTIFS(Tabela1[Mês],Tabela1[[#This Row],[Mês]],Tabela1[Fase atual],"Recebido")</f>
        <v>130</v>
      </c>
      <c r="AI519" s="26">
        <f>Tabela1[[#This Row],[Recebido_ Mes]]/Tabela1[[#This Row],[Total_Mes]]</f>
        <v>0.7344632768361582</v>
      </c>
      <c r="AJ519" s="19">
        <f>COUNTIFS(Tabela1[Fase atual],"Recebido",Tabela1[Mês],Tabela1[[#This Row],[Mês]],Tabela1[Ano],Tabela1[[#This Row],[Ano]])/COUNTIF(Tabela1[Mês],Tabela1[[#This Row],[Mês]])</f>
        <v>0.7344632768361582</v>
      </c>
      <c r="AK519" s="20">
        <f>100%</f>
        <v>1</v>
      </c>
    </row>
    <row r="520" spans="1:37" ht="18" customHeight="1" x14ac:dyDescent="0.25">
      <c r="A520">
        <v>1221400150</v>
      </c>
      <c r="B520" t="s">
        <v>245</v>
      </c>
      <c r="C520" t="s">
        <v>1225</v>
      </c>
      <c r="D520" t="s">
        <v>37</v>
      </c>
      <c r="E520" t="s">
        <v>31</v>
      </c>
      <c r="F520" s="2">
        <v>45925.764012708329</v>
      </c>
      <c r="AC520" s="24">
        <f t="shared" ca="1" si="17"/>
        <v>208.23598729167134</v>
      </c>
      <c r="AD520" s="25" t="str">
        <f t="shared" ca="1" si="18"/>
        <v>&gt;60 dias</v>
      </c>
      <c r="AE520" s="25">
        <f>MONTH(Tabela1[[#This Row],[Criado em]])</f>
        <v>9</v>
      </c>
      <c r="AF520" s="25">
        <f>YEAR(Tabela1[[#This Row],[Criado em]])</f>
        <v>2025</v>
      </c>
      <c r="AG520" s="25">
        <f>COUNTIFS(Tabela1[Mês],Tabela1[[#This Row],[Mês]])</f>
        <v>197</v>
      </c>
      <c r="AH520" s="25">
        <f>COUNTIFS(Tabela1[Mês],Tabela1[[#This Row],[Mês]],Tabela1[Fase atual],"Recebido")</f>
        <v>152</v>
      </c>
      <c r="AI520" s="26">
        <f>Tabela1[[#This Row],[Recebido_ Mes]]/Tabela1[[#This Row],[Total_Mes]]</f>
        <v>0.77157360406091369</v>
      </c>
      <c r="AJ520" s="19">
        <f>COUNTIFS(Tabela1[Fase atual],"Recebido",Tabela1[Mês],Tabela1[[#This Row],[Mês]],Tabela1[Ano],Tabela1[[#This Row],[Ano]])/COUNTIF(Tabela1[Mês],Tabela1[[#This Row],[Mês]])</f>
        <v>0.77157360406091369</v>
      </c>
      <c r="AK520" s="20">
        <f>100%</f>
        <v>1</v>
      </c>
    </row>
    <row r="521" spans="1:37" ht="18" customHeight="1" x14ac:dyDescent="0.25">
      <c r="A521">
        <v>1205983652</v>
      </c>
      <c r="B521" t="s">
        <v>245</v>
      </c>
      <c r="C521" t="s">
        <v>1226</v>
      </c>
      <c r="D521" t="s">
        <v>37</v>
      </c>
      <c r="E521" t="s">
        <v>31</v>
      </c>
      <c r="F521" s="2">
        <v>45901.745283229167</v>
      </c>
      <c r="AC521" s="24">
        <f t="shared" ca="1" si="17"/>
        <v>232.2547167708326</v>
      </c>
      <c r="AD521" s="25" t="str">
        <f t="shared" ca="1" si="18"/>
        <v>&gt;60 dias</v>
      </c>
      <c r="AE521" s="25">
        <f>MONTH(Tabela1[[#This Row],[Criado em]])</f>
        <v>9</v>
      </c>
      <c r="AF521" s="25">
        <f>YEAR(Tabela1[[#This Row],[Criado em]])</f>
        <v>2025</v>
      </c>
      <c r="AG521" s="25">
        <f>COUNTIFS(Tabela1[Mês],Tabela1[[#This Row],[Mês]])</f>
        <v>197</v>
      </c>
      <c r="AH521" s="25">
        <f>COUNTIFS(Tabela1[Mês],Tabela1[[#This Row],[Mês]],Tabela1[Fase atual],"Recebido")</f>
        <v>152</v>
      </c>
      <c r="AI521" s="26">
        <f>Tabela1[[#This Row],[Recebido_ Mes]]/Tabela1[[#This Row],[Total_Mes]]</f>
        <v>0.77157360406091369</v>
      </c>
      <c r="AJ521" s="19">
        <f>COUNTIFS(Tabela1[Fase atual],"Recebido",Tabela1[Mês],Tabela1[[#This Row],[Mês]],Tabela1[Ano],Tabela1[[#This Row],[Ano]])/COUNTIF(Tabela1[Mês],Tabela1[[#This Row],[Mês]])</f>
        <v>0.77157360406091369</v>
      </c>
      <c r="AK521" s="20">
        <f>100%</f>
        <v>1</v>
      </c>
    </row>
    <row r="522" spans="1:37" ht="18" customHeight="1" x14ac:dyDescent="0.25">
      <c r="A522">
        <v>1241441037</v>
      </c>
      <c r="B522" t="s">
        <v>245</v>
      </c>
      <c r="C522" t="s">
        <v>1227</v>
      </c>
      <c r="D522" t="s">
        <v>784</v>
      </c>
      <c r="E522" t="s">
        <v>31</v>
      </c>
      <c r="F522" s="2">
        <v>45952.75479053241</v>
      </c>
      <c r="AC522" s="24">
        <f t="shared" ca="1" si="17"/>
        <v>181.24520946759003</v>
      </c>
      <c r="AD522" s="25" t="str">
        <f t="shared" ca="1" si="18"/>
        <v>&gt;60 dias</v>
      </c>
      <c r="AE522" s="25">
        <f>MONTH(Tabela1[[#This Row],[Criado em]])</f>
        <v>10</v>
      </c>
      <c r="AF522" s="25">
        <f>YEAR(Tabela1[[#This Row],[Criado em]])</f>
        <v>2025</v>
      </c>
      <c r="AG522" s="25">
        <f>COUNTIFS(Tabela1[Mês],Tabela1[[#This Row],[Mês]])</f>
        <v>196</v>
      </c>
      <c r="AH522" s="25">
        <f>COUNTIFS(Tabela1[Mês],Tabela1[[#This Row],[Mês]],Tabela1[Fase atual],"Recebido")</f>
        <v>138</v>
      </c>
      <c r="AI522" s="26">
        <f>Tabela1[[#This Row],[Recebido_ Mes]]/Tabela1[[#This Row],[Total_Mes]]</f>
        <v>0.70408163265306123</v>
      </c>
      <c r="AJ522" s="19">
        <f>COUNTIFS(Tabela1[Fase atual],"Recebido",Tabela1[Mês],Tabela1[[#This Row],[Mês]],Tabela1[Ano],Tabela1[[#This Row],[Ano]])/COUNTIF(Tabela1[Mês],Tabela1[[#This Row],[Mês]])</f>
        <v>0.70408163265306123</v>
      </c>
      <c r="AK522" s="20">
        <f>100%</f>
        <v>1</v>
      </c>
    </row>
    <row r="523" spans="1:37" ht="18" customHeight="1" x14ac:dyDescent="0.25">
      <c r="A523">
        <v>1285761103</v>
      </c>
      <c r="B523" t="s">
        <v>245</v>
      </c>
      <c r="C523" t="s">
        <v>246</v>
      </c>
      <c r="D523" t="s">
        <v>37</v>
      </c>
      <c r="E523" t="s">
        <v>31</v>
      </c>
      <c r="F523" s="2">
        <v>46044.629567673612</v>
      </c>
      <c r="AC523" s="24">
        <f t="shared" ca="1" si="17"/>
        <v>89.370432326388254</v>
      </c>
      <c r="AD523" s="25" t="str">
        <f t="shared" ca="1" si="18"/>
        <v>&gt;60 dias</v>
      </c>
      <c r="AE523" s="25">
        <f>MONTH(Tabela1[[#This Row],[Criado em]])</f>
        <v>1</v>
      </c>
      <c r="AF523" s="25">
        <f>YEAR(Tabela1[[#This Row],[Criado em]])</f>
        <v>2026</v>
      </c>
      <c r="AG523" s="25">
        <f>COUNTIFS(Tabela1[Mês],Tabela1[[#This Row],[Mês]])</f>
        <v>222</v>
      </c>
      <c r="AH523" s="25">
        <f>COUNTIFS(Tabela1[Mês],Tabela1[[#This Row],[Mês]],Tabela1[Fase atual],"Recebido")</f>
        <v>174</v>
      </c>
      <c r="AI523" s="26">
        <f>Tabela1[[#This Row],[Recebido_ Mes]]/Tabela1[[#This Row],[Total_Mes]]</f>
        <v>0.78378378378378377</v>
      </c>
      <c r="AJ523" s="19">
        <f>COUNTIFS(Tabela1[Fase atual],"Recebido",Tabela1[Mês],Tabela1[[#This Row],[Mês]],Tabela1[Ano],Tabela1[[#This Row],[Ano]])/COUNTIF(Tabela1[Mês],Tabela1[[#This Row],[Mês]])</f>
        <v>0.78378378378378377</v>
      </c>
      <c r="AK523" s="20">
        <f>100%</f>
        <v>1</v>
      </c>
    </row>
    <row r="524" spans="1:37" ht="18" customHeight="1" x14ac:dyDescent="0.25">
      <c r="A524">
        <v>1307302281</v>
      </c>
      <c r="B524" t="s">
        <v>2208</v>
      </c>
      <c r="C524" t="s">
        <v>2209</v>
      </c>
      <c r="D524" t="s">
        <v>2179</v>
      </c>
      <c r="E524" t="s">
        <v>31</v>
      </c>
      <c r="F524" s="2">
        <v>46083.795493148151</v>
      </c>
      <c r="AC524" s="24">
        <f t="shared" ca="1" si="17"/>
        <v>50.204506851849146</v>
      </c>
      <c r="AD524" s="25" t="str">
        <f t="shared" ca="1" si="18"/>
        <v>31-60 dias</v>
      </c>
      <c r="AE524" s="25">
        <f>MONTH(Tabela1[[#This Row],[Criado em]])</f>
        <v>3</v>
      </c>
      <c r="AF524" s="25">
        <f>YEAR(Tabela1[[#This Row],[Criado em]])</f>
        <v>2026</v>
      </c>
      <c r="AG524" s="25">
        <f>COUNTIFS(Tabela1[Mês],Tabela1[[#This Row],[Mês]])</f>
        <v>62</v>
      </c>
      <c r="AH524" s="25">
        <f>COUNTIFS(Tabela1[Mês],Tabela1[[#This Row],[Mês]],Tabela1[Fase atual],"Recebido")</f>
        <v>13</v>
      </c>
      <c r="AI524" s="26">
        <f>Tabela1[[#This Row],[Recebido_ Mes]]/Tabela1[[#This Row],[Total_Mes]]</f>
        <v>0.20967741935483872</v>
      </c>
      <c r="AJ524" s="19">
        <f>COUNTIFS(Tabela1[Fase atual],"Recebido",Tabela1[Mês],Tabela1[[#This Row],[Mês]],Tabela1[Ano],Tabela1[[#This Row],[Ano]])/COUNTIF(Tabela1[Mês],Tabela1[[#This Row],[Mês]])</f>
        <v>0.20967741935483872</v>
      </c>
      <c r="AK524" s="20">
        <f>100%</f>
        <v>1</v>
      </c>
    </row>
    <row r="525" spans="1:37" ht="18" customHeight="1" x14ac:dyDescent="0.25">
      <c r="A525">
        <v>1271278533</v>
      </c>
      <c r="B525" t="s">
        <v>1228</v>
      </c>
      <c r="C525" t="s">
        <v>1229</v>
      </c>
      <c r="D525" t="s">
        <v>37</v>
      </c>
      <c r="E525" t="s">
        <v>31</v>
      </c>
      <c r="F525" s="2">
        <v>46013.549276365738</v>
      </c>
      <c r="AC525" s="24">
        <f t="shared" ca="1" si="17"/>
        <v>120.45072363426152</v>
      </c>
      <c r="AD525" s="25" t="str">
        <f t="shared" ca="1" si="18"/>
        <v>&gt;60 dias</v>
      </c>
      <c r="AE525" s="25">
        <f>MONTH(Tabela1[[#This Row],[Criado em]])</f>
        <v>12</v>
      </c>
      <c r="AF525" s="25">
        <f>YEAR(Tabela1[[#This Row],[Criado em]])</f>
        <v>2025</v>
      </c>
      <c r="AG525" s="25">
        <f>COUNTIFS(Tabela1[Mês],Tabela1[[#This Row],[Mês]])</f>
        <v>207</v>
      </c>
      <c r="AH525" s="25">
        <f>COUNTIFS(Tabela1[Mês],Tabela1[[#This Row],[Mês]],Tabela1[Fase atual],"Recebido")</f>
        <v>155</v>
      </c>
      <c r="AI525" s="26">
        <f>Tabela1[[#This Row],[Recebido_ Mes]]/Tabela1[[#This Row],[Total_Mes]]</f>
        <v>0.74879227053140096</v>
      </c>
      <c r="AJ525" s="19">
        <f>COUNTIFS(Tabela1[Fase atual],"Recebido",Tabela1[Mês],Tabela1[[#This Row],[Mês]],Tabela1[Ano],Tabela1[[#This Row],[Ano]])/COUNTIF(Tabela1[Mês],Tabela1[[#This Row],[Mês]])</f>
        <v>0.74879227053140096</v>
      </c>
      <c r="AK525" s="20">
        <f>100%</f>
        <v>1</v>
      </c>
    </row>
    <row r="526" spans="1:37" ht="18" customHeight="1" x14ac:dyDescent="0.25">
      <c r="A526">
        <v>1279373108</v>
      </c>
      <c r="B526" t="s">
        <v>237</v>
      </c>
      <c r="C526" t="s">
        <v>247</v>
      </c>
      <c r="D526" t="s">
        <v>202</v>
      </c>
      <c r="E526" t="s">
        <v>31</v>
      </c>
      <c r="F526" s="2">
        <v>46031.562547627313</v>
      </c>
      <c r="AC526" s="24">
        <f t="shared" ca="1" si="17"/>
        <v>102.4374523726874</v>
      </c>
      <c r="AD526" s="25" t="str">
        <f t="shared" ca="1" si="18"/>
        <v>&gt;60 dias</v>
      </c>
      <c r="AE526" s="25">
        <f>MONTH(Tabela1[[#This Row],[Criado em]])</f>
        <v>1</v>
      </c>
      <c r="AF526" s="25">
        <f>YEAR(Tabela1[[#This Row],[Criado em]])</f>
        <v>2026</v>
      </c>
      <c r="AG526" s="25">
        <f>COUNTIFS(Tabela1[Mês],Tabela1[[#This Row],[Mês]])</f>
        <v>222</v>
      </c>
      <c r="AH526" s="25">
        <f>COUNTIFS(Tabela1[Mês],Tabela1[[#This Row],[Mês]],Tabela1[Fase atual],"Recebido")</f>
        <v>174</v>
      </c>
      <c r="AI526" s="26">
        <f>Tabela1[[#This Row],[Recebido_ Mes]]/Tabela1[[#This Row],[Total_Mes]]</f>
        <v>0.78378378378378377</v>
      </c>
      <c r="AJ526" s="19">
        <f>COUNTIFS(Tabela1[Fase atual],"Recebido",Tabela1[Mês],Tabela1[[#This Row],[Mês]],Tabela1[Ano],Tabela1[[#This Row],[Ano]])/COUNTIF(Tabela1[Mês],Tabela1[[#This Row],[Mês]])</f>
        <v>0.78378378378378377</v>
      </c>
      <c r="AK526" s="20">
        <f>100%</f>
        <v>1</v>
      </c>
    </row>
    <row r="527" spans="1:37" ht="18" customHeight="1" x14ac:dyDescent="0.25">
      <c r="A527">
        <v>1279373116</v>
      </c>
      <c r="B527" t="s">
        <v>237</v>
      </c>
      <c r="C527" t="s">
        <v>248</v>
      </c>
      <c r="D527" t="s">
        <v>37</v>
      </c>
      <c r="E527" t="s">
        <v>31</v>
      </c>
      <c r="F527" s="2">
        <v>46031.562551678238</v>
      </c>
      <c r="AC527" s="24">
        <f t="shared" ca="1" si="17"/>
        <v>102.43744832176162</v>
      </c>
      <c r="AD527" s="25" t="str">
        <f t="shared" ca="1" si="18"/>
        <v>&gt;60 dias</v>
      </c>
      <c r="AE527" s="25">
        <f>MONTH(Tabela1[[#This Row],[Criado em]])</f>
        <v>1</v>
      </c>
      <c r="AF527" s="25">
        <f>YEAR(Tabela1[[#This Row],[Criado em]])</f>
        <v>2026</v>
      </c>
      <c r="AG527" s="25">
        <f>COUNTIFS(Tabela1[Mês],Tabela1[[#This Row],[Mês]])</f>
        <v>222</v>
      </c>
      <c r="AH527" s="25">
        <f>COUNTIFS(Tabela1[Mês],Tabela1[[#This Row],[Mês]],Tabela1[Fase atual],"Recebido")</f>
        <v>174</v>
      </c>
      <c r="AI527" s="26">
        <f>Tabela1[[#This Row],[Recebido_ Mes]]/Tabela1[[#This Row],[Total_Mes]]</f>
        <v>0.78378378378378377</v>
      </c>
      <c r="AJ527" s="19">
        <f>COUNTIFS(Tabela1[Fase atual],"Recebido",Tabela1[Mês],Tabela1[[#This Row],[Mês]],Tabela1[Ano],Tabela1[[#This Row],[Ano]])/COUNTIF(Tabela1[Mês],Tabela1[[#This Row],[Mês]])</f>
        <v>0.78378378378378377</v>
      </c>
      <c r="AK527" s="20">
        <f>100%</f>
        <v>1</v>
      </c>
    </row>
    <row r="528" spans="1:37" ht="18" customHeight="1" x14ac:dyDescent="0.25">
      <c r="A528">
        <v>1184493497</v>
      </c>
      <c r="B528" t="s">
        <v>1230</v>
      </c>
      <c r="C528" t="s">
        <v>1231</v>
      </c>
      <c r="D528" t="s">
        <v>37</v>
      </c>
      <c r="E528" t="s">
        <v>31</v>
      </c>
      <c r="F528" s="2">
        <v>45866.643509027781</v>
      </c>
      <c r="AC528" s="24">
        <f t="shared" ca="1" si="17"/>
        <v>267.35649097221904</v>
      </c>
      <c r="AD528" s="25" t="str">
        <f t="shared" ca="1" si="18"/>
        <v>&gt;60 dias</v>
      </c>
      <c r="AE528" s="25">
        <f>MONTH(Tabela1[[#This Row],[Criado em]])</f>
        <v>7</v>
      </c>
      <c r="AF528" s="25">
        <f>YEAR(Tabela1[[#This Row],[Criado em]])</f>
        <v>2025</v>
      </c>
      <c r="AG528" s="25">
        <f>COUNTIFS(Tabela1[Mês],Tabela1[[#This Row],[Mês]])</f>
        <v>177</v>
      </c>
      <c r="AH528" s="25">
        <f>COUNTIFS(Tabela1[Mês],Tabela1[[#This Row],[Mês]],Tabela1[Fase atual],"Recebido")</f>
        <v>130</v>
      </c>
      <c r="AI528" s="26">
        <f>Tabela1[[#This Row],[Recebido_ Mes]]/Tabela1[[#This Row],[Total_Mes]]</f>
        <v>0.7344632768361582</v>
      </c>
      <c r="AJ528" s="19">
        <f>COUNTIFS(Tabela1[Fase atual],"Recebido",Tabela1[Mês],Tabela1[[#This Row],[Mês]],Tabela1[Ano],Tabela1[[#This Row],[Ano]])/COUNTIF(Tabela1[Mês],Tabela1[[#This Row],[Mês]])</f>
        <v>0.7344632768361582</v>
      </c>
      <c r="AK528" s="20">
        <f>100%</f>
        <v>1</v>
      </c>
    </row>
    <row r="529" spans="1:37" ht="18" customHeight="1" x14ac:dyDescent="0.25">
      <c r="A529">
        <v>1219993092</v>
      </c>
      <c r="B529" t="s">
        <v>249</v>
      </c>
      <c r="C529" t="s">
        <v>1232</v>
      </c>
      <c r="D529" t="s">
        <v>40</v>
      </c>
      <c r="E529" t="s">
        <v>31</v>
      </c>
      <c r="F529" s="2">
        <v>45923.641999247688</v>
      </c>
      <c r="AC529" s="24">
        <f t="shared" ca="1" si="17"/>
        <v>210.35800075231236</v>
      </c>
      <c r="AD529" s="25" t="str">
        <f t="shared" ca="1" si="18"/>
        <v>&gt;60 dias</v>
      </c>
      <c r="AE529" s="25">
        <f>MONTH(Tabela1[[#This Row],[Criado em]])</f>
        <v>9</v>
      </c>
      <c r="AF529" s="25">
        <f>YEAR(Tabela1[[#This Row],[Criado em]])</f>
        <v>2025</v>
      </c>
      <c r="AG529" s="25">
        <f>COUNTIFS(Tabela1[Mês],Tabela1[[#This Row],[Mês]])</f>
        <v>197</v>
      </c>
      <c r="AH529" s="25">
        <f>COUNTIFS(Tabela1[Mês],Tabela1[[#This Row],[Mês]],Tabela1[Fase atual],"Recebido")</f>
        <v>152</v>
      </c>
      <c r="AI529" s="26">
        <f>Tabela1[[#This Row],[Recebido_ Mes]]/Tabela1[[#This Row],[Total_Mes]]</f>
        <v>0.77157360406091369</v>
      </c>
      <c r="AJ529" s="19">
        <f>COUNTIFS(Tabela1[Fase atual],"Recebido",Tabela1[Mês],Tabela1[[#This Row],[Mês]],Tabela1[Ano],Tabela1[[#This Row],[Ano]])/COUNTIF(Tabela1[Mês],Tabela1[[#This Row],[Mês]])</f>
        <v>0.77157360406091369</v>
      </c>
      <c r="AK529" s="20">
        <f>100%</f>
        <v>1</v>
      </c>
    </row>
    <row r="530" spans="1:37" ht="18" customHeight="1" x14ac:dyDescent="0.25">
      <c r="A530">
        <v>1284754436</v>
      </c>
      <c r="B530" t="s">
        <v>249</v>
      </c>
      <c r="C530" t="s">
        <v>250</v>
      </c>
      <c r="D530" t="s">
        <v>40</v>
      </c>
      <c r="E530" t="s">
        <v>31</v>
      </c>
      <c r="F530" s="2">
        <v>46042.920485428243</v>
      </c>
      <c r="AC530" s="24">
        <f t="shared" ca="1" si="17"/>
        <v>91.07951457175659</v>
      </c>
      <c r="AD530" s="25" t="str">
        <f t="shared" ca="1" si="18"/>
        <v>&gt;60 dias</v>
      </c>
      <c r="AE530" s="25">
        <f>MONTH(Tabela1[[#This Row],[Criado em]])</f>
        <v>1</v>
      </c>
      <c r="AF530" s="25">
        <f>YEAR(Tabela1[[#This Row],[Criado em]])</f>
        <v>2026</v>
      </c>
      <c r="AG530" s="25">
        <f>COUNTIFS(Tabela1[Mês],Tabela1[[#This Row],[Mês]])</f>
        <v>222</v>
      </c>
      <c r="AH530" s="25">
        <f>COUNTIFS(Tabela1[Mês],Tabela1[[#This Row],[Mês]],Tabela1[Fase atual],"Recebido")</f>
        <v>174</v>
      </c>
      <c r="AI530" s="26">
        <f>Tabela1[[#This Row],[Recebido_ Mes]]/Tabela1[[#This Row],[Total_Mes]]</f>
        <v>0.78378378378378377</v>
      </c>
      <c r="AJ530" s="19">
        <f>COUNTIFS(Tabela1[Fase atual],"Recebido",Tabela1[Mês],Tabela1[[#This Row],[Mês]],Tabela1[Ano],Tabela1[[#This Row],[Ano]])/COUNTIF(Tabela1[Mês],Tabela1[[#This Row],[Mês]])</f>
        <v>0.78378378378378377</v>
      </c>
      <c r="AK530" s="20">
        <f>100%</f>
        <v>1</v>
      </c>
    </row>
    <row r="531" spans="1:37" ht="18" customHeight="1" x14ac:dyDescent="0.25">
      <c r="A531">
        <v>1281735018</v>
      </c>
      <c r="B531" t="s">
        <v>251</v>
      </c>
      <c r="C531" t="s">
        <v>252</v>
      </c>
      <c r="D531" t="s">
        <v>37</v>
      </c>
      <c r="E531" t="s">
        <v>31</v>
      </c>
      <c r="F531" s="2">
        <v>46036.630353287037</v>
      </c>
      <c r="AC531" s="24">
        <f t="shared" ca="1" si="17"/>
        <v>97.369646712963004</v>
      </c>
      <c r="AD531" s="25" t="str">
        <f t="shared" ca="1" si="18"/>
        <v>&gt;60 dias</v>
      </c>
      <c r="AE531" s="25">
        <f>MONTH(Tabela1[[#This Row],[Criado em]])</f>
        <v>1</v>
      </c>
      <c r="AF531" s="25">
        <f>YEAR(Tabela1[[#This Row],[Criado em]])</f>
        <v>2026</v>
      </c>
      <c r="AG531" s="25">
        <f>COUNTIFS(Tabela1[Mês],Tabela1[[#This Row],[Mês]])</f>
        <v>222</v>
      </c>
      <c r="AH531" s="25">
        <f>COUNTIFS(Tabela1[Mês],Tabela1[[#This Row],[Mês]],Tabela1[Fase atual],"Recebido")</f>
        <v>174</v>
      </c>
      <c r="AI531" s="26">
        <f>Tabela1[[#This Row],[Recebido_ Mes]]/Tabela1[[#This Row],[Total_Mes]]</f>
        <v>0.78378378378378377</v>
      </c>
      <c r="AJ531" s="19">
        <f>COUNTIFS(Tabela1[Fase atual],"Recebido",Tabela1[Mês],Tabela1[[#This Row],[Mês]],Tabela1[Ano],Tabela1[[#This Row],[Ano]])/COUNTIF(Tabela1[Mês],Tabela1[[#This Row],[Mês]])</f>
        <v>0.78378378378378377</v>
      </c>
      <c r="AK531" s="20">
        <f>100%</f>
        <v>1</v>
      </c>
    </row>
    <row r="532" spans="1:37" ht="18" customHeight="1" x14ac:dyDescent="0.25">
      <c r="A532">
        <v>1270839971</v>
      </c>
      <c r="B532" t="s">
        <v>251</v>
      </c>
      <c r="C532" t="s">
        <v>1233</v>
      </c>
      <c r="D532" t="s">
        <v>37</v>
      </c>
      <c r="E532" t="s">
        <v>31</v>
      </c>
      <c r="F532" s="2">
        <v>46010.923820127311</v>
      </c>
      <c r="AC532" s="24">
        <f t="shared" ca="1" si="17"/>
        <v>123.07617987268895</v>
      </c>
      <c r="AD532" s="25" t="str">
        <f t="shared" ca="1" si="18"/>
        <v>&gt;60 dias</v>
      </c>
      <c r="AE532" s="25">
        <f>MONTH(Tabela1[[#This Row],[Criado em]])</f>
        <v>12</v>
      </c>
      <c r="AF532" s="25">
        <f>YEAR(Tabela1[[#This Row],[Criado em]])</f>
        <v>2025</v>
      </c>
      <c r="AG532" s="25">
        <f>COUNTIFS(Tabela1[Mês],Tabela1[[#This Row],[Mês]])</f>
        <v>207</v>
      </c>
      <c r="AH532" s="25">
        <f>COUNTIFS(Tabela1[Mês],Tabela1[[#This Row],[Mês]],Tabela1[Fase atual],"Recebido")</f>
        <v>155</v>
      </c>
      <c r="AI532" s="26">
        <f>Tabela1[[#This Row],[Recebido_ Mes]]/Tabela1[[#This Row],[Total_Mes]]</f>
        <v>0.74879227053140096</v>
      </c>
      <c r="AJ532" s="19">
        <f>COUNTIFS(Tabela1[Fase atual],"Recebido",Tabela1[Mês],Tabela1[[#This Row],[Mês]],Tabela1[Ano],Tabela1[[#This Row],[Ano]])/COUNTIF(Tabela1[Mês],Tabela1[[#This Row],[Mês]])</f>
        <v>0.74879227053140096</v>
      </c>
      <c r="AK532" s="20">
        <f>100%</f>
        <v>1</v>
      </c>
    </row>
    <row r="533" spans="1:37" ht="18" customHeight="1" x14ac:dyDescent="0.25">
      <c r="A533">
        <v>1274393020</v>
      </c>
      <c r="B533" t="s">
        <v>1234</v>
      </c>
      <c r="C533" t="s">
        <v>1235</v>
      </c>
      <c r="D533" t="s">
        <v>40</v>
      </c>
      <c r="E533" t="s">
        <v>1236</v>
      </c>
      <c r="F533" s="2">
        <v>46020.717979282403</v>
      </c>
      <c r="AC533" s="24">
        <f t="shared" ca="1" si="17"/>
        <v>113.28202071759733</v>
      </c>
      <c r="AD533" s="25" t="str">
        <f t="shared" ca="1" si="18"/>
        <v>&gt;60 dias</v>
      </c>
      <c r="AE533" s="25">
        <f>MONTH(Tabela1[[#This Row],[Criado em]])</f>
        <v>12</v>
      </c>
      <c r="AF533" s="25">
        <f>YEAR(Tabela1[[#This Row],[Criado em]])</f>
        <v>2025</v>
      </c>
      <c r="AG533" s="25">
        <f>COUNTIFS(Tabela1[Mês],Tabela1[[#This Row],[Mês]])</f>
        <v>207</v>
      </c>
      <c r="AH533" s="25">
        <f>COUNTIFS(Tabela1[Mês],Tabela1[[#This Row],[Mês]],Tabela1[Fase atual],"Recebido")</f>
        <v>155</v>
      </c>
      <c r="AI533" s="26">
        <f>Tabela1[[#This Row],[Recebido_ Mes]]/Tabela1[[#This Row],[Total_Mes]]</f>
        <v>0.74879227053140096</v>
      </c>
      <c r="AJ533" s="19">
        <f>COUNTIFS(Tabela1[Fase atual],"Recebido",Tabela1[Mês],Tabela1[[#This Row],[Mês]],Tabela1[Ano],Tabela1[[#This Row],[Ano]])/COUNTIF(Tabela1[Mês],Tabela1[[#This Row],[Mês]])</f>
        <v>0.74879227053140096</v>
      </c>
      <c r="AK533" s="20">
        <f>100%</f>
        <v>1</v>
      </c>
    </row>
    <row r="534" spans="1:37" ht="18" customHeight="1" x14ac:dyDescent="0.25">
      <c r="A534">
        <v>1210539895</v>
      </c>
      <c r="B534" t="s">
        <v>1237</v>
      </c>
      <c r="C534" t="s">
        <v>1238</v>
      </c>
      <c r="D534" t="s">
        <v>37</v>
      </c>
      <c r="E534" t="s">
        <v>31</v>
      </c>
      <c r="F534" s="2">
        <v>45908.85167364584</v>
      </c>
      <c r="AC534" s="24">
        <f t="shared" ca="1" si="17"/>
        <v>225.14832635415951</v>
      </c>
      <c r="AD534" s="25" t="str">
        <f t="shared" ca="1" si="18"/>
        <v>&gt;60 dias</v>
      </c>
      <c r="AE534" s="25">
        <f>MONTH(Tabela1[[#This Row],[Criado em]])</f>
        <v>9</v>
      </c>
      <c r="AF534" s="25">
        <f>YEAR(Tabela1[[#This Row],[Criado em]])</f>
        <v>2025</v>
      </c>
      <c r="AG534" s="25">
        <f>COUNTIFS(Tabela1[Mês],Tabela1[[#This Row],[Mês]])</f>
        <v>197</v>
      </c>
      <c r="AH534" s="25">
        <f>COUNTIFS(Tabela1[Mês],Tabela1[[#This Row],[Mês]],Tabela1[Fase atual],"Recebido")</f>
        <v>152</v>
      </c>
      <c r="AI534" s="26">
        <f>Tabela1[[#This Row],[Recebido_ Mes]]/Tabela1[[#This Row],[Total_Mes]]</f>
        <v>0.77157360406091369</v>
      </c>
      <c r="AJ534" s="19">
        <f>COUNTIFS(Tabela1[Fase atual],"Recebido",Tabela1[Mês],Tabela1[[#This Row],[Mês]],Tabela1[Ano],Tabela1[[#This Row],[Ano]])/COUNTIF(Tabela1[Mês],Tabela1[[#This Row],[Mês]])</f>
        <v>0.77157360406091369</v>
      </c>
      <c r="AK534" s="20">
        <f>100%</f>
        <v>1</v>
      </c>
    </row>
    <row r="535" spans="1:37" ht="18" customHeight="1" x14ac:dyDescent="0.25">
      <c r="A535">
        <v>1264758997</v>
      </c>
      <c r="B535" t="s">
        <v>1239</v>
      </c>
      <c r="C535" t="s">
        <v>1240</v>
      </c>
      <c r="D535" t="s">
        <v>37</v>
      </c>
      <c r="E535" t="s">
        <v>31</v>
      </c>
      <c r="F535" s="2">
        <v>45996.799384224527</v>
      </c>
      <c r="AC535" s="24">
        <f t="shared" ca="1" si="17"/>
        <v>137.20061577547312</v>
      </c>
      <c r="AD535" s="25" t="str">
        <f t="shared" ca="1" si="18"/>
        <v>&gt;60 dias</v>
      </c>
      <c r="AE535" s="25">
        <f>MONTH(Tabela1[[#This Row],[Criado em]])</f>
        <v>12</v>
      </c>
      <c r="AF535" s="25">
        <f>YEAR(Tabela1[[#This Row],[Criado em]])</f>
        <v>2025</v>
      </c>
      <c r="AG535" s="25">
        <f>COUNTIFS(Tabela1[Mês],Tabela1[[#This Row],[Mês]])</f>
        <v>207</v>
      </c>
      <c r="AH535" s="25">
        <f>COUNTIFS(Tabela1[Mês],Tabela1[[#This Row],[Mês]],Tabela1[Fase atual],"Recebido")</f>
        <v>155</v>
      </c>
      <c r="AI535" s="26">
        <f>Tabela1[[#This Row],[Recebido_ Mes]]/Tabela1[[#This Row],[Total_Mes]]</f>
        <v>0.74879227053140096</v>
      </c>
      <c r="AJ535" s="19">
        <f>COUNTIFS(Tabela1[Fase atual],"Recebido",Tabela1[Mês],Tabela1[[#This Row],[Mês]],Tabela1[Ano],Tabela1[[#This Row],[Ano]])/COUNTIF(Tabela1[Mês],Tabela1[[#This Row],[Mês]])</f>
        <v>0.74879227053140096</v>
      </c>
      <c r="AK535" s="20">
        <f>100%</f>
        <v>1</v>
      </c>
    </row>
    <row r="536" spans="1:37" ht="18" customHeight="1" x14ac:dyDescent="0.25">
      <c r="A536">
        <v>1306961884</v>
      </c>
      <c r="B536" t="s">
        <v>2210</v>
      </c>
      <c r="C536" t="s">
        <v>2211</v>
      </c>
      <c r="D536" t="s">
        <v>2179</v>
      </c>
      <c r="E536" t="s">
        <v>31</v>
      </c>
      <c r="F536" s="2">
        <v>46083.506912719909</v>
      </c>
      <c r="AC536" s="24">
        <f t="shared" ca="1" si="17"/>
        <v>50.493087280090549</v>
      </c>
      <c r="AD536" s="25" t="str">
        <f t="shared" ca="1" si="18"/>
        <v>31-60 dias</v>
      </c>
      <c r="AE536" s="25">
        <f>MONTH(Tabela1[[#This Row],[Criado em]])</f>
        <v>3</v>
      </c>
      <c r="AF536" s="25">
        <f>YEAR(Tabela1[[#This Row],[Criado em]])</f>
        <v>2026</v>
      </c>
      <c r="AG536" s="25">
        <f>COUNTIFS(Tabela1[Mês],Tabela1[[#This Row],[Mês]])</f>
        <v>62</v>
      </c>
      <c r="AH536" s="25">
        <f>COUNTIFS(Tabela1[Mês],Tabela1[[#This Row],[Mês]],Tabela1[Fase atual],"Recebido")</f>
        <v>13</v>
      </c>
      <c r="AI536" s="26">
        <f>Tabela1[[#This Row],[Recebido_ Mes]]/Tabela1[[#This Row],[Total_Mes]]</f>
        <v>0.20967741935483872</v>
      </c>
      <c r="AJ536" s="19">
        <f>COUNTIFS(Tabela1[Fase atual],"Recebido",Tabela1[Mês],Tabela1[[#This Row],[Mês]],Tabela1[Ano],Tabela1[[#This Row],[Ano]])/COUNTIF(Tabela1[Mês],Tabela1[[#This Row],[Mês]])</f>
        <v>0.20967741935483872</v>
      </c>
      <c r="AK536" s="20">
        <f>100%</f>
        <v>1</v>
      </c>
    </row>
    <row r="537" spans="1:37" ht="18" customHeight="1" x14ac:dyDescent="0.25">
      <c r="A537">
        <v>1297488336</v>
      </c>
      <c r="B537" t="s">
        <v>253</v>
      </c>
      <c r="C537" t="s">
        <v>254</v>
      </c>
      <c r="D537" t="s">
        <v>37</v>
      </c>
      <c r="E537" t="s">
        <v>31</v>
      </c>
      <c r="F537" s="2">
        <v>46066.62984444444</v>
      </c>
      <c r="AC537" s="24">
        <f t="shared" ca="1" si="17"/>
        <v>67.370155555559904</v>
      </c>
      <c r="AD537" s="25" t="str">
        <f t="shared" ca="1" si="18"/>
        <v>&gt;60 dias</v>
      </c>
      <c r="AE537" s="25">
        <f>MONTH(Tabela1[[#This Row],[Criado em]])</f>
        <v>2</v>
      </c>
      <c r="AF537" s="25">
        <f>YEAR(Tabela1[[#This Row],[Criado em]])</f>
        <v>2026</v>
      </c>
      <c r="AG537" s="25">
        <f>COUNTIFS(Tabela1[Mês],Tabela1[[#This Row],[Mês]])</f>
        <v>197</v>
      </c>
      <c r="AH537" s="25">
        <f>COUNTIFS(Tabela1[Mês],Tabela1[[#This Row],[Mês]],Tabela1[Fase atual],"Recebido")</f>
        <v>124</v>
      </c>
      <c r="AI537" s="26">
        <f>Tabela1[[#This Row],[Recebido_ Mes]]/Tabela1[[#This Row],[Total_Mes]]</f>
        <v>0.62944162436548223</v>
      </c>
      <c r="AJ537" s="19">
        <f>COUNTIFS(Tabela1[Fase atual],"Recebido",Tabela1[Mês],Tabela1[[#This Row],[Mês]],Tabela1[Ano],Tabela1[[#This Row],[Ano]])/COUNTIF(Tabela1[Mês],Tabela1[[#This Row],[Mês]])</f>
        <v>0.62944162436548223</v>
      </c>
      <c r="AK537" s="20">
        <f>100%</f>
        <v>1</v>
      </c>
    </row>
    <row r="538" spans="1:37" ht="18" customHeight="1" x14ac:dyDescent="0.25">
      <c r="A538">
        <v>1280373595</v>
      </c>
      <c r="B538" t="s">
        <v>253</v>
      </c>
      <c r="C538" t="s">
        <v>255</v>
      </c>
      <c r="D538" t="s">
        <v>37</v>
      </c>
      <c r="E538" t="s">
        <v>31</v>
      </c>
      <c r="F538" s="2">
        <v>46034.590697569452</v>
      </c>
      <c r="AC538" s="24">
        <f t="shared" ca="1" si="17"/>
        <v>99.409302430547541</v>
      </c>
      <c r="AD538" s="25" t="str">
        <f t="shared" ca="1" si="18"/>
        <v>&gt;60 dias</v>
      </c>
      <c r="AE538" s="25">
        <f>MONTH(Tabela1[[#This Row],[Criado em]])</f>
        <v>1</v>
      </c>
      <c r="AF538" s="25">
        <f>YEAR(Tabela1[[#This Row],[Criado em]])</f>
        <v>2026</v>
      </c>
      <c r="AG538" s="25">
        <f>COUNTIFS(Tabela1[Mês],Tabela1[[#This Row],[Mês]])</f>
        <v>222</v>
      </c>
      <c r="AH538" s="25">
        <f>COUNTIFS(Tabela1[Mês],Tabela1[[#This Row],[Mês]],Tabela1[Fase atual],"Recebido")</f>
        <v>174</v>
      </c>
      <c r="AI538" s="26">
        <f>Tabela1[[#This Row],[Recebido_ Mes]]/Tabela1[[#This Row],[Total_Mes]]</f>
        <v>0.78378378378378377</v>
      </c>
      <c r="AJ538" s="19">
        <f>COUNTIFS(Tabela1[Fase atual],"Recebido",Tabela1[Mês],Tabela1[[#This Row],[Mês]],Tabela1[Ano],Tabela1[[#This Row],[Ano]])/COUNTIF(Tabela1[Mês],Tabela1[[#This Row],[Mês]])</f>
        <v>0.78378378378378377</v>
      </c>
      <c r="AK538" s="20">
        <f>100%</f>
        <v>1</v>
      </c>
    </row>
    <row r="539" spans="1:37" ht="18" customHeight="1" x14ac:dyDescent="0.25">
      <c r="A539">
        <v>1261830546</v>
      </c>
      <c r="B539" t="s">
        <v>1241</v>
      </c>
      <c r="C539" t="s">
        <v>1242</v>
      </c>
      <c r="D539" t="s">
        <v>37</v>
      </c>
      <c r="E539" t="s">
        <v>31</v>
      </c>
      <c r="F539" s="2">
        <v>45992.629395682867</v>
      </c>
      <c r="AC539" s="24">
        <f t="shared" ca="1" si="17"/>
        <v>141.37060431713326</v>
      </c>
      <c r="AD539" s="25" t="str">
        <f t="shared" ca="1" si="18"/>
        <v>&gt;60 dias</v>
      </c>
      <c r="AE539" s="25">
        <f>MONTH(Tabela1[[#This Row],[Criado em]])</f>
        <v>12</v>
      </c>
      <c r="AF539" s="25">
        <f>YEAR(Tabela1[[#This Row],[Criado em]])</f>
        <v>2025</v>
      </c>
      <c r="AG539" s="25">
        <f>COUNTIFS(Tabela1[Mês],Tabela1[[#This Row],[Mês]])</f>
        <v>207</v>
      </c>
      <c r="AH539" s="25">
        <f>COUNTIFS(Tabela1[Mês],Tabela1[[#This Row],[Mês]],Tabela1[Fase atual],"Recebido")</f>
        <v>155</v>
      </c>
      <c r="AI539" s="26">
        <f>Tabela1[[#This Row],[Recebido_ Mes]]/Tabela1[[#This Row],[Total_Mes]]</f>
        <v>0.74879227053140096</v>
      </c>
      <c r="AJ539" s="19">
        <f>COUNTIFS(Tabela1[Fase atual],"Recebido",Tabela1[Mês],Tabela1[[#This Row],[Mês]],Tabela1[Ano],Tabela1[[#This Row],[Ano]])/COUNTIF(Tabela1[Mês],Tabela1[[#This Row],[Mês]])</f>
        <v>0.74879227053140096</v>
      </c>
      <c r="AK539" s="20">
        <f>100%</f>
        <v>1</v>
      </c>
    </row>
    <row r="540" spans="1:37" ht="18" customHeight="1" x14ac:dyDescent="0.25">
      <c r="A540">
        <v>1195440570</v>
      </c>
      <c r="B540" t="s">
        <v>1243</v>
      </c>
      <c r="C540" t="s">
        <v>1244</v>
      </c>
      <c r="D540" t="s">
        <v>37</v>
      </c>
      <c r="E540" t="s">
        <v>31</v>
      </c>
      <c r="F540" s="2">
        <v>45883.850877465273</v>
      </c>
      <c r="AC540" s="24">
        <f t="shared" ca="1" si="17"/>
        <v>250.14912253472721</v>
      </c>
      <c r="AD540" s="25" t="str">
        <f t="shared" ca="1" si="18"/>
        <v>&gt;60 dias</v>
      </c>
      <c r="AE540" s="25">
        <f>MONTH(Tabela1[[#This Row],[Criado em]])</f>
        <v>8</v>
      </c>
      <c r="AF540" s="25">
        <f>YEAR(Tabela1[[#This Row],[Criado em]])</f>
        <v>2025</v>
      </c>
      <c r="AG540" s="25">
        <f>COUNTIFS(Tabela1[Mês],Tabela1[[#This Row],[Mês]])</f>
        <v>146</v>
      </c>
      <c r="AH540" s="25">
        <f>COUNTIFS(Tabela1[Mês],Tabela1[[#This Row],[Mês]],Tabela1[Fase atual],"Recebido")</f>
        <v>115</v>
      </c>
      <c r="AI540" s="26">
        <f>Tabela1[[#This Row],[Recebido_ Mes]]/Tabela1[[#This Row],[Total_Mes]]</f>
        <v>0.78767123287671237</v>
      </c>
      <c r="AJ540" s="19">
        <f>COUNTIFS(Tabela1[Fase atual],"Recebido",Tabela1[Mês],Tabela1[[#This Row],[Mês]],Tabela1[Ano],Tabela1[[#This Row],[Ano]])/COUNTIF(Tabela1[Mês],Tabela1[[#This Row],[Mês]])</f>
        <v>0.78767123287671237</v>
      </c>
      <c r="AK540" s="20">
        <f>100%</f>
        <v>1</v>
      </c>
    </row>
    <row r="541" spans="1:37" ht="18" customHeight="1" x14ac:dyDescent="0.25">
      <c r="A541">
        <v>1200311361</v>
      </c>
      <c r="B541" t="s">
        <v>1245</v>
      </c>
      <c r="C541" t="s">
        <v>1246</v>
      </c>
      <c r="D541" t="s">
        <v>37</v>
      </c>
      <c r="E541" t="s">
        <v>31</v>
      </c>
      <c r="F541" s="2">
        <v>45891.851925196759</v>
      </c>
      <c r="AC541" s="24">
        <f t="shared" ca="1" si="17"/>
        <v>242.14807480324089</v>
      </c>
      <c r="AD541" s="25" t="str">
        <f t="shared" ca="1" si="18"/>
        <v>&gt;60 dias</v>
      </c>
      <c r="AE541" s="25">
        <f>MONTH(Tabela1[[#This Row],[Criado em]])</f>
        <v>8</v>
      </c>
      <c r="AF541" s="25">
        <f>YEAR(Tabela1[[#This Row],[Criado em]])</f>
        <v>2025</v>
      </c>
      <c r="AG541" s="25">
        <f>COUNTIFS(Tabela1[Mês],Tabela1[[#This Row],[Mês]])</f>
        <v>146</v>
      </c>
      <c r="AH541" s="25">
        <f>COUNTIFS(Tabela1[Mês],Tabela1[[#This Row],[Mês]],Tabela1[Fase atual],"Recebido")</f>
        <v>115</v>
      </c>
      <c r="AI541" s="26">
        <f>Tabela1[[#This Row],[Recebido_ Mes]]/Tabela1[[#This Row],[Total_Mes]]</f>
        <v>0.78767123287671237</v>
      </c>
      <c r="AJ541" s="19">
        <f>COUNTIFS(Tabela1[Fase atual],"Recebido",Tabela1[Mês],Tabela1[[#This Row],[Mês]],Tabela1[Ano],Tabela1[[#This Row],[Ano]])/COUNTIF(Tabela1[Mês],Tabela1[[#This Row],[Mês]])</f>
        <v>0.78767123287671237</v>
      </c>
      <c r="AK541" s="20">
        <f>100%</f>
        <v>1</v>
      </c>
    </row>
    <row r="542" spans="1:37" ht="18" customHeight="1" x14ac:dyDescent="0.25">
      <c r="A542">
        <v>1200311280</v>
      </c>
      <c r="B542" t="s">
        <v>1245</v>
      </c>
      <c r="C542" t="s">
        <v>1246</v>
      </c>
      <c r="D542" t="s">
        <v>37</v>
      </c>
      <c r="E542" t="s">
        <v>31</v>
      </c>
      <c r="F542" s="2">
        <v>45891.851866909718</v>
      </c>
      <c r="AC542" s="24">
        <f t="shared" ca="1" si="17"/>
        <v>242.1481330902825</v>
      </c>
      <c r="AD542" s="25" t="str">
        <f t="shared" ca="1" si="18"/>
        <v>&gt;60 dias</v>
      </c>
      <c r="AE542" s="25">
        <f>MONTH(Tabela1[[#This Row],[Criado em]])</f>
        <v>8</v>
      </c>
      <c r="AF542" s="25">
        <f>YEAR(Tabela1[[#This Row],[Criado em]])</f>
        <v>2025</v>
      </c>
      <c r="AG542" s="25">
        <f>COUNTIFS(Tabela1[Mês],Tabela1[[#This Row],[Mês]])</f>
        <v>146</v>
      </c>
      <c r="AH542" s="25">
        <f>COUNTIFS(Tabela1[Mês],Tabela1[[#This Row],[Mês]],Tabela1[Fase atual],"Recebido")</f>
        <v>115</v>
      </c>
      <c r="AI542" s="26">
        <f>Tabela1[[#This Row],[Recebido_ Mes]]/Tabela1[[#This Row],[Total_Mes]]</f>
        <v>0.78767123287671237</v>
      </c>
      <c r="AJ542" s="19">
        <f>COUNTIFS(Tabela1[Fase atual],"Recebido",Tabela1[Mês],Tabela1[[#This Row],[Mês]],Tabela1[Ano],Tabela1[[#This Row],[Ano]])/COUNTIF(Tabela1[Mês],Tabela1[[#This Row],[Mês]])</f>
        <v>0.78767123287671237</v>
      </c>
      <c r="AK542" s="20">
        <f>100%</f>
        <v>1</v>
      </c>
    </row>
    <row r="543" spans="1:37" ht="18" customHeight="1" x14ac:dyDescent="0.25">
      <c r="A543">
        <v>1182775623</v>
      </c>
      <c r="B543" t="s">
        <v>1247</v>
      </c>
      <c r="C543" t="s">
        <v>1248</v>
      </c>
      <c r="D543" t="s">
        <v>37</v>
      </c>
      <c r="E543" t="s">
        <v>31</v>
      </c>
      <c r="F543" s="2">
        <v>45862.832296631939</v>
      </c>
      <c r="AC543" s="24">
        <f t="shared" ca="1" si="17"/>
        <v>271.16770336806076</v>
      </c>
      <c r="AD543" s="25" t="str">
        <f t="shared" ca="1" si="18"/>
        <v>&gt;60 dias</v>
      </c>
      <c r="AE543" s="25">
        <f>MONTH(Tabela1[[#This Row],[Criado em]])</f>
        <v>7</v>
      </c>
      <c r="AF543" s="25">
        <f>YEAR(Tabela1[[#This Row],[Criado em]])</f>
        <v>2025</v>
      </c>
      <c r="AG543" s="25">
        <f>COUNTIFS(Tabela1[Mês],Tabela1[[#This Row],[Mês]])</f>
        <v>177</v>
      </c>
      <c r="AH543" s="25">
        <f>COUNTIFS(Tabela1[Mês],Tabela1[[#This Row],[Mês]],Tabela1[Fase atual],"Recebido")</f>
        <v>130</v>
      </c>
      <c r="AI543" s="26">
        <f>Tabela1[[#This Row],[Recebido_ Mes]]/Tabela1[[#This Row],[Total_Mes]]</f>
        <v>0.7344632768361582</v>
      </c>
      <c r="AJ543" s="19">
        <f>COUNTIFS(Tabela1[Fase atual],"Recebido",Tabela1[Mês],Tabela1[[#This Row],[Mês]],Tabela1[Ano],Tabela1[[#This Row],[Ano]])/COUNTIF(Tabela1[Mês],Tabela1[[#This Row],[Mês]])</f>
        <v>0.7344632768361582</v>
      </c>
      <c r="AK543" s="20">
        <f>100%</f>
        <v>1</v>
      </c>
    </row>
    <row r="544" spans="1:37" ht="18" customHeight="1" x14ac:dyDescent="0.25">
      <c r="A544">
        <v>1251209409</v>
      </c>
      <c r="B544" t="s">
        <v>1249</v>
      </c>
      <c r="C544" t="s">
        <v>1250</v>
      </c>
      <c r="D544" t="s">
        <v>37</v>
      </c>
      <c r="E544" t="s">
        <v>31</v>
      </c>
      <c r="F544" s="2">
        <v>45967.794675370373</v>
      </c>
      <c r="AC544" s="24">
        <f t="shared" ca="1" si="17"/>
        <v>166.20532462962728</v>
      </c>
      <c r="AD544" s="25" t="str">
        <f t="shared" ca="1" si="18"/>
        <v>&gt;60 dias</v>
      </c>
      <c r="AE544" s="25">
        <f>MONTH(Tabela1[[#This Row],[Criado em]])</f>
        <v>11</v>
      </c>
      <c r="AF544" s="25">
        <f>YEAR(Tabela1[[#This Row],[Criado em]])</f>
        <v>2025</v>
      </c>
      <c r="AG544" s="25">
        <f>COUNTIFS(Tabela1[Mês],Tabela1[[#This Row],[Mês]])</f>
        <v>130</v>
      </c>
      <c r="AH544" s="25">
        <f>COUNTIFS(Tabela1[Mês],Tabela1[[#This Row],[Mês]],Tabela1[Fase atual],"Recebido")</f>
        <v>100</v>
      </c>
      <c r="AI544" s="26">
        <f>Tabela1[[#This Row],[Recebido_ Mes]]/Tabela1[[#This Row],[Total_Mes]]</f>
        <v>0.76923076923076927</v>
      </c>
      <c r="AJ544" s="19">
        <f>COUNTIFS(Tabela1[Fase atual],"Recebido",Tabela1[Mês],Tabela1[[#This Row],[Mês]],Tabela1[Ano],Tabela1[[#This Row],[Ano]])/COUNTIF(Tabela1[Mês],Tabela1[[#This Row],[Mês]])</f>
        <v>0.76923076923076927</v>
      </c>
      <c r="AK544" s="20">
        <f>100%</f>
        <v>1</v>
      </c>
    </row>
    <row r="545" spans="1:37" ht="18" customHeight="1" x14ac:dyDescent="0.25">
      <c r="A545">
        <v>1308390627</v>
      </c>
      <c r="B545" t="s">
        <v>1249</v>
      </c>
      <c r="C545" t="s">
        <v>2212</v>
      </c>
      <c r="D545" t="s">
        <v>2179</v>
      </c>
      <c r="E545" t="s">
        <v>31</v>
      </c>
      <c r="F545" s="2">
        <v>46084.79484106481</v>
      </c>
      <c r="AC545" s="24">
        <f t="shared" ca="1" si="17"/>
        <v>49.205158935190411</v>
      </c>
      <c r="AD545" s="25" t="str">
        <f t="shared" ca="1" si="18"/>
        <v>31-60 dias</v>
      </c>
      <c r="AE545" s="25">
        <f>MONTH(Tabela1[[#This Row],[Criado em]])</f>
        <v>3</v>
      </c>
      <c r="AF545" s="25">
        <f>YEAR(Tabela1[[#This Row],[Criado em]])</f>
        <v>2026</v>
      </c>
      <c r="AG545" s="25">
        <f>COUNTIFS(Tabela1[Mês],Tabela1[[#This Row],[Mês]])</f>
        <v>62</v>
      </c>
      <c r="AH545" s="25">
        <f>COUNTIFS(Tabela1[Mês],Tabela1[[#This Row],[Mês]],Tabela1[Fase atual],"Recebido")</f>
        <v>13</v>
      </c>
      <c r="AI545" s="26">
        <f>Tabela1[[#This Row],[Recebido_ Mes]]/Tabela1[[#This Row],[Total_Mes]]</f>
        <v>0.20967741935483872</v>
      </c>
      <c r="AJ545" s="19">
        <f>COUNTIFS(Tabela1[Fase atual],"Recebido",Tabela1[Mês],Tabela1[[#This Row],[Mês]],Tabela1[Ano],Tabela1[[#This Row],[Ano]])/COUNTIF(Tabela1[Mês],Tabela1[[#This Row],[Mês]])</f>
        <v>0.20967741935483872</v>
      </c>
      <c r="AK545" s="20">
        <f>100%</f>
        <v>1</v>
      </c>
    </row>
    <row r="546" spans="1:37" ht="18" customHeight="1" x14ac:dyDescent="0.25">
      <c r="A546">
        <v>1270230056</v>
      </c>
      <c r="B546" t="s">
        <v>1251</v>
      </c>
      <c r="C546" t="s">
        <v>1252</v>
      </c>
      <c r="D546" t="s">
        <v>37</v>
      </c>
      <c r="E546" t="s">
        <v>31</v>
      </c>
      <c r="F546" s="2">
        <v>46009.846570381953</v>
      </c>
      <c r="AC546" s="24">
        <f t="shared" ca="1" si="17"/>
        <v>124.15342961804708</v>
      </c>
      <c r="AD546" s="25" t="str">
        <f t="shared" ca="1" si="18"/>
        <v>&gt;60 dias</v>
      </c>
      <c r="AE546" s="25">
        <f>MONTH(Tabela1[[#This Row],[Criado em]])</f>
        <v>12</v>
      </c>
      <c r="AF546" s="25">
        <f>YEAR(Tabela1[[#This Row],[Criado em]])</f>
        <v>2025</v>
      </c>
      <c r="AG546" s="25">
        <f>COUNTIFS(Tabela1[Mês],Tabela1[[#This Row],[Mês]])</f>
        <v>207</v>
      </c>
      <c r="AH546" s="25">
        <f>COUNTIFS(Tabela1[Mês],Tabela1[[#This Row],[Mês]],Tabela1[Fase atual],"Recebido")</f>
        <v>155</v>
      </c>
      <c r="AI546" s="26">
        <f>Tabela1[[#This Row],[Recebido_ Mes]]/Tabela1[[#This Row],[Total_Mes]]</f>
        <v>0.74879227053140096</v>
      </c>
      <c r="AJ546" s="19">
        <f>COUNTIFS(Tabela1[Fase atual],"Recebido",Tabela1[Mês],Tabela1[[#This Row],[Mês]],Tabela1[Ano],Tabela1[[#This Row],[Ano]])/COUNTIF(Tabela1[Mês],Tabela1[[#This Row],[Mês]])</f>
        <v>0.74879227053140096</v>
      </c>
      <c r="AK546" s="20">
        <f>100%</f>
        <v>1</v>
      </c>
    </row>
    <row r="547" spans="1:37" ht="18" customHeight="1" x14ac:dyDescent="0.25">
      <c r="A547">
        <v>1307301562</v>
      </c>
      <c r="B547" t="s">
        <v>2213</v>
      </c>
      <c r="C547" t="s">
        <v>2214</v>
      </c>
      <c r="D547" t="s">
        <v>2179</v>
      </c>
      <c r="E547" t="s">
        <v>31</v>
      </c>
      <c r="F547" s="2">
        <v>46083.795002777777</v>
      </c>
      <c r="AC547" s="24">
        <f t="shared" ca="1" si="17"/>
        <v>50.204997222223028</v>
      </c>
      <c r="AD547" s="25" t="str">
        <f t="shared" ca="1" si="18"/>
        <v>31-60 dias</v>
      </c>
      <c r="AE547" s="25">
        <f>MONTH(Tabela1[[#This Row],[Criado em]])</f>
        <v>3</v>
      </c>
      <c r="AF547" s="25">
        <f>YEAR(Tabela1[[#This Row],[Criado em]])</f>
        <v>2026</v>
      </c>
      <c r="AG547" s="25">
        <f>COUNTIFS(Tabela1[Mês],Tabela1[[#This Row],[Mês]])</f>
        <v>62</v>
      </c>
      <c r="AH547" s="25">
        <f>COUNTIFS(Tabela1[Mês],Tabela1[[#This Row],[Mês]],Tabela1[Fase atual],"Recebido")</f>
        <v>13</v>
      </c>
      <c r="AI547" s="26">
        <f>Tabela1[[#This Row],[Recebido_ Mes]]/Tabela1[[#This Row],[Total_Mes]]</f>
        <v>0.20967741935483872</v>
      </c>
      <c r="AJ547" s="19">
        <f>COUNTIFS(Tabela1[Fase atual],"Recebido",Tabela1[Mês],Tabela1[[#This Row],[Mês]],Tabela1[Ano],Tabela1[[#This Row],[Ano]])/COUNTIF(Tabela1[Mês],Tabela1[[#This Row],[Mês]])</f>
        <v>0.20967741935483872</v>
      </c>
      <c r="AK547" s="20">
        <f>100%</f>
        <v>1</v>
      </c>
    </row>
    <row r="548" spans="1:37" ht="18" customHeight="1" x14ac:dyDescent="0.25">
      <c r="A548">
        <v>1308390534</v>
      </c>
      <c r="B548" t="s">
        <v>2215</v>
      </c>
      <c r="C548" t="s">
        <v>2216</v>
      </c>
      <c r="D548" t="s">
        <v>2179</v>
      </c>
      <c r="E548" t="s">
        <v>31</v>
      </c>
      <c r="F548" s="2">
        <v>46084.794782349527</v>
      </c>
      <c r="AC548" s="24">
        <f t="shared" ca="1" si="17"/>
        <v>49.20521765047306</v>
      </c>
      <c r="AD548" s="25" t="str">
        <f t="shared" ca="1" si="18"/>
        <v>31-60 dias</v>
      </c>
      <c r="AE548" s="25">
        <f>MONTH(Tabela1[[#This Row],[Criado em]])</f>
        <v>3</v>
      </c>
      <c r="AF548" s="25">
        <f>YEAR(Tabela1[[#This Row],[Criado em]])</f>
        <v>2026</v>
      </c>
      <c r="AG548" s="25">
        <f>COUNTIFS(Tabela1[Mês],Tabela1[[#This Row],[Mês]])</f>
        <v>62</v>
      </c>
      <c r="AH548" s="25">
        <f>COUNTIFS(Tabela1[Mês],Tabela1[[#This Row],[Mês]],Tabela1[Fase atual],"Recebido")</f>
        <v>13</v>
      </c>
      <c r="AI548" s="26">
        <f>Tabela1[[#This Row],[Recebido_ Mes]]/Tabela1[[#This Row],[Total_Mes]]</f>
        <v>0.20967741935483872</v>
      </c>
      <c r="AJ548" s="19">
        <f>COUNTIFS(Tabela1[Fase atual],"Recebido",Tabela1[Mês],Tabela1[[#This Row],[Mês]],Tabela1[Ano],Tabela1[[#This Row],[Ano]])/COUNTIF(Tabela1[Mês],Tabela1[[#This Row],[Mês]])</f>
        <v>0.20967741935483872</v>
      </c>
      <c r="AK548" s="20">
        <f>100%</f>
        <v>1</v>
      </c>
    </row>
    <row r="549" spans="1:37" ht="18" customHeight="1" x14ac:dyDescent="0.25">
      <c r="A549">
        <v>1193960039</v>
      </c>
      <c r="B549" t="s">
        <v>1253</v>
      </c>
      <c r="C549" t="s">
        <v>1254</v>
      </c>
      <c r="D549" t="s">
        <v>784</v>
      </c>
      <c r="E549" t="s">
        <v>31</v>
      </c>
      <c r="F549" s="2">
        <v>45881.850718402777</v>
      </c>
      <c r="AC549" s="24">
        <f t="shared" ca="1" si="17"/>
        <v>252.14928159722331</v>
      </c>
      <c r="AD549" s="25" t="str">
        <f t="shared" ca="1" si="18"/>
        <v>&gt;60 dias</v>
      </c>
      <c r="AE549" s="25">
        <f>MONTH(Tabela1[[#This Row],[Criado em]])</f>
        <v>8</v>
      </c>
      <c r="AF549" s="25">
        <f>YEAR(Tabela1[[#This Row],[Criado em]])</f>
        <v>2025</v>
      </c>
      <c r="AG549" s="25">
        <f>COUNTIFS(Tabela1[Mês],Tabela1[[#This Row],[Mês]])</f>
        <v>146</v>
      </c>
      <c r="AH549" s="25">
        <f>COUNTIFS(Tabela1[Mês],Tabela1[[#This Row],[Mês]],Tabela1[Fase atual],"Recebido")</f>
        <v>115</v>
      </c>
      <c r="AI549" s="26">
        <f>Tabela1[[#This Row],[Recebido_ Mes]]/Tabela1[[#This Row],[Total_Mes]]</f>
        <v>0.78767123287671237</v>
      </c>
      <c r="AJ549" s="19">
        <f>COUNTIFS(Tabela1[Fase atual],"Recebido",Tabela1[Mês],Tabela1[[#This Row],[Mês]],Tabela1[Ano],Tabela1[[#This Row],[Ano]])/COUNTIF(Tabela1[Mês],Tabela1[[#This Row],[Mês]])</f>
        <v>0.78767123287671237</v>
      </c>
      <c r="AK549" s="20">
        <f>100%</f>
        <v>1</v>
      </c>
    </row>
    <row r="550" spans="1:37" ht="18" customHeight="1" x14ac:dyDescent="0.25">
      <c r="A550">
        <v>1284621891</v>
      </c>
      <c r="B550" t="s">
        <v>180</v>
      </c>
      <c r="C550" t="s">
        <v>256</v>
      </c>
      <c r="D550" t="s">
        <v>37</v>
      </c>
      <c r="E550" t="s">
        <v>31</v>
      </c>
      <c r="F550" s="2">
        <v>46042.796441678227</v>
      </c>
      <c r="AC550" s="24">
        <f t="shared" ca="1" si="17"/>
        <v>91.203558321773016</v>
      </c>
      <c r="AD550" s="25" t="str">
        <f t="shared" ca="1" si="18"/>
        <v>&gt;60 dias</v>
      </c>
      <c r="AE550" s="25">
        <f>MONTH(Tabela1[[#This Row],[Criado em]])</f>
        <v>1</v>
      </c>
      <c r="AF550" s="25">
        <f>YEAR(Tabela1[[#This Row],[Criado em]])</f>
        <v>2026</v>
      </c>
      <c r="AG550" s="25">
        <f>COUNTIFS(Tabela1[Mês],Tabela1[[#This Row],[Mês]])</f>
        <v>222</v>
      </c>
      <c r="AH550" s="25">
        <f>COUNTIFS(Tabela1[Mês],Tabela1[[#This Row],[Mês]],Tabela1[Fase atual],"Recebido")</f>
        <v>174</v>
      </c>
      <c r="AI550" s="26">
        <f>Tabela1[[#This Row],[Recebido_ Mes]]/Tabela1[[#This Row],[Total_Mes]]</f>
        <v>0.78378378378378377</v>
      </c>
      <c r="AJ550" s="19">
        <f>COUNTIFS(Tabela1[Fase atual],"Recebido",Tabela1[Mês],Tabela1[[#This Row],[Mês]],Tabela1[Ano],Tabela1[[#This Row],[Ano]])/COUNTIF(Tabela1[Mês],Tabela1[[#This Row],[Mês]])</f>
        <v>0.78378378378378377</v>
      </c>
      <c r="AK550" s="20">
        <f>100%</f>
        <v>1</v>
      </c>
    </row>
    <row r="551" spans="1:37" ht="18" customHeight="1" x14ac:dyDescent="0.25">
      <c r="A551">
        <v>1279611944</v>
      </c>
      <c r="B551" t="s">
        <v>257</v>
      </c>
      <c r="C551" t="s">
        <v>258</v>
      </c>
      <c r="D551" t="s">
        <v>37</v>
      </c>
      <c r="E551" t="s">
        <v>31</v>
      </c>
      <c r="F551" s="2">
        <v>46031.79784875</v>
      </c>
      <c r="AC551" s="24">
        <f t="shared" ca="1" si="17"/>
        <v>102.20215124999959</v>
      </c>
      <c r="AD551" s="25" t="str">
        <f t="shared" ca="1" si="18"/>
        <v>&gt;60 dias</v>
      </c>
      <c r="AE551" s="25">
        <f>MONTH(Tabela1[[#This Row],[Criado em]])</f>
        <v>1</v>
      </c>
      <c r="AF551" s="25">
        <f>YEAR(Tabela1[[#This Row],[Criado em]])</f>
        <v>2026</v>
      </c>
      <c r="AG551" s="25">
        <f>COUNTIFS(Tabela1[Mês],Tabela1[[#This Row],[Mês]])</f>
        <v>222</v>
      </c>
      <c r="AH551" s="25">
        <f>COUNTIFS(Tabela1[Mês],Tabela1[[#This Row],[Mês]],Tabela1[Fase atual],"Recebido")</f>
        <v>174</v>
      </c>
      <c r="AI551" s="26">
        <f>Tabela1[[#This Row],[Recebido_ Mes]]/Tabela1[[#This Row],[Total_Mes]]</f>
        <v>0.78378378378378377</v>
      </c>
      <c r="AJ551" s="19">
        <f>COUNTIFS(Tabela1[Fase atual],"Recebido",Tabela1[Mês],Tabela1[[#This Row],[Mês]],Tabela1[Ano],Tabela1[[#This Row],[Ano]])/COUNTIF(Tabela1[Mês],Tabela1[[#This Row],[Mês]])</f>
        <v>0.78378378378378377</v>
      </c>
      <c r="AK551" s="20">
        <f>100%</f>
        <v>1</v>
      </c>
    </row>
    <row r="552" spans="1:37" ht="18" customHeight="1" x14ac:dyDescent="0.25">
      <c r="A552">
        <v>1282439579</v>
      </c>
      <c r="B552" t="s">
        <v>259</v>
      </c>
      <c r="C552" t="s">
        <v>260</v>
      </c>
      <c r="D552" t="s">
        <v>37</v>
      </c>
      <c r="E552" t="s">
        <v>31</v>
      </c>
      <c r="F552" s="2">
        <v>46037.795690115738</v>
      </c>
      <c r="AC552" s="24">
        <f t="shared" ca="1" si="17"/>
        <v>96.204309884262329</v>
      </c>
      <c r="AD552" s="25" t="str">
        <f t="shared" ca="1" si="18"/>
        <v>&gt;60 dias</v>
      </c>
      <c r="AE552" s="25">
        <f>MONTH(Tabela1[[#This Row],[Criado em]])</f>
        <v>1</v>
      </c>
      <c r="AF552" s="25">
        <f>YEAR(Tabela1[[#This Row],[Criado em]])</f>
        <v>2026</v>
      </c>
      <c r="AG552" s="25">
        <f>COUNTIFS(Tabela1[Mês],Tabela1[[#This Row],[Mês]])</f>
        <v>222</v>
      </c>
      <c r="AH552" s="25">
        <f>COUNTIFS(Tabela1[Mês],Tabela1[[#This Row],[Mês]],Tabela1[Fase atual],"Recebido")</f>
        <v>174</v>
      </c>
      <c r="AI552" s="26">
        <f>Tabela1[[#This Row],[Recebido_ Mes]]/Tabela1[[#This Row],[Total_Mes]]</f>
        <v>0.78378378378378377</v>
      </c>
      <c r="AJ552" s="19">
        <f>COUNTIFS(Tabela1[Fase atual],"Recebido",Tabela1[Mês],Tabela1[[#This Row],[Mês]],Tabela1[Ano],Tabela1[[#This Row],[Ano]])/COUNTIF(Tabela1[Mês],Tabela1[[#This Row],[Mês]])</f>
        <v>0.78378378378378377</v>
      </c>
      <c r="AK552" s="20">
        <f>100%</f>
        <v>1</v>
      </c>
    </row>
    <row r="553" spans="1:37" ht="18" customHeight="1" x14ac:dyDescent="0.25">
      <c r="A553">
        <v>1273097605</v>
      </c>
      <c r="B553" t="s">
        <v>1255</v>
      </c>
      <c r="C553" t="s">
        <v>1256</v>
      </c>
      <c r="D553" t="s">
        <v>37</v>
      </c>
      <c r="E553" t="s">
        <v>31</v>
      </c>
      <c r="F553" s="2">
        <v>46017.528776527783</v>
      </c>
      <c r="AC553" s="24">
        <f t="shared" ca="1" si="17"/>
        <v>116.47122347221739</v>
      </c>
      <c r="AD553" s="25" t="str">
        <f t="shared" ca="1" si="18"/>
        <v>&gt;60 dias</v>
      </c>
      <c r="AE553" s="25">
        <f>MONTH(Tabela1[[#This Row],[Criado em]])</f>
        <v>12</v>
      </c>
      <c r="AF553" s="25">
        <f>YEAR(Tabela1[[#This Row],[Criado em]])</f>
        <v>2025</v>
      </c>
      <c r="AG553" s="25">
        <f>COUNTIFS(Tabela1[Mês],Tabela1[[#This Row],[Mês]])</f>
        <v>207</v>
      </c>
      <c r="AH553" s="25">
        <f>COUNTIFS(Tabela1[Mês],Tabela1[[#This Row],[Mês]],Tabela1[Fase atual],"Recebido")</f>
        <v>155</v>
      </c>
      <c r="AI553" s="26">
        <f>Tabela1[[#This Row],[Recebido_ Mes]]/Tabela1[[#This Row],[Total_Mes]]</f>
        <v>0.74879227053140096</v>
      </c>
      <c r="AJ553" s="19">
        <f>COUNTIFS(Tabela1[Fase atual],"Recebido",Tabela1[Mês],Tabela1[[#This Row],[Mês]],Tabela1[Ano],Tabela1[[#This Row],[Ano]])/COUNTIF(Tabela1[Mês],Tabela1[[#This Row],[Mês]])</f>
        <v>0.74879227053140096</v>
      </c>
      <c r="AK553" s="20">
        <f>100%</f>
        <v>1</v>
      </c>
    </row>
    <row r="554" spans="1:37" ht="18" customHeight="1" x14ac:dyDescent="0.25">
      <c r="A554">
        <v>1195440658</v>
      </c>
      <c r="B554" t="s">
        <v>100</v>
      </c>
      <c r="C554" t="s">
        <v>1257</v>
      </c>
      <c r="D554" t="s">
        <v>37</v>
      </c>
      <c r="E554" t="s">
        <v>31</v>
      </c>
      <c r="F554" s="2">
        <v>45883.850980196759</v>
      </c>
      <c r="AC554" s="24">
        <f t="shared" ca="1" si="17"/>
        <v>250.14901980324066</v>
      </c>
      <c r="AD554" s="25" t="str">
        <f t="shared" ca="1" si="18"/>
        <v>&gt;60 dias</v>
      </c>
      <c r="AE554" s="25">
        <f>MONTH(Tabela1[[#This Row],[Criado em]])</f>
        <v>8</v>
      </c>
      <c r="AF554" s="25">
        <f>YEAR(Tabela1[[#This Row],[Criado em]])</f>
        <v>2025</v>
      </c>
      <c r="AG554" s="25">
        <f>COUNTIFS(Tabela1[Mês],Tabela1[[#This Row],[Mês]])</f>
        <v>146</v>
      </c>
      <c r="AH554" s="25">
        <f>COUNTIFS(Tabela1[Mês],Tabela1[[#This Row],[Mês]],Tabela1[Fase atual],"Recebido")</f>
        <v>115</v>
      </c>
      <c r="AI554" s="26">
        <f>Tabela1[[#This Row],[Recebido_ Mes]]/Tabela1[[#This Row],[Total_Mes]]</f>
        <v>0.78767123287671237</v>
      </c>
      <c r="AJ554" s="19">
        <f>COUNTIFS(Tabela1[Fase atual],"Recebido",Tabela1[Mês],Tabela1[[#This Row],[Mês]],Tabela1[Ano],Tabela1[[#This Row],[Ano]])/COUNTIF(Tabela1[Mês],Tabela1[[#This Row],[Mês]])</f>
        <v>0.78767123287671237</v>
      </c>
      <c r="AK554" s="20">
        <f>100%</f>
        <v>1</v>
      </c>
    </row>
    <row r="555" spans="1:37" ht="18" customHeight="1" x14ac:dyDescent="0.25">
      <c r="A555">
        <v>1190508566</v>
      </c>
      <c r="B555" t="s">
        <v>685</v>
      </c>
      <c r="C555" t="s">
        <v>686</v>
      </c>
      <c r="D555" t="s">
        <v>37</v>
      </c>
      <c r="E555" t="s">
        <v>31</v>
      </c>
      <c r="F555" s="2">
        <v>45876.851414456018</v>
      </c>
      <c r="AC555" s="24">
        <f t="shared" ca="1" si="17"/>
        <v>257.14858554398234</v>
      </c>
      <c r="AD555" s="25" t="str">
        <f t="shared" ca="1" si="18"/>
        <v>&gt;60 dias</v>
      </c>
      <c r="AE555" s="25">
        <f>MONTH(Tabela1[[#This Row],[Criado em]])</f>
        <v>8</v>
      </c>
      <c r="AF555" s="25">
        <f>YEAR(Tabela1[[#This Row],[Criado em]])</f>
        <v>2025</v>
      </c>
      <c r="AG555" s="25">
        <f>COUNTIFS(Tabela1[Mês],Tabela1[[#This Row],[Mês]])</f>
        <v>146</v>
      </c>
      <c r="AH555" s="25">
        <f>COUNTIFS(Tabela1[Mês],Tabela1[[#This Row],[Mês]],Tabela1[Fase atual],"Recebido")</f>
        <v>115</v>
      </c>
      <c r="AI555" s="26">
        <f>Tabela1[[#This Row],[Recebido_ Mes]]/Tabela1[[#This Row],[Total_Mes]]</f>
        <v>0.78767123287671237</v>
      </c>
      <c r="AJ555" s="19">
        <f>COUNTIFS(Tabela1[Fase atual],"Recebido",Tabela1[Mês],Tabela1[[#This Row],[Mês]],Tabela1[Ano],Tabela1[[#This Row],[Ano]])/COUNTIF(Tabela1[Mês],Tabela1[[#This Row],[Mês]])</f>
        <v>0.78767123287671237</v>
      </c>
      <c r="AK555" s="20">
        <f>100%</f>
        <v>1</v>
      </c>
    </row>
    <row r="556" spans="1:37" ht="18" customHeight="1" x14ac:dyDescent="0.25">
      <c r="A556">
        <v>1304258470</v>
      </c>
      <c r="B556" t="s">
        <v>685</v>
      </c>
      <c r="C556" t="s">
        <v>686</v>
      </c>
      <c r="D556" t="s">
        <v>2179</v>
      </c>
      <c r="E556" t="s">
        <v>31</v>
      </c>
      <c r="F556" s="2">
        <v>46078.921105335648</v>
      </c>
      <c r="AC556" s="24">
        <f t="shared" ca="1" si="17"/>
        <v>55.078894664351537</v>
      </c>
      <c r="AD556" s="25" t="str">
        <f t="shared" ca="1" si="18"/>
        <v>31-60 dias</v>
      </c>
      <c r="AE556" s="25">
        <f>MONTH(Tabela1[[#This Row],[Criado em]])</f>
        <v>2</v>
      </c>
      <c r="AF556" s="25">
        <f>YEAR(Tabela1[[#This Row],[Criado em]])</f>
        <v>2026</v>
      </c>
      <c r="AG556" s="25">
        <f>COUNTIFS(Tabela1[Mês],Tabela1[[#This Row],[Mês]])</f>
        <v>197</v>
      </c>
      <c r="AH556" s="25">
        <f>COUNTIFS(Tabela1[Mês],Tabela1[[#This Row],[Mês]],Tabela1[Fase atual],"Recebido")</f>
        <v>124</v>
      </c>
      <c r="AI556" s="26">
        <f>Tabela1[[#This Row],[Recebido_ Mes]]/Tabela1[[#This Row],[Total_Mes]]</f>
        <v>0.62944162436548223</v>
      </c>
      <c r="AJ556" s="19">
        <f>COUNTIFS(Tabela1[Fase atual],"Recebido",Tabela1[Mês],Tabela1[[#This Row],[Mês]],Tabela1[Ano],Tabela1[[#This Row],[Ano]])/COUNTIF(Tabela1[Mês],Tabela1[[#This Row],[Mês]])</f>
        <v>0.62944162436548223</v>
      </c>
      <c r="AK556" s="20">
        <f>100%</f>
        <v>1</v>
      </c>
    </row>
    <row r="557" spans="1:37" ht="18" customHeight="1" x14ac:dyDescent="0.25">
      <c r="A557">
        <v>1201925752</v>
      </c>
      <c r="B557" t="s">
        <v>1258</v>
      </c>
      <c r="C557" t="s">
        <v>1259</v>
      </c>
      <c r="D557" t="s">
        <v>37</v>
      </c>
      <c r="E557" t="s">
        <v>31</v>
      </c>
      <c r="F557" s="2">
        <v>45895.017076111108</v>
      </c>
      <c r="AC557" s="24">
        <f t="shared" ca="1" si="17"/>
        <v>238.9829238888924</v>
      </c>
      <c r="AD557" s="25" t="str">
        <f t="shared" ca="1" si="18"/>
        <v>&gt;60 dias</v>
      </c>
      <c r="AE557" s="25">
        <f>MONTH(Tabela1[[#This Row],[Criado em]])</f>
        <v>8</v>
      </c>
      <c r="AF557" s="25">
        <f>YEAR(Tabela1[[#This Row],[Criado em]])</f>
        <v>2025</v>
      </c>
      <c r="AG557" s="25">
        <f>COUNTIFS(Tabela1[Mês],Tabela1[[#This Row],[Mês]])</f>
        <v>146</v>
      </c>
      <c r="AH557" s="25">
        <f>COUNTIFS(Tabela1[Mês],Tabela1[[#This Row],[Mês]],Tabela1[Fase atual],"Recebido")</f>
        <v>115</v>
      </c>
      <c r="AI557" s="26">
        <f>Tabela1[[#This Row],[Recebido_ Mes]]/Tabela1[[#This Row],[Total_Mes]]</f>
        <v>0.78767123287671237</v>
      </c>
      <c r="AJ557" s="19">
        <f>COUNTIFS(Tabela1[Fase atual],"Recebido",Tabela1[Mês],Tabela1[[#This Row],[Mês]],Tabela1[Ano],Tabela1[[#This Row],[Ano]])/COUNTIF(Tabela1[Mês],Tabela1[[#This Row],[Mês]])</f>
        <v>0.78767123287671237</v>
      </c>
      <c r="AK557" s="20">
        <f>100%</f>
        <v>1</v>
      </c>
    </row>
    <row r="558" spans="1:37" ht="18" customHeight="1" x14ac:dyDescent="0.25">
      <c r="A558">
        <v>1279428849</v>
      </c>
      <c r="B558" t="s">
        <v>261</v>
      </c>
      <c r="C558" t="s">
        <v>262</v>
      </c>
      <c r="D558" t="s">
        <v>37</v>
      </c>
      <c r="E558" t="s">
        <v>31</v>
      </c>
      <c r="F558" s="2">
        <v>46031.601726944442</v>
      </c>
      <c r="AC558" s="24">
        <f t="shared" ca="1" si="17"/>
        <v>102.39827305555809</v>
      </c>
      <c r="AD558" s="25" t="str">
        <f t="shared" ca="1" si="18"/>
        <v>&gt;60 dias</v>
      </c>
      <c r="AE558" s="25">
        <f>MONTH(Tabela1[[#This Row],[Criado em]])</f>
        <v>1</v>
      </c>
      <c r="AF558" s="25">
        <f>YEAR(Tabela1[[#This Row],[Criado em]])</f>
        <v>2026</v>
      </c>
      <c r="AG558" s="25">
        <f>COUNTIFS(Tabela1[Mês],Tabela1[[#This Row],[Mês]])</f>
        <v>222</v>
      </c>
      <c r="AH558" s="25">
        <f>COUNTIFS(Tabela1[Mês],Tabela1[[#This Row],[Mês]],Tabela1[Fase atual],"Recebido")</f>
        <v>174</v>
      </c>
      <c r="AI558" s="26">
        <f>Tabela1[[#This Row],[Recebido_ Mes]]/Tabela1[[#This Row],[Total_Mes]]</f>
        <v>0.78378378378378377</v>
      </c>
      <c r="AJ558" s="19">
        <f>COUNTIFS(Tabela1[Fase atual],"Recebido",Tabela1[Mês],Tabela1[[#This Row],[Mês]],Tabela1[Ano],Tabela1[[#This Row],[Ano]])/COUNTIF(Tabela1[Mês],Tabela1[[#This Row],[Mês]])</f>
        <v>0.78378378378378377</v>
      </c>
      <c r="AK558" s="20">
        <f>100%</f>
        <v>1</v>
      </c>
    </row>
    <row r="559" spans="1:37" ht="18" customHeight="1" x14ac:dyDescent="0.25">
      <c r="A559">
        <v>1256934100</v>
      </c>
      <c r="B559" t="s">
        <v>1260</v>
      </c>
      <c r="C559" t="s">
        <v>1261</v>
      </c>
      <c r="D559" t="s">
        <v>37</v>
      </c>
      <c r="E559" t="s">
        <v>31</v>
      </c>
      <c r="F559" s="2">
        <v>45980.627945370383</v>
      </c>
      <c r="AC559" s="24">
        <f t="shared" ca="1" si="17"/>
        <v>153.3720546296172</v>
      </c>
      <c r="AD559" s="25" t="str">
        <f t="shared" ca="1" si="18"/>
        <v>&gt;60 dias</v>
      </c>
      <c r="AE559" s="25">
        <f>MONTH(Tabela1[[#This Row],[Criado em]])</f>
        <v>11</v>
      </c>
      <c r="AF559" s="25">
        <f>YEAR(Tabela1[[#This Row],[Criado em]])</f>
        <v>2025</v>
      </c>
      <c r="AG559" s="25">
        <f>COUNTIFS(Tabela1[Mês],Tabela1[[#This Row],[Mês]])</f>
        <v>130</v>
      </c>
      <c r="AH559" s="25">
        <f>COUNTIFS(Tabela1[Mês],Tabela1[[#This Row],[Mês]],Tabela1[Fase atual],"Recebido")</f>
        <v>100</v>
      </c>
      <c r="AI559" s="26">
        <f>Tabela1[[#This Row],[Recebido_ Mes]]/Tabela1[[#This Row],[Total_Mes]]</f>
        <v>0.76923076923076927</v>
      </c>
      <c r="AJ559" s="19">
        <f>COUNTIFS(Tabela1[Fase atual],"Recebido",Tabela1[Mês],Tabela1[[#This Row],[Mês]],Tabela1[Ano],Tabela1[[#This Row],[Ano]])/COUNTIF(Tabela1[Mês],Tabela1[[#This Row],[Mês]])</f>
        <v>0.76923076923076927</v>
      </c>
      <c r="AK559" s="20">
        <f>100%</f>
        <v>1</v>
      </c>
    </row>
    <row r="560" spans="1:37" ht="18" customHeight="1" x14ac:dyDescent="0.25">
      <c r="A560">
        <v>1301744641</v>
      </c>
      <c r="B560" t="s">
        <v>63</v>
      </c>
      <c r="C560" t="s">
        <v>263</v>
      </c>
      <c r="D560" t="s">
        <v>37</v>
      </c>
      <c r="E560" t="s">
        <v>31</v>
      </c>
      <c r="F560" s="2">
        <v>46076.795217685183</v>
      </c>
      <c r="AC560" s="24">
        <f t="shared" ca="1" si="17"/>
        <v>57.204782314816839</v>
      </c>
      <c r="AD560" s="25" t="str">
        <f t="shared" ca="1" si="18"/>
        <v>31-60 dias</v>
      </c>
      <c r="AE560" s="25">
        <f>MONTH(Tabela1[[#This Row],[Criado em]])</f>
        <v>2</v>
      </c>
      <c r="AF560" s="25">
        <f>YEAR(Tabela1[[#This Row],[Criado em]])</f>
        <v>2026</v>
      </c>
      <c r="AG560" s="25">
        <f>COUNTIFS(Tabela1[Mês],Tabela1[[#This Row],[Mês]])</f>
        <v>197</v>
      </c>
      <c r="AH560" s="25">
        <f>COUNTIFS(Tabela1[Mês],Tabela1[[#This Row],[Mês]],Tabela1[Fase atual],"Recebido")</f>
        <v>124</v>
      </c>
      <c r="AI560" s="26">
        <f>Tabela1[[#This Row],[Recebido_ Mes]]/Tabela1[[#This Row],[Total_Mes]]</f>
        <v>0.62944162436548223</v>
      </c>
      <c r="AJ560" s="19">
        <f>COUNTIFS(Tabela1[Fase atual],"Recebido",Tabela1[Mês],Tabela1[[#This Row],[Mês]],Tabela1[Ano],Tabela1[[#This Row],[Ano]])/COUNTIF(Tabela1[Mês],Tabela1[[#This Row],[Mês]])</f>
        <v>0.62944162436548223</v>
      </c>
      <c r="AK560" s="20">
        <f>100%</f>
        <v>1</v>
      </c>
    </row>
    <row r="561" spans="1:37" ht="18" customHeight="1" x14ac:dyDescent="0.25">
      <c r="A561">
        <v>1278360278</v>
      </c>
      <c r="B561" t="s">
        <v>264</v>
      </c>
      <c r="C561" t="s">
        <v>265</v>
      </c>
      <c r="D561" t="s">
        <v>40</v>
      </c>
      <c r="E561" t="s">
        <v>31</v>
      </c>
      <c r="F561" s="2">
        <v>46029.795251041673</v>
      </c>
      <c r="AC561" s="24">
        <f t="shared" ca="1" si="17"/>
        <v>104.2047489583274</v>
      </c>
      <c r="AD561" s="25" t="str">
        <f t="shared" ca="1" si="18"/>
        <v>&gt;60 dias</v>
      </c>
      <c r="AE561" s="25">
        <f>MONTH(Tabela1[[#This Row],[Criado em]])</f>
        <v>1</v>
      </c>
      <c r="AF561" s="25">
        <f>YEAR(Tabela1[[#This Row],[Criado em]])</f>
        <v>2026</v>
      </c>
      <c r="AG561" s="25">
        <f>COUNTIFS(Tabela1[Mês],Tabela1[[#This Row],[Mês]])</f>
        <v>222</v>
      </c>
      <c r="AH561" s="25">
        <f>COUNTIFS(Tabela1[Mês],Tabela1[[#This Row],[Mês]],Tabela1[Fase atual],"Recebido")</f>
        <v>174</v>
      </c>
      <c r="AI561" s="26">
        <f>Tabela1[[#This Row],[Recebido_ Mes]]/Tabela1[[#This Row],[Total_Mes]]</f>
        <v>0.78378378378378377</v>
      </c>
      <c r="AJ561" s="19">
        <f>COUNTIFS(Tabela1[Fase atual],"Recebido",Tabela1[Mês],Tabela1[[#This Row],[Mês]],Tabela1[Ano],Tabela1[[#This Row],[Ano]])/COUNTIF(Tabela1[Mês],Tabela1[[#This Row],[Mês]])</f>
        <v>0.78378378378378377</v>
      </c>
      <c r="AK561" s="20">
        <f>100%</f>
        <v>1</v>
      </c>
    </row>
    <row r="562" spans="1:37" ht="18" customHeight="1" x14ac:dyDescent="0.25">
      <c r="A562">
        <v>1193629753</v>
      </c>
      <c r="B562" t="s">
        <v>1262</v>
      </c>
      <c r="C562" t="s">
        <v>1263</v>
      </c>
      <c r="D562" t="s">
        <v>37</v>
      </c>
      <c r="E562" t="s">
        <v>31</v>
      </c>
      <c r="F562" s="2">
        <v>45881.566675196758</v>
      </c>
      <c r="AC562" s="24">
        <f t="shared" ca="1" si="17"/>
        <v>252.4333248032417</v>
      </c>
      <c r="AD562" s="25" t="str">
        <f t="shared" ca="1" si="18"/>
        <v>&gt;60 dias</v>
      </c>
      <c r="AE562" s="25">
        <f>MONTH(Tabela1[[#This Row],[Criado em]])</f>
        <v>8</v>
      </c>
      <c r="AF562" s="25">
        <f>YEAR(Tabela1[[#This Row],[Criado em]])</f>
        <v>2025</v>
      </c>
      <c r="AG562" s="25">
        <f>COUNTIFS(Tabela1[Mês],Tabela1[[#This Row],[Mês]])</f>
        <v>146</v>
      </c>
      <c r="AH562" s="25">
        <f>COUNTIFS(Tabela1[Mês],Tabela1[[#This Row],[Mês]],Tabela1[Fase atual],"Recebido")</f>
        <v>115</v>
      </c>
      <c r="AI562" s="26">
        <f>Tabela1[[#This Row],[Recebido_ Mes]]/Tabela1[[#This Row],[Total_Mes]]</f>
        <v>0.78767123287671237</v>
      </c>
      <c r="AJ562" s="19">
        <f>COUNTIFS(Tabela1[Fase atual],"Recebido",Tabela1[Mês],Tabela1[[#This Row],[Mês]],Tabela1[Ano],Tabela1[[#This Row],[Ano]])/COUNTIF(Tabela1[Mês],Tabela1[[#This Row],[Mês]])</f>
        <v>0.78767123287671237</v>
      </c>
      <c r="AK562" s="20">
        <f>100%</f>
        <v>1</v>
      </c>
    </row>
    <row r="563" spans="1:37" ht="18" customHeight="1" x14ac:dyDescent="0.25">
      <c r="A563">
        <v>1294443903</v>
      </c>
      <c r="B563" t="s">
        <v>266</v>
      </c>
      <c r="C563" t="s">
        <v>267</v>
      </c>
      <c r="D563" t="s">
        <v>37</v>
      </c>
      <c r="E563" t="s">
        <v>31</v>
      </c>
      <c r="F563" s="2">
        <v>46059.756445590283</v>
      </c>
      <c r="AC563" s="24">
        <f t="shared" ca="1" si="17"/>
        <v>74.243554409717035</v>
      </c>
      <c r="AD563" s="25" t="str">
        <f t="shared" ca="1" si="18"/>
        <v>&gt;60 dias</v>
      </c>
      <c r="AE563" s="25">
        <f>MONTH(Tabela1[[#This Row],[Criado em]])</f>
        <v>2</v>
      </c>
      <c r="AF563" s="25">
        <f>YEAR(Tabela1[[#This Row],[Criado em]])</f>
        <v>2026</v>
      </c>
      <c r="AG563" s="25">
        <f>COUNTIFS(Tabela1[Mês],Tabela1[[#This Row],[Mês]])</f>
        <v>197</v>
      </c>
      <c r="AH563" s="25">
        <f>COUNTIFS(Tabela1[Mês],Tabela1[[#This Row],[Mês]],Tabela1[Fase atual],"Recebido")</f>
        <v>124</v>
      </c>
      <c r="AI563" s="26">
        <f>Tabela1[[#This Row],[Recebido_ Mes]]/Tabela1[[#This Row],[Total_Mes]]</f>
        <v>0.62944162436548223</v>
      </c>
      <c r="AJ563" s="19">
        <f>COUNTIFS(Tabela1[Fase atual],"Recebido",Tabela1[Mês],Tabela1[[#This Row],[Mês]],Tabela1[Ano],Tabela1[[#This Row],[Ano]])/COUNTIF(Tabela1[Mês],Tabela1[[#This Row],[Mês]])</f>
        <v>0.62944162436548223</v>
      </c>
      <c r="AK563" s="20">
        <f>100%</f>
        <v>1</v>
      </c>
    </row>
    <row r="564" spans="1:37" ht="18" customHeight="1" x14ac:dyDescent="0.25">
      <c r="A564">
        <v>1307007127</v>
      </c>
      <c r="B564" t="s">
        <v>2217</v>
      </c>
      <c r="C564" t="s">
        <v>2218</v>
      </c>
      <c r="D564" t="s">
        <v>2179</v>
      </c>
      <c r="E564" t="s">
        <v>31</v>
      </c>
      <c r="F564" s="2">
        <v>46083.543406215278</v>
      </c>
      <c r="AC564" s="24">
        <f t="shared" ca="1" si="17"/>
        <v>50.456593784721917</v>
      </c>
      <c r="AD564" s="25" t="str">
        <f t="shared" ca="1" si="18"/>
        <v>31-60 dias</v>
      </c>
      <c r="AE564" s="25">
        <f>MONTH(Tabela1[[#This Row],[Criado em]])</f>
        <v>3</v>
      </c>
      <c r="AF564" s="25">
        <f>YEAR(Tabela1[[#This Row],[Criado em]])</f>
        <v>2026</v>
      </c>
      <c r="AG564" s="25">
        <f>COUNTIFS(Tabela1[Mês],Tabela1[[#This Row],[Mês]])</f>
        <v>62</v>
      </c>
      <c r="AH564" s="25">
        <f>COUNTIFS(Tabela1[Mês],Tabela1[[#This Row],[Mês]],Tabela1[Fase atual],"Recebido")</f>
        <v>13</v>
      </c>
      <c r="AI564" s="26">
        <f>Tabela1[[#This Row],[Recebido_ Mes]]/Tabela1[[#This Row],[Total_Mes]]</f>
        <v>0.20967741935483872</v>
      </c>
      <c r="AJ564" s="19">
        <f>COUNTIFS(Tabela1[Fase atual],"Recebido",Tabela1[Mês],Tabela1[[#This Row],[Mês]],Tabela1[Ano],Tabela1[[#This Row],[Ano]])/COUNTIF(Tabela1[Mês],Tabela1[[#This Row],[Mês]])</f>
        <v>0.20967741935483872</v>
      </c>
      <c r="AK564" s="20">
        <f>100%</f>
        <v>1</v>
      </c>
    </row>
    <row r="565" spans="1:37" ht="18" customHeight="1" x14ac:dyDescent="0.25">
      <c r="A565">
        <v>1304763600</v>
      </c>
      <c r="B565" t="s">
        <v>687</v>
      </c>
      <c r="C565" t="s">
        <v>688</v>
      </c>
      <c r="D565" t="s">
        <v>2179</v>
      </c>
      <c r="E565" t="s">
        <v>31</v>
      </c>
      <c r="F565" s="2">
        <v>46079.795145543983</v>
      </c>
      <c r="AC565" s="24">
        <f t="shared" ca="1" si="17"/>
        <v>54.204854456016619</v>
      </c>
      <c r="AD565" s="25" t="str">
        <f t="shared" ca="1" si="18"/>
        <v>31-60 dias</v>
      </c>
      <c r="AE565" s="25">
        <f>MONTH(Tabela1[[#This Row],[Criado em]])</f>
        <v>2</v>
      </c>
      <c r="AF565" s="25">
        <f>YEAR(Tabela1[[#This Row],[Criado em]])</f>
        <v>2026</v>
      </c>
      <c r="AG565" s="25">
        <f>COUNTIFS(Tabela1[Mês],Tabela1[[#This Row],[Mês]])</f>
        <v>197</v>
      </c>
      <c r="AH565" s="25">
        <f>COUNTIFS(Tabela1[Mês],Tabela1[[#This Row],[Mês]],Tabela1[Fase atual],"Recebido")</f>
        <v>124</v>
      </c>
      <c r="AI565" s="26">
        <f>Tabela1[[#This Row],[Recebido_ Mes]]/Tabela1[[#This Row],[Total_Mes]]</f>
        <v>0.62944162436548223</v>
      </c>
      <c r="AJ565" s="19">
        <f>COUNTIFS(Tabela1[Fase atual],"Recebido",Tabela1[Mês],Tabela1[[#This Row],[Mês]],Tabela1[Ano],Tabela1[[#This Row],[Ano]])/COUNTIF(Tabela1[Mês],Tabela1[[#This Row],[Mês]])</f>
        <v>0.62944162436548223</v>
      </c>
      <c r="AK565" s="20">
        <f>100%</f>
        <v>1</v>
      </c>
    </row>
    <row r="566" spans="1:37" ht="18" customHeight="1" x14ac:dyDescent="0.25">
      <c r="A566">
        <v>1281735278</v>
      </c>
      <c r="B566" t="s">
        <v>268</v>
      </c>
      <c r="C566" t="s">
        <v>269</v>
      </c>
      <c r="D566" t="s">
        <v>37</v>
      </c>
      <c r="E566" t="s">
        <v>31</v>
      </c>
      <c r="F566" s="2">
        <v>46036.630507800917</v>
      </c>
      <c r="AC566" s="24">
        <f t="shared" ca="1" si="17"/>
        <v>97.369492199082742</v>
      </c>
      <c r="AD566" s="25" t="str">
        <f t="shared" ca="1" si="18"/>
        <v>&gt;60 dias</v>
      </c>
      <c r="AE566" s="25">
        <f>MONTH(Tabela1[[#This Row],[Criado em]])</f>
        <v>1</v>
      </c>
      <c r="AF566" s="25">
        <f>YEAR(Tabela1[[#This Row],[Criado em]])</f>
        <v>2026</v>
      </c>
      <c r="AG566" s="25">
        <f>COUNTIFS(Tabela1[Mês],Tabela1[[#This Row],[Mês]])</f>
        <v>222</v>
      </c>
      <c r="AH566" s="25">
        <f>COUNTIFS(Tabela1[Mês],Tabela1[[#This Row],[Mês]],Tabela1[Fase atual],"Recebido")</f>
        <v>174</v>
      </c>
      <c r="AI566" s="26">
        <f>Tabela1[[#This Row],[Recebido_ Mes]]/Tabela1[[#This Row],[Total_Mes]]</f>
        <v>0.78378378378378377</v>
      </c>
      <c r="AJ566" s="19">
        <f>COUNTIFS(Tabela1[Fase atual],"Recebido",Tabela1[Mês],Tabela1[[#This Row],[Mês]],Tabela1[Ano],Tabela1[[#This Row],[Ano]])/COUNTIF(Tabela1[Mês],Tabela1[[#This Row],[Mês]])</f>
        <v>0.78378378378378377</v>
      </c>
      <c r="AK566" s="20">
        <f>100%</f>
        <v>1</v>
      </c>
    </row>
    <row r="567" spans="1:37" ht="18" customHeight="1" x14ac:dyDescent="0.25">
      <c r="A567">
        <v>1188348687</v>
      </c>
      <c r="B567" t="s">
        <v>1264</v>
      </c>
      <c r="C567" t="s">
        <v>1265</v>
      </c>
      <c r="D567" t="s">
        <v>37</v>
      </c>
      <c r="E567" t="s">
        <v>31</v>
      </c>
      <c r="F567" s="2">
        <v>45873.826485833328</v>
      </c>
      <c r="AC567" s="24">
        <f t="shared" ca="1" si="17"/>
        <v>260.17351416667225</v>
      </c>
      <c r="AD567" s="25" t="str">
        <f t="shared" ca="1" si="18"/>
        <v>&gt;60 dias</v>
      </c>
      <c r="AE567" s="25">
        <f>MONTH(Tabela1[[#This Row],[Criado em]])</f>
        <v>8</v>
      </c>
      <c r="AF567" s="25">
        <f>YEAR(Tabela1[[#This Row],[Criado em]])</f>
        <v>2025</v>
      </c>
      <c r="AG567" s="25">
        <f>COUNTIFS(Tabela1[Mês],Tabela1[[#This Row],[Mês]])</f>
        <v>146</v>
      </c>
      <c r="AH567" s="25">
        <f>COUNTIFS(Tabela1[Mês],Tabela1[[#This Row],[Mês]],Tabela1[Fase atual],"Recebido")</f>
        <v>115</v>
      </c>
      <c r="AI567" s="26">
        <f>Tabela1[[#This Row],[Recebido_ Mes]]/Tabela1[[#This Row],[Total_Mes]]</f>
        <v>0.78767123287671237</v>
      </c>
      <c r="AJ567" s="19">
        <f>COUNTIFS(Tabela1[Fase atual],"Recebido",Tabela1[Mês],Tabela1[[#This Row],[Mês]],Tabela1[Ano],Tabela1[[#This Row],[Ano]])/COUNTIF(Tabela1[Mês],Tabela1[[#This Row],[Mês]])</f>
        <v>0.78767123287671237</v>
      </c>
      <c r="AK567" s="20">
        <f>100%</f>
        <v>1</v>
      </c>
    </row>
    <row r="568" spans="1:37" ht="18" customHeight="1" x14ac:dyDescent="0.25">
      <c r="A568">
        <v>1301348527</v>
      </c>
      <c r="B568" t="s">
        <v>270</v>
      </c>
      <c r="C568" t="s">
        <v>271</v>
      </c>
      <c r="D568" t="s">
        <v>37</v>
      </c>
      <c r="E568" t="s">
        <v>31</v>
      </c>
      <c r="F568" s="2">
        <v>46076.545877037039</v>
      </c>
      <c r="AC568" s="24">
        <f t="shared" ca="1" si="17"/>
        <v>57.454122962961264</v>
      </c>
      <c r="AD568" s="25" t="str">
        <f t="shared" ca="1" si="18"/>
        <v>31-60 dias</v>
      </c>
      <c r="AE568" s="25">
        <f>MONTH(Tabela1[[#This Row],[Criado em]])</f>
        <v>2</v>
      </c>
      <c r="AF568" s="25">
        <f>YEAR(Tabela1[[#This Row],[Criado em]])</f>
        <v>2026</v>
      </c>
      <c r="AG568" s="25">
        <f>COUNTIFS(Tabela1[Mês],Tabela1[[#This Row],[Mês]])</f>
        <v>197</v>
      </c>
      <c r="AH568" s="25">
        <f>COUNTIFS(Tabela1[Mês],Tabela1[[#This Row],[Mês]],Tabela1[Fase atual],"Recebido")</f>
        <v>124</v>
      </c>
      <c r="AI568" s="26">
        <f>Tabela1[[#This Row],[Recebido_ Mes]]/Tabela1[[#This Row],[Total_Mes]]</f>
        <v>0.62944162436548223</v>
      </c>
      <c r="AJ568" s="19">
        <f>COUNTIFS(Tabela1[Fase atual],"Recebido",Tabela1[Mês],Tabela1[[#This Row],[Mês]],Tabela1[Ano],Tabela1[[#This Row],[Ano]])/COUNTIF(Tabela1[Mês],Tabela1[[#This Row],[Mês]])</f>
        <v>0.62944162436548223</v>
      </c>
      <c r="AK568" s="20">
        <f>100%</f>
        <v>1</v>
      </c>
    </row>
    <row r="569" spans="1:37" ht="18" customHeight="1" x14ac:dyDescent="0.25">
      <c r="A569">
        <v>1278362197</v>
      </c>
      <c r="B569" t="s">
        <v>272</v>
      </c>
      <c r="C569" t="s">
        <v>273</v>
      </c>
      <c r="D569" t="s">
        <v>37</v>
      </c>
      <c r="E569" t="s">
        <v>31</v>
      </c>
      <c r="F569" s="2">
        <v>46029.797287824069</v>
      </c>
      <c r="AC569" s="24">
        <f t="shared" ca="1" si="17"/>
        <v>104.20271217593108</v>
      </c>
      <c r="AD569" s="25" t="str">
        <f t="shared" ca="1" si="18"/>
        <v>&gt;60 dias</v>
      </c>
      <c r="AE569" s="25">
        <f>MONTH(Tabela1[[#This Row],[Criado em]])</f>
        <v>1</v>
      </c>
      <c r="AF569" s="25">
        <f>YEAR(Tabela1[[#This Row],[Criado em]])</f>
        <v>2026</v>
      </c>
      <c r="AG569" s="25">
        <f>COUNTIFS(Tabela1[Mês],Tabela1[[#This Row],[Mês]])</f>
        <v>222</v>
      </c>
      <c r="AH569" s="25">
        <f>COUNTIFS(Tabela1[Mês],Tabela1[[#This Row],[Mês]],Tabela1[Fase atual],"Recebido")</f>
        <v>174</v>
      </c>
      <c r="AI569" s="26">
        <f>Tabela1[[#This Row],[Recebido_ Mes]]/Tabela1[[#This Row],[Total_Mes]]</f>
        <v>0.78378378378378377</v>
      </c>
      <c r="AJ569" s="19">
        <f>COUNTIFS(Tabela1[Fase atual],"Recebido",Tabela1[Mês],Tabela1[[#This Row],[Mês]],Tabela1[Ano],Tabela1[[#This Row],[Ano]])/COUNTIF(Tabela1[Mês],Tabela1[[#This Row],[Mês]])</f>
        <v>0.78378378378378377</v>
      </c>
      <c r="AK569" s="20">
        <f>100%</f>
        <v>1</v>
      </c>
    </row>
    <row r="570" spans="1:37" ht="18" customHeight="1" x14ac:dyDescent="0.25">
      <c r="A570">
        <v>1268340847</v>
      </c>
      <c r="B570" t="s">
        <v>820</v>
      </c>
      <c r="C570" t="s">
        <v>1266</v>
      </c>
      <c r="D570" t="s">
        <v>37</v>
      </c>
      <c r="E570" t="s">
        <v>31</v>
      </c>
      <c r="F570" s="2">
        <v>46006.547667743063</v>
      </c>
      <c r="AC570" s="24">
        <f t="shared" ca="1" si="17"/>
        <v>127.45233225693664</v>
      </c>
      <c r="AD570" s="25" t="str">
        <f t="shared" ca="1" si="18"/>
        <v>&gt;60 dias</v>
      </c>
      <c r="AE570" s="25">
        <f>MONTH(Tabela1[[#This Row],[Criado em]])</f>
        <v>12</v>
      </c>
      <c r="AF570" s="25">
        <f>YEAR(Tabela1[[#This Row],[Criado em]])</f>
        <v>2025</v>
      </c>
      <c r="AG570" s="25">
        <f>COUNTIFS(Tabela1[Mês],Tabela1[[#This Row],[Mês]])</f>
        <v>207</v>
      </c>
      <c r="AH570" s="25">
        <f>COUNTIFS(Tabela1[Mês],Tabela1[[#This Row],[Mês]],Tabela1[Fase atual],"Recebido")</f>
        <v>155</v>
      </c>
      <c r="AI570" s="26">
        <f>Tabela1[[#This Row],[Recebido_ Mes]]/Tabela1[[#This Row],[Total_Mes]]</f>
        <v>0.74879227053140096</v>
      </c>
      <c r="AJ570" s="19">
        <f>COUNTIFS(Tabela1[Fase atual],"Recebido",Tabela1[Mês],Tabela1[[#This Row],[Mês]],Tabela1[Ano],Tabela1[[#This Row],[Ano]])/COUNTIF(Tabela1[Mês],Tabela1[[#This Row],[Mês]])</f>
        <v>0.74879227053140096</v>
      </c>
      <c r="AK570" s="20">
        <f>100%</f>
        <v>1</v>
      </c>
    </row>
    <row r="571" spans="1:37" ht="18" customHeight="1" x14ac:dyDescent="0.25">
      <c r="A571">
        <v>1301747292</v>
      </c>
      <c r="B571" t="s">
        <v>272</v>
      </c>
      <c r="C571" t="s">
        <v>274</v>
      </c>
      <c r="D571" t="s">
        <v>37</v>
      </c>
      <c r="E571" t="s">
        <v>31</v>
      </c>
      <c r="F571" s="2">
        <v>46076.79645710648</v>
      </c>
      <c r="AC571" s="24">
        <f t="shared" ca="1" si="17"/>
        <v>57.203542893519625</v>
      </c>
      <c r="AD571" s="25" t="str">
        <f t="shared" ca="1" si="18"/>
        <v>31-60 dias</v>
      </c>
      <c r="AE571" s="25">
        <f>MONTH(Tabela1[[#This Row],[Criado em]])</f>
        <v>2</v>
      </c>
      <c r="AF571" s="25">
        <f>YEAR(Tabela1[[#This Row],[Criado em]])</f>
        <v>2026</v>
      </c>
      <c r="AG571" s="25">
        <f>COUNTIFS(Tabela1[Mês],Tabela1[[#This Row],[Mês]])</f>
        <v>197</v>
      </c>
      <c r="AH571" s="25">
        <f>COUNTIFS(Tabela1[Mês],Tabela1[[#This Row],[Mês]],Tabela1[Fase atual],"Recebido")</f>
        <v>124</v>
      </c>
      <c r="AI571" s="26">
        <f>Tabela1[[#This Row],[Recebido_ Mes]]/Tabela1[[#This Row],[Total_Mes]]</f>
        <v>0.62944162436548223</v>
      </c>
      <c r="AJ571" s="19">
        <f>COUNTIFS(Tabela1[Fase atual],"Recebido",Tabela1[Mês],Tabela1[[#This Row],[Mês]],Tabela1[Ano],Tabela1[[#This Row],[Ano]])/COUNTIF(Tabela1[Mês],Tabela1[[#This Row],[Mês]])</f>
        <v>0.62944162436548223</v>
      </c>
      <c r="AK571" s="20">
        <f>100%</f>
        <v>1</v>
      </c>
    </row>
    <row r="572" spans="1:37" ht="18" customHeight="1" x14ac:dyDescent="0.25">
      <c r="A572">
        <v>1231463651</v>
      </c>
      <c r="B572" t="s">
        <v>1267</v>
      </c>
      <c r="C572" t="s">
        <v>1268</v>
      </c>
      <c r="D572" t="s">
        <v>37</v>
      </c>
      <c r="E572" t="s">
        <v>31</v>
      </c>
      <c r="F572" s="2">
        <v>45939.852961273151</v>
      </c>
      <c r="AC572" s="24">
        <f t="shared" ca="1" si="17"/>
        <v>194.14703872684913</v>
      </c>
      <c r="AD572" s="25" t="str">
        <f t="shared" ca="1" si="18"/>
        <v>&gt;60 dias</v>
      </c>
      <c r="AE572" s="25">
        <f>MONTH(Tabela1[[#This Row],[Criado em]])</f>
        <v>10</v>
      </c>
      <c r="AF572" s="25">
        <f>YEAR(Tabela1[[#This Row],[Criado em]])</f>
        <v>2025</v>
      </c>
      <c r="AG572" s="25">
        <f>COUNTIFS(Tabela1[Mês],Tabela1[[#This Row],[Mês]])</f>
        <v>196</v>
      </c>
      <c r="AH572" s="25">
        <f>COUNTIFS(Tabela1[Mês],Tabela1[[#This Row],[Mês]],Tabela1[Fase atual],"Recebido")</f>
        <v>138</v>
      </c>
      <c r="AI572" s="26">
        <f>Tabela1[[#This Row],[Recebido_ Mes]]/Tabela1[[#This Row],[Total_Mes]]</f>
        <v>0.70408163265306123</v>
      </c>
      <c r="AJ572" s="19">
        <f>COUNTIFS(Tabela1[Fase atual],"Recebido",Tabela1[Mês],Tabela1[[#This Row],[Mês]],Tabela1[Ano],Tabela1[[#This Row],[Ano]])/COUNTIF(Tabela1[Mês],Tabela1[[#This Row],[Mês]])</f>
        <v>0.70408163265306123</v>
      </c>
      <c r="AK572" s="20">
        <f>100%</f>
        <v>1</v>
      </c>
    </row>
    <row r="573" spans="1:37" ht="18" customHeight="1" x14ac:dyDescent="0.25">
      <c r="A573">
        <v>1267818543</v>
      </c>
      <c r="B573" t="s">
        <v>1269</v>
      </c>
      <c r="C573" t="s">
        <v>1270</v>
      </c>
      <c r="D573" t="s">
        <v>37</v>
      </c>
      <c r="E573" t="s">
        <v>31</v>
      </c>
      <c r="F573" s="2">
        <v>46003.922723020827</v>
      </c>
      <c r="AC573" s="24">
        <f t="shared" ca="1" si="17"/>
        <v>130.07727697917289</v>
      </c>
      <c r="AD573" s="25" t="str">
        <f t="shared" ca="1" si="18"/>
        <v>&gt;60 dias</v>
      </c>
      <c r="AE573" s="25">
        <f>MONTH(Tabela1[[#This Row],[Criado em]])</f>
        <v>12</v>
      </c>
      <c r="AF573" s="25">
        <f>YEAR(Tabela1[[#This Row],[Criado em]])</f>
        <v>2025</v>
      </c>
      <c r="AG573" s="25">
        <f>COUNTIFS(Tabela1[Mês],Tabela1[[#This Row],[Mês]])</f>
        <v>207</v>
      </c>
      <c r="AH573" s="25">
        <f>COUNTIFS(Tabela1[Mês],Tabela1[[#This Row],[Mês]],Tabela1[Fase atual],"Recebido")</f>
        <v>155</v>
      </c>
      <c r="AI573" s="26">
        <f>Tabela1[[#This Row],[Recebido_ Mes]]/Tabela1[[#This Row],[Total_Mes]]</f>
        <v>0.74879227053140096</v>
      </c>
      <c r="AJ573" s="19">
        <f>COUNTIFS(Tabela1[Fase atual],"Recebido",Tabela1[Mês],Tabela1[[#This Row],[Mês]],Tabela1[Ano],Tabela1[[#This Row],[Ano]])/COUNTIF(Tabela1[Mês],Tabela1[[#This Row],[Mês]])</f>
        <v>0.74879227053140096</v>
      </c>
      <c r="AK573" s="20">
        <f>100%</f>
        <v>1</v>
      </c>
    </row>
    <row r="574" spans="1:37" ht="18" customHeight="1" x14ac:dyDescent="0.25">
      <c r="A574">
        <v>1247041831</v>
      </c>
      <c r="B574" t="s">
        <v>1271</v>
      </c>
      <c r="C574" t="s">
        <v>1272</v>
      </c>
      <c r="D574" t="s">
        <v>784</v>
      </c>
      <c r="E574" t="s">
        <v>31</v>
      </c>
      <c r="F574" s="2">
        <v>45959.795329120367</v>
      </c>
      <c r="AC574" s="24">
        <f t="shared" ca="1" si="17"/>
        <v>174.20467087963334</v>
      </c>
      <c r="AD574" s="25" t="str">
        <f t="shared" ca="1" si="18"/>
        <v>&gt;60 dias</v>
      </c>
      <c r="AE574" s="25">
        <f>MONTH(Tabela1[[#This Row],[Criado em]])</f>
        <v>10</v>
      </c>
      <c r="AF574" s="25">
        <f>YEAR(Tabela1[[#This Row],[Criado em]])</f>
        <v>2025</v>
      </c>
      <c r="AG574" s="25">
        <f>COUNTIFS(Tabela1[Mês],Tabela1[[#This Row],[Mês]])</f>
        <v>196</v>
      </c>
      <c r="AH574" s="25">
        <f>COUNTIFS(Tabela1[Mês],Tabela1[[#This Row],[Mês]],Tabela1[Fase atual],"Recebido")</f>
        <v>138</v>
      </c>
      <c r="AI574" s="26">
        <f>Tabela1[[#This Row],[Recebido_ Mes]]/Tabela1[[#This Row],[Total_Mes]]</f>
        <v>0.70408163265306123</v>
      </c>
      <c r="AJ574" s="19">
        <f>COUNTIFS(Tabela1[Fase atual],"Recebido",Tabela1[Mês],Tabela1[[#This Row],[Mês]],Tabela1[Ano],Tabela1[[#This Row],[Ano]])/COUNTIF(Tabela1[Mês],Tabela1[[#This Row],[Mês]])</f>
        <v>0.70408163265306123</v>
      </c>
      <c r="AK574" s="20">
        <f>100%</f>
        <v>1</v>
      </c>
    </row>
    <row r="575" spans="1:37" ht="18" customHeight="1" x14ac:dyDescent="0.25">
      <c r="A575">
        <v>1289705199</v>
      </c>
      <c r="B575" t="s">
        <v>275</v>
      </c>
      <c r="C575" t="s">
        <v>276</v>
      </c>
      <c r="D575" t="s">
        <v>37</v>
      </c>
      <c r="E575" t="s">
        <v>31</v>
      </c>
      <c r="F575" s="2">
        <v>46050.795492002311</v>
      </c>
      <c r="AC575" s="24">
        <f t="shared" ca="1" si="17"/>
        <v>83.204507997688779</v>
      </c>
      <c r="AD575" s="25" t="str">
        <f t="shared" ca="1" si="18"/>
        <v>&gt;60 dias</v>
      </c>
      <c r="AE575" s="25">
        <f>MONTH(Tabela1[[#This Row],[Criado em]])</f>
        <v>1</v>
      </c>
      <c r="AF575" s="25">
        <f>YEAR(Tabela1[[#This Row],[Criado em]])</f>
        <v>2026</v>
      </c>
      <c r="AG575" s="25">
        <f>COUNTIFS(Tabela1[Mês],Tabela1[[#This Row],[Mês]])</f>
        <v>222</v>
      </c>
      <c r="AH575" s="25">
        <f>COUNTIFS(Tabela1[Mês],Tabela1[[#This Row],[Mês]],Tabela1[Fase atual],"Recebido")</f>
        <v>174</v>
      </c>
      <c r="AI575" s="26">
        <f>Tabela1[[#This Row],[Recebido_ Mes]]/Tabela1[[#This Row],[Total_Mes]]</f>
        <v>0.78378378378378377</v>
      </c>
      <c r="AJ575" s="19">
        <f>COUNTIFS(Tabela1[Fase atual],"Recebido",Tabela1[Mês],Tabela1[[#This Row],[Mês]],Tabela1[Ano],Tabela1[[#This Row],[Ano]])/COUNTIF(Tabela1[Mês],Tabela1[[#This Row],[Mês]])</f>
        <v>0.78378378378378377</v>
      </c>
      <c r="AK575" s="20">
        <f>100%</f>
        <v>1</v>
      </c>
    </row>
    <row r="576" spans="1:37" ht="18" customHeight="1" x14ac:dyDescent="0.25">
      <c r="A576">
        <v>1266078309</v>
      </c>
      <c r="B576" t="s">
        <v>1273</v>
      </c>
      <c r="C576" t="s">
        <v>1274</v>
      </c>
      <c r="D576" t="s">
        <v>37</v>
      </c>
      <c r="E576" t="s">
        <v>31</v>
      </c>
      <c r="F576" s="2">
        <v>46000.797396932867</v>
      </c>
      <c r="AC576" s="24">
        <f t="shared" ca="1" si="17"/>
        <v>133.20260306713317</v>
      </c>
      <c r="AD576" s="25" t="str">
        <f t="shared" ca="1" si="18"/>
        <v>&gt;60 dias</v>
      </c>
      <c r="AE576" s="25">
        <f>MONTH(Tabela1[[#This Row],[Criado em]])</f>
        <v>12</v>
      </c>
      <c r="AF576" s="25">
        <f>YEAR(Tabela1[[#This Row],[Criado em]])</f>
        <v>2025</v>
      </c>
      <c r="AG576" s="25">
        <f>COUNTIFS(Tabela1[Mês],Tabela1[[#This Row],[Mês]])</f>
        <v>207</v>
      </c>
      <c r="AH576" s="25">
        <f>COUNTIFS(Tabela1[Mês],Tabela1[[#This Row],[Mês]],Tabela1[Fase atual],"Recebido")</f>
        <v>155</v>
      </c>
      <c r="AI576" s="26">
        <f>Tabela1[[#This Row],[Recebido_ Mes]]/Tabela1[[#This Row],[Total_Mes]]</f>
        <v>0.74879227053140096</v>
      </c>
      <c r="AJ576" s="19">
        <f>COUNTIFS(Tabela1[Fase atual],"Recebido",Tabela1[Mês],Tabela1[[#This Row],[Mês]],Tabela1[Ano],Tabela1[[#This Row],[Ano]])/COUNTIF(Tabela1[Mês],Tabela1[[#This Row],[Mês]])</f>
        <v>0.74879227053140096</v>
      </c>
      <c r="AK576" s="20">
        <f>100%</f>
        <v>1</v>
      </c>
    </row>
    <row r="577" spans="1:37" ht="18" customHeight="1" x14ac:dyDescent="0.25">
      <c r="A577">
        <v>1307302677</v>
      </c>
      <c r="B577" t="s">
        <v>381</v>
      </c>
      <c r="C577" t="s">
        <v>2219</v>
      </c>
      <c r="D577" t="s">
        <v>2179</v>
      </c>
      <c r="E577" t="s">
        <v>31</v>
      </c>
      <c r="F577" s="2">
        <v>46083.795756689811</v>
      </c>
      <c r="AC577" s="24">
        <f t="shared" ca="1" si="17"/>
        <v>50.204243310188758</v>
      </c>
      <c r="AD577" s="25" t="str">
        <f t="shared" ca="1" si="18"/>
        <v>31-60 dias</v>
      </c>
      <c r="AE577" s="25">
        <f>MONTH(Tabela1[[#This Row],[Criado em]])</f>
        <v>3</v>
      </c>
      <c r="AF577" s="25">
        <f>YEAR(Tabela1[[#This Row],[Criado em]])</f>
        <v>2026</v>
      </c>
      <c r="AG577" s="25">
        <f>COUNTIFS(Tabela1[Mês],Tabela1[[#This Row],[Mês]])</f>
        <v>62</v>
      </c>
      <c r="AH577" s="25">
        <f>COUNTIFS(Tabela1[Mês],Tabela1[[#This Row],[Mês]],Tabela1[Fase atual],"Recebido")</f>
        <v>13</v>
      </c>
      <c r="AI577" s="26">
        <f>Tabela1[[#This Row],[Recebido_ Mes]]/Tabela1[[#This Row],[Total_Mes]]</f>
        <v>0.20967741935483872</v>
      </c>
      <c r="AJ577" s="19">
        <f>COUNTIFS(Tabela1[Fase atual],"Recebido",Tabela1[Mês],Tabela1[[#This Row],[Mês]],Tabela1[Ano],Tabela1[[#This Row],[Ano]])/COUNTIF(Tabela1[Mês],Tabela1[[#This Row],[Mês]])</f>
        <v>0.20967741935483872</v>
      </c>
      <c r="AK577" s="20">
        <f>100%</f>
        <v>1</v>
      </c>
    </row>
    <row r="578" spans="1:37" ht="18" customHeight="1" x14ac:dyDescent="0.25">
      <c r="A578">
        <v>1198094288</v>
      </c>
      <c r="B578" t="s">
        <v>381</v>
      </c>
      <c r="C578" t="s">
        <v>1275</v>
      </c>
      <c r="D578" t="s">
        <v>37</v>
      </c>
      <c r="E578" t="s">
        <v>31</v>
      </c>
      <c r="F578" s="2">
        <v>45888.850851435192</v>
      </c>
      <c r="AC578" s="24">
        <f t="shared" ca="1" si="17"/>
        <v>245.14914856480755</v>
      </c>
      <c r="AD578" s="25" t="str">
        <f t="shared" ca="1" si="18"/>
        <v>&gt;60 dias</v>
      </c>
      <c r="AE578" s="25">
        <f>MONTH(Tabela1[[#This Row],[Criado em]])</f>
        <v>8</v>
      </c>
      <c r="AF578" s="25">
        <f>YEAR(Tabela1[[#This Row],[Criado em]])</f>
        <v>2025</v>
      </c>
      <c r="AG578" s="25">
        <f>COUNTIFS(Tabela1[Mês],Tabela1[[#This Row],[Mês]])</f>
        <v>146</v>
      </c>
      <c r="AH578" s="25">
        <f>COUNTIFS(Tabela1[Mês],Tabela1[[#This Row],[Mês]],Tabela1[Fase atual],"Recebido")</f>
        <v>115</v>
      </c>
      <c r="AI578" s="26">
        <f>Tabela1[[#This Row],[Recebido_ Mes]]/Tabela1[[#This Row],[Total_Mes]]</f>
        <v>0.78767123287671237</v>
      </c>
      <c r="AJ578" s="19">
        <f>COUNTIFS(Tabela1[Fase atual],"Recebido",Tabela1[Mês],Tabela1[[#This Row],[Mês]],Tabela1[Ano],Tabela1[[#This Row],[Ano]])/COUNTIF(Tabela1[Mês],Tabela1[[#This Row],[Mês]])</f>
        <v>0.78767123287671237</v>
      </c>
      <c r="AK578" s="20">
        <f>100%</f>
        <v>1</v>
      </c>
    </row>
    <row r="579" spans="1:37" ht="18" customHeight="1" x14ac:dyDescent="0.25">
      <c r="A579">
        <v>1200310475</v>
      </c>
      <c r="B579" t="s">
        <v>381</v>
      </c>
      <c r="C579" t="s">
        <v>1275</v>
      </c>
      <c r="D579" t="s">
        <v>37</v>
      </c>
      <c r="E579" t="s">
        <v>31</v>
      </c>
      <c r="F579" s="2">
        <v>45891.851319166672</v>
      </c>
      <c r="AC579" s="24">
        <f t="shared" ref="AC579:AC642" ca="1" si="19">TODAY() - F579</f>
        <v>242.1486808333284</v>
      </c>
      <c r="AD579" s="25" t="str">
        <f t="shared" ref="AD579:AD642" ca="1" si="20">IF(AC579&lt;=14,"0-14 dias",
IF(AC579&lt;=19,"15-19 dias",
IF(AC579&lt;=24,"20-24 dias",
IF(AC579&lt;=30,"25-30 dias",
IF(AC579&lt;=60,"31-60 dias",
"&gt;60 dias")))))</f>
        <v>&gt;60 dias</v>
      </c>
      <c r="AE579" s="25">
        <f>MONTH(Tabela1[[#This Row],[Criado em]])</f>
        <v>8</v>
      </c>
      <c r="AF579" s="25">
        <f>YEAR(Tabela1[[#This Row],[Criado em]])</f>
        <v>2025</v>
      </c>
      <c r="AG579" s="25">
        <f>COUNTIFS(Tabela1[Mês],Tabela1[[#This Row],[Mês]])</f>
        <v>146</v>
      </c>
      <c r="AH579" s="25">
        <f>COUNTIFS(Tabela1[Mês],Tabela1[[#This Row],[Mês]],Tabela1[Fase atual],"Recebido")</f>
        <v>115</v>
      </c>
      <c r="AI579" s="26">
        <f>Tabela1[[#This Row],[Recebido_ Mes]]/Tabela1[[#This Row],[Total_Mes]]</f>
        <v>0.78767123287671237</v>
      </c>
      <c r="AJ579" s="19">
        <f>COUNTIFS(Tabela1[Fase atual],"Recebido",Tabela1[Mês],Tabela1[[#This Row],[Mês]],Tabela1[Ano],Tabela1[[#This Row],[Ano]])/COUNTIF(Tabela1[Mês],Tabela1[[#This Row],[Mês]])</f>
        <v>0.78767123287671237</v>
      </c>
      <c r="AK579" s="20">
        <f>100%</f>
        <v>1</v>
      </c>
    </row>
    <row r="580" spans="1:37" ht="18" customHeight="1" x14ac:dyDescent="0.25">
      <c r="A580">
        <v>1213260702</v>
      </c>
      <c r="B580" t="s">
        <v>381</v>
      </c>
      <c r="C580" t="s">
        <v>1275</v>
      </c>
      <c r="D580" t="s">
        <v>37</v>
      </c>
      <c r="E580" t="s">
        <v>31</v>
      </c>
      <c r="F580" s="2">
        <v>45912.645203958338</v>
      </c>
      <c r="AC580" s="24">
        <f t="shared" ca="1" si="19"/>
        <v>221.35479604166176</v>
      </c>
      <c r="AD580" s="25" t="str">
        <f t="shared" ca="1" si="20"/>
        <v>&gt;60 dias</v>
      </c>
      <c r="AE580" s="25">
        <f>MONTH(Tabela1[[#This Row],[Criado em]])</f>
        <v>9</v>
      </c>
      <c r="AF580" s="25">
        <f>YEAR(Tabela1[[#This Row],[Criado em]])</f>
        <v>2025</v>
      </c>
      <c r="AG580" s="25">
        <f>COUNTIFS(Tabela1[Mês],Tabela1[[#This Row],[Mês]])</f>
        <v>197</v>
      </c>
      <c r="AH580" s="25">
        <f>COUNTIFS(Tabela1[Mês],Tabela1[[#This Row],[Mês]],Tabela1[Fase atual],"Recebido")</f>
        <v>152</v>
      </c>
      <c r="AI580" s="26">
        <f>Tabela1[[#This Row],[Recebido_ Mes]]/Tabela1[[#This Row],[Total_Mes]]</f>
        <v>0.77157360406091369</v>
      </c>
      <c r="AJ580" s="19">
        <f>COUNTIFS(Tabela1[Fase atual],"Recebido",Tabela1[Mês],Tabela1[[#This Row],[Mês]],Tabela1[Ano],Tabela1[[#This Row],[Ano]])/COUNTIF(Tabela1[Mês],Tabela1[[#This Row],[Mês]])</f>
        <v>0.77157360406091369</v>
      </c>
      <c r="AK580" s="20">
        <f>100%</f>
        <v>1</v>
      </c>
    </row>
    <row r="581" spans="1:37" ht="18" customHeight="1" x14ac:dyDescent="0.25">
      <c r="A581">
        <v>1216185518</v>
      </c>
      <c r="B581" t="s">
        <v>1276</v>
      </c>
      <c r="C581" t="s">
        <v>1277</v>
      </c>
      <c r="D581" t="s">
        <v>37</v>
      </c>
      <c r="E581" t="s">
        <v>31</v>
      </c>
      <c r="F581" s="2">
        <v>45917.850949016211</v>
      </c>
      <c r="AC581" s="24">
        <f t="shared" ca="1" si="19"/>
        <v>216.14905098378949</v>
      </c>
      <c r="AD581" s="25" t="str">
        <f t="shared" ca="1" si="20"/>
        <v>&gt;60 dias</v>
      </c>
      <c r="AE581" s="25">
        <f>MONTH(Tabela1[[#This Row],[Criado em]])</f>
        <v>9</v>
      </c>
      <c r="AF581" s="25">
        <f>YEAR(Tabela1[[#This Row],[Criado em]])</f>
        <v>2025</v>
      </c>
      <c r="AG581" s="25">
        <f>COUNTIFS(Tabela1[Mês],Tabela1[[#This Row],[Mês]])</f>
        <v>197</v>
      </c>
      <c r="AH581" s="25">
        <f>COUNTIFS(Tabela1[Mês],Tabela1[[#This Row],[Mês]],Tabela1[Fase atual],"Recebido")</f>
        <v>152</v>
      </c>
      <c r="AI581" s="26">
        <f>Tabela1[[#This Row],[Recebido_ Mes]]/Tabela1[[#This Row],[Total_Mes]]</f>
        <v>0.77157360406091369</v>
      </c>
      <c r="AJ581" s="19">
        <f>COUNTIFS(Tabela1[Fase atual],"Recebido",Tabela1[Mês],Tabela1[[#This Row],[Mês]],Tabela1[Ano],Tabela1[[#This Row],[Ano]])/COUNTIF(Tabela1[Mês],Tabela1[[#This Row],[Mês]])</f>
        <v>0.77157360406091369</v>
      </c>
      <c r="AK581" s="20">
        <f>100%</f>
        <v>1</v>
      </c>
    </row>
    <row r="582" spans="1:37" ht="18" customHeight="1" x14ac:dyDescent="0.25">
      <c r="A582">
        <v>1229142130</v>
      </c>
      <c r="B582" t="s">
        <v>1278</v>
      </c>
      <c r="C582" t="s">
        <v>1279</v>
      </c>
      <c r="D582" t="s">
        <v>37</v>
      </c>
      <c r="E582" t="s">
        <v>31</v>
      </c>
      <c r="F582" s="2">
        <v>45936.851475555552</v>
      </c>
      <c r="AC582" s="24">
        <f t="shared" ca="1" si="19"/>
        <v>197.14852444444841</v>
      </c>
      <c r="AD582" s="25" t="str">
        <f t="shared" ca="1" si="20"/>
        <v>&gt;60 dias</v>
      </c>
      <c r="AE582" s="25">
        <f>MONTH(Tabela1[[#This Row],[Criado em]])</f>
        <v>10</v>
      </c>
      <c r="AF582" s="25">
        <f>YEAR(Tabela1[[#This Row],[Criado em]])</f>
        <v>2025</v>
      </c>
      <c r="AG582" s="25">
        <f>COUNTIFS(Tabela1[Mês],Tabela1[[#This Row],[Mês]])</f>
        <v>196</v>
      </c>
      <c r="AH582" s="25">
        <f>COUNTIFS(Tabela1[Mês],Tabela1[[#This Row],[Mês]],Tabela1[Fase atual],"Recebido")</f>
        <v>138</v>
      </c>
      <c r="AI582" s="26">
        <f>Tabela1[[#This Row],[Recebido_ Mes]]/Tabela1[[#This Row],[Total_Mes]]</f>
        <v>0.70408163265306123</v>
      </c>
      <c r="AJ582" s="19">
        <f>COUNTIFS(Tabela1[Fase atual],"Recebido",Tabela1[Mês],Tabela1[[#This Row],[Mês]],Tabela1[Ano],Tabela1[[#This Row],[Ano]])/COUNTIF(Tabela1[Mês],Tabela1[[#This Row],[Mês]])</f>
        <v>0.70408163265306123</v>
      </c>
      <c r="AK582" s="20">
        <f>100%</f>
        <v>1</v>
      </c>
    </row>
    <row r="583" spans="1:37" ht="18" customHeight="1" x14ac:dyDescent="0.25">
      <c r="A583">
        <v>1182152414</v>
      </c>
      <c r="B583" t="s">
        <v>1280</v>
      </c>
      <c r="C583" t="s">
        <v>1281</v>
      </c>
      <c r="D583" t="s">
        <v>37</v>
      </c>
      <c r="E583" t="s">
        <v>31</v>
      </c>
      <c r="F583" s="2">
        <v>45861.85247690972</v>
      </c>
      <c r="AC583" s="24">
        <f t="shared" ca="1" si="19"/>
        <v>272.14752309027972</v>
      </c>
      <c r="AD583" s="25" t="str">
        <f t="shared" ca="1" si="20"/>
        <v>&gt;60 dias</v>
      </c>
      <c r="AE583" s="25">
        <f>MONTH(Tabela1[[#This Row],[Criado em]])</f>
        <v>7</v>
      </c>
      <c r="AF583" s="25">
        <f>YEAR(Tabela1[[#This Row],[Criado em]])</f>
        <v>2025</v>
      </c>
      <c r="AG583" s="25">
        <f>COUNTIFS(Tabela1[Mês],Tabela1[[#This Row],[Mês]])</f>
        <v>177</v>
      </c>
      <c r="AH583" s="25">
        <f>COUNTIFS(Tabela1[Mês],Tabela1[[#This Row],[Mês]],Tabela1[Fase atual],"Recebido")</f>
        <v>130</v>
      </c>
      <c r="AI583" s="26">
        <f>Tabela1[[#This Row],[Recebido_ Mes]]/Tabela1[[#This Row],[Total_Mes]]</f>
        <v>0.7344632768361582</v>
      </c>
      <c r="AJ583" s="19">
        <f>COUNTIFS(Tabela1[Fase atual],"Recebido",Tabela1[Mês],Tabela1[[#This Row],[Mês]],Tabela1[Ano],Tabela1[[#This Row],[Ano]])/COUNTIF(Tabela1[Mês],Tabela1[[#This Row],[Mês]])</f>
        <v>0.7344632768361582</v>
      </c>
      <c r="AK583" s="20">
        <f>100%</f>
        <v>1</v>
      </c>
    </row>
    <row r="584" spans="1:37" ht="18" customHeight="1" x14ac:dyDescent="0.25">
      <c r="A584">
        <v>1273199203</v>
      </c>
      <c r="B584" t="s">
        <v>1280</v>
      </c>
      <c r="C584" t="s">
        <v>1281</v>
      </c>
      <c r="D584" t="s">
        <v>40</v>
      </c>
      <c r="E584" t="s">
        <v>31</v>
      </c>
      <c r="F584" s="2">
        <v>46017.628693483799</v>
      </c>
      <c r="AC584" s="24">
        <f t="shared" ca="1" si="19"/>
        <v>116.371306516201</v>
      </c>
      <c r="AD584" s="25" t="str">
        <f t="shared" ca="1" si="20"/>
        <v>&gt;60 dias</v>
      </c>
      <c r="AE584" s="25">
        <f>MONTH(Tabela1[[#This Row],[Criado em]])</f>
        <v>12</v>
      </c>
      <c r="AF584" s="25">
        <f>YEAR(Tabela1[[#This Row],[Criado em]])</f>
        <v>2025</v>
      </c>
      <c r="AG584" s="25">
        <f>COUNTIFS(Tabela1[Mês],Tabela1[[#This Row],[Mês]])</f>
        <v>207</v>
      </c>
      <c r="AH584" s="25">
        <f>COUNTIFS(Tabela1[Mês],Tabela1[[#This Row],[Mês]],Tabela1[Fase atual],"Recebido")</f>
        <v>155</v>
      </c>
      <c r="AI584" s="26">
        <f>Tabela1[[#This Row],[Recebido_ Mes]]/Tabela1[[#This Row],[Total_Mes]]</f>
        <v>0.74879227053140096</v>
      </c>
      <c r="AJ584" s="19">
        <f>COUNTIFS(Tabela1[Fase atual],"Recebido",Tabela1[Mês],Tabela1[[#This Row],[Mês]],Tabela1[Ano],Tabela1[[#This Row],[Ano]])/COUNTIF(Tabela1[Mês],Tabela1[[#This Row],[Mês]])</f>
        <v>0.74879227053140096</v>
      </c>
      <c r="AK584" s="20">
        <f>100%</f>
        <v>1</v>
      </c>
    </row>
    <row r="585" spans="1:37" ht="18" customHeight="1" x14ac:dyDescent="0.25">
      <c r="A585">
        <v>1197256640</v>
      </c>
      <c r="B585" t="s">
        <v>1282</v>
      </c>
      <c r="C585" t="s">
        <v>1283</v>
      </c>
      <c r="D585" t="s">
        <v>37</v>
      </c>
      <c r="E585" t="s">
        <v>31</v>
      </c>
      <c r="F585" s="2">
        <v>45887.801843668982</v>
      </c>
      <c r="AC585" s="24">
        <f t="shared" ca="1" si="19"/>
        <v>246.19815633101825</v>
      </c>
      <c r="AD585" s="25" t="str">
        <f t="shared" ca="1" si="20"/>
        <v>&gt;60 dias</v>
      </c>
      <c r="AE585" s="25">
        <f>MONTH(Tabela1[[#This Row],[Criado em]])</f>
        <v>8</v>
      </c>
      <c r="AF585" s="25">
        <f>YEAR(Tabela1[[#This Row],[Criado em]])</f>
        <v>2025</v>
      </c>
      <c r="AG585" s="25">
        <f>COUNTIFS(Tabela1[Mês],Tabela1[[#This Row],[Mês]])</f>
        <v>146</v>
      </c>
      <c r="AH585" s="25">
        <f>COUNTIFS(Tabela1[Mês],Tabela1[[#This Row],[Mês]],Tabela1[Fase atual],"Recebido")</f>
        <v>115</v>
      </c>
      <c r="AI585" s="26">
        <f>Tabela1[[#This Row],[Recebido_ Mes]]/Tabela1[[#This Row],[Total_Mes]]</f>
        <v>0.78767123287671237</v>
      </c>
      <c r="AJ585" s="19">
        <f>COUNTIFS(Tabela1[Fase atual],"Recebido",Tabela1[Mês],Tabela1[[#This Row],[Mês]],Tabela1[Ano],Tabela1[[#This Row],[Ano]])/COUNTIF(Tabela1[Mês],Tabela1[[#This Row],[Mês]])</f>
        <v>0.78767123287671237</v>
      </c>
      <c r="AK585" s="20">
        <f>100%</f>
        <v>1</v>
      </c>
    </row>
    <row r="586" spans="1:37" ht="18" customHeight="1" x14ac:dyDescent="0.25">
      <c r="A586">
        <v>1208937428</v>
      </c>
      <c r="B586" t="s">
        <v>1282</v>
      </c>
      <c r="C586" t="s">
        <v>1283</v>
      </c>
      <c r="D586" t="s">
        <v>37</v>
      </c>
      <c r="E586" t="s">
        <v>31</v>
      </c>
      <c r="F586" s="2">
        <v>45905.584185844913</v>
      </c>
      <c r="AC586" s="24">
        <f t="shared" ca="1" si="19"/>
        <v>228.41581415508699</v>
      </c>
      <c r="AD586" s="25" t="str">
        <f t="shared" ca="1" si="20"/>
        <v>&gt;60 dias</v>
      </c>
      <c r="AE586" s="25">
        <f>MONTH(Tabela1[[#This Row],[Criado em]])</f>
        <v>9</v>
      </c>
      <c r="AF586" s="25">
        <f>YEAR(Tabela1[[#This Row],[Criado em]])</f>
        <v>2025</v>
      </c>
      <c r="AG586" s="25">
        <f>COUNTIFS(Tabela1[Mês],Tabela1[[#This Row],[Mês]])</f>
        <v>197</v>
      </c>
      <c r="AH586" s="25">
        <f>COUNTIFS(Tabela1[Mês],Tabela1[[#This Row],[Mês]],Tabela1[Fase atual],"Recebido")</f>
        <v>152</v>
      </c>
      <c r="AI586" s="26">
        <f>Tabela1[[#This Row],[Recebido_ Mes]]/Tabela1[[#This Row],[Total_Mes]]</f>
        <v>0.77157360406091369</v>
      </c>
      <c r="AJ586" s="19">
        <f>COUNTIFS(Tabela1[Fase atual],"Recebido",Tabela1[Mês],Tabela1[[#This Row],[Mês]],Tabela1[Ano],Tabela1[[#This Row],[Ano]])/COUNTIF(Tabela1[Mês],Tabela1[[#This Row],[Mês]])</f>
        <v>0.77157360406091369</v>
      </c>
      <c r="AK586" s="20">
        <f>100%</f>
        <v>1</v>
      </c>
    </row>
    <row r="587" spans="1:37" ht="18" customHeight="1" x14ac:dyDescent="0.25">
      <c r="A587">
        <v>1186005372</v>
      </c>
      <c r="B587" t="s">
        <v>339</v>
      </c>
      <c r="C587" t="s">
        <v>1284</v>
      </c>
      <c r="D587" t="s">
        <v>40</v>
      </c>
      <c r="E587" t="s">
        <v>31</v>
      </c>
      <c r="F587" s="2">
        <v>45868.851747916662</v>
      </c>
      <c r="AC587" s="24">
        <f t="shared" ca="1" si="19"/>
        <v>265.14825208333787</v>
      </c>
      <c r="AD587" s="25" t="str">
        <f t="shared" ca="1" si="20"/>
        <v>&gt;60 dias</v>
      </c>
      <c r="AE587" s="25">
        <f>MONTH(Tabela1[[#This Row],[Criado em]])</f>
        <v>7</v>
      </c>
      <c r="AF587" s="25">
        <f>YEAR(Tabela1[[#This Row],[Criado em]])</f>
        <v>2025</v>
      </c>
      <c r="AG587" s="25">
        <f>COUNTIFS(Tabela1[Mês],Tabela1[[#This Row],[Mês]])</f>
        <v>177</v>
      </c>
      <c r="AH587" s="25">
        <f>COUNTIFS(Tabela1[Mês],Tabela1[[#This Row],[Mês]],Tabela1[Fase atual],"Recebido")</f>
        <v>130</v>
      </c>
      <c r="AI587" s="26">
        <f>Tabela1[[#This Row],[Recebido_ Mes]]/Tabela1[[#This Row],[Total_Mes]]</f>
        <v>0.7344632768361582</v>
      </c>
      <c r="AJ587" s="19">
        <f>COUNTIFS(Tabela1[Fase atual],"Recebido",Tabela1[Mês],Tabela1[[#This Row],[Mês]],Tabela1[Ano],Tabela1[[#This Row],[Ano]])/COUNTIF(Tabela1[Mês],Tabela1[[#This Row],[Mês]])</f>
        <v>0.7344632768361582</v>
      </c>
      <c r="AK587" s="20">
        <f>100%</f>
        <v>1</v>
      </c>
    </row>
    <row r="588" spans="1:37" ht="18" customHeight="1" x14ac:dyDescent="0.25">
      <c r="A588">
        <v>1222690438</v>
      </c>
      <c r="B588" t="s">
        <v>1285</v>
      </c>
      <c r="C588" t="s">
        <v>1286</v>
      </c>
      <c r="D588" t="s">
        <v>37</v>
      </c>
      <c r="E588" t="s">
        <v>31</v>
      </c>
      <c r="F588" s="2">
        <v>45927.642882187502</v>
      </c>
      <c r="AC588" s="24">
        <f t="shared" ca="1" si="19"/>
        <v>206.35711781249847</v>
      </c>
      <c r="AD588" s="25" t="str">
        <f t="shared" ca="1" si="20"/>
        <v>&gt;60 dias</v>
      </c>
      <c r="AE588" s="25">
        <f>MONTH(Tabela1[[#This Row],[Criado em]])</f>
        <v>9</v>
      </c>
      <c r="AF588" s="25">
        <f>YEAR(Tabela1[[#This Row],[Criado em]])</f>
        <v>2025</v>
      </c>
      <c r="AG588" s="25">
        <f>COUNTIFS(Tabela1[Mês],Tabela1[[#This Row],[Mês]])</f>
        <v>197</v>
      </c>
      <c r="AH588" s="25">
        <f>COUNTIFS(Tabela1[Mês],Tabela1[[#This Row],[Mês]],Tabela1[Fase atual],"Recebido")</f>
        <v>152</v>
      </c>
      <c r="AI588" s="26">
        <f>Tabela1[[#This Row],[Recebido_ Mes]]/Tabela1[[#This Row],[Total_Mes]]</f>
        <v>0.77157360406091369</v>
      </c>
      <c r="AJ588" s="19">
        <f>COUNTIFS(Tabela1[Fase atual],"Recebido",Tabela1[Mês],Tabela1[[#This Row],[Mês]],Tabela1[Ano],Tabela1[[#This Row],[Ano]])/COUNTIF(Tabela1[Mês],Tabela1[[#This Row],[Mês]])</f>
        <v>0.77157360406091369</v>
      </c>
      <c r="AK588" s="20">
        <f>100%</f>
        <v>1</v>
      </c>
    </row>
    <row r="589" spans="1:37" ht="18" customHeight="1" x14ac:dyDescent="0.25">
      <c r="A589">
        <v>1270229639</v>
      </c>
      <c r="B589" t="s">
        <v>63</v>
      </c>
      <c r="C589" t="s">
        <v>1287</v>
      </c>
      <c r="D589" t="s">
        <v>37</v>
      </c>
      <c r="E589" t="s">
        <v>31</v>
      </c>
      <c r="F589" s="2">
        <v>46009.84612151621</v>
      </c>
      <c r="AC589" s="24">
        <f t="shared" ca="1" si="19"/>
        <v>124.15387848379032</v>
      </c>
      <c r="AD589" s="25" t="str">
        <f t="shared" ca="1" si="20"/>
        <v>&gt;60 dias</v>
      </c>
      <c r="AE589" s="25">
        <f>MONTH(Tabela1[[#This Row],[Criado em]])</f>
        <v>12</v>
      </c>
      <c r="AF589" s="25">
        <f>YEAR(Tabela1[[#This Row],[Criado em]])</f>
        <v>2025</v>
      </c>
      <c r="AG589" s="25">
        <f>COUNTIFS(Tabela1[Mês],Tabela1[[#This Row],[Mês]])</f>
        <v>207</v>
      </c>
      <c r="AH589" s="25">
        <f>COUNTIFS(Tabela1[Mês],Tabela1[[#This Row],[Mês]],Tabela1[Fase atual],"Recebido")</f>
        <v>155</v>
      </c>
      <c r="AI589" s="26">
        <f>Tabela1[[#This Row],[Recebido_ Mes]]/Tabela1[[#This Row],[Total_Mes]]</f>
        <v>0.74879227053140096</v>
      </c>
      <c r="AJ589" s="19">
        <f>COUNTIFS(Tabela1[Fase atual],"Recebido",Tabela1[Mês],Tabela1[[#This Row],[Mês]],Tabela1[Ano],Tabela1[[#This Row],[Ano]])/COUNTIF(Tabela1[Mês],Tabela1[[#This Row],[Mês]])</f>
        <v>0.74879227053140096</v>
      </c>
      <c r="AK589" s="20">
        <f>100%</f>
        <v>1</v>
      </c>
    </row>
    <row r="590" spans="1:37" ht="18" customHeight="1" x14ac:dyDescent="0.25">
      <c r="A590">
        <v>1224733735</v>
      </c>
      <c r="B590" t="s">
        <v>1288</v>
      </c>
      <c r="C590" t="s">
        <v>1289</v>
      </c>
      <c r="D590" t="s">
        <v>37</v>
      </c>
      <c r="E590" t="s">
        <v>441</v>
      </c>
      <c r="F590" s="2">
        <v>45930.88788894676</v>
      </c>
      <c r="AC590" s="24">
        <f t="shared" ca="1" si="19"/>
        <v>203.11211105324037</v>
      </c>
      <c r="AD590" s="25" t="str">
        <f t="shared" ca="1" si="20"/>
        <v>&gt;60 dias</v>
      </c>
      <c r="AE590" s="25">
        <f>MONTH(Tabela1[[#This Row],[Criado em]])</f>
        <v>9</v>
      </c>
      <c r="AF590" s="25">
        <f>YEAR(Tabela1[[#This Row],[Criado em]])</f>
        <v>2025</v>
      </c>
      <c r="AG590" s="25">
        <f>COUNTIFS(Tabela1[Mês],Tabela1[[#This Row],[Mês]])</f>
        <v>197</v>
      </c>
      <c r="AH590" s="25">
        <f>COUNTIFS(Tabela1[Mês],Tabela1[[#This Row],[Mês]],Tabela1[Fase atual],"Recebido")</f>
        <v>152</v>
      </c>
      <c r="AI590" s="26">
        <f>Tabela1[[#This Row],[Recebido_ Mes]]/Tabela1[[#This Row],[Total_Mes]]</f>
        <v>0.77157360406091369</v>
      </c>
      <c r="AJ590" s="19">
        <f>COUNTIFS(Tabela1[Fase atual],"Recebido",Tabela1[Mês],Tabela1[[#This Row],[Mês]],Tabela1[Ano],Tabela1[[#This Row],[Ano]])/COUNTIF(Tabela1[Mês],Tabela1[[#This Row],[Mês]])</f>
        <v>0.77157360406091369</v>
      </c>
      <c r="AK590" s="20">
        <f>100%</f>
        <v>1</v>
      </c>
    </row>
    <row r="591" spans="1:37" ht="18" customHeight="1" x14ac:dyDescent="0.25">
      <c r="A591">
        <v>1276528150</v>
      </c>
      <c r="B591" t="s">
        <v>277</v>
      </c>
      <c r="C591" t="s">
        <v>278</v>
      </c>
      <c r="D591" t="s">
        <v>37</v>
      </c>
      <c r="E591" t="s">
        <v>31</v>
      </c>
      <c r="F591" s="2">
        <v>46027.796668449068</v>
      </c>
      <c r="AC591" s="24">
        <f t="shared" ca="1" si="19"/>
        <v>106.20333155093249</v>
      </c>
      <c r="AD591" s="25" t="str">
        <f t="shared" ca="1" si="20"/>
        <v>&gt;60 dias</v>
      </c>
      <c r="AE591" s="25">
        <f>MONTH(Tabela1[[#This Row],[Criado em]])</f>
        <v>1</v>
      </c>
      <c r="AF591" s="25">
        <f>YEAR(Tabela1[[#This Row],[Criado em]])</f>
        <v>2026</v>
      </c>
      <c r="AG591" s="25">
        <f>COUNTIFS(Tabela1[Mês],Tabela1[[#This Row],[Mês]])</f>
        <v>222</v>
      </c>
      <c r="AH591" s="25">
        <f>COUNTIFS(Tabela1[Mês],Tabela1[[#This Row],[Mês]],Tabela1[Fase atual],"Recebido")</f>
        <v>174</v>
      </c>
      <c r="AI591" s="26">
        <f>Tabela1[[#This Row],[Recebido_ Mes]]/Tabela1[[#This Row],[Total_Mes]]</f>
        <v>0.78378378378378377</v>
      </c>
      <c r="AJ591" s="19">
        <f>COUNTIFS(Tabela1[Fase atual],"Recebido",Tabela1[Mês],Tabela1[[#This Row],[Mês]],Tabela1[Ano],Tabela1[[#This Row],[Ano]])/COUNTIF(Tabela1[Mês],Tabela1[[#This Row],[Mês]])</f>
        <v>0.78378378378378377</v>
      </c>
      <c r="AK591" s="20">
        <f>100%</f>
        <v>1</v>
      </c>
    </row>
    <row r="592" spans="1:37" ht="18" customHeight="1" x14ac:dyDescent="0.25">
      <c r="A592">
        <v>1278476738</v>
      </c>
      <c r="B592" t="s">
        <v>279</v>
      </c>
      <c r="C592" t="s">
        <v>280</v>
      </c>
      <c r="D592" t="s">
        <v>37</v>
      </c>
      <c r="E592" t="s">
        <v>31</v>
      </c>
      <c r="F592" s="2">
        <v>46029.921118576392</v>
      </c>
      <c r="AC592" s="24">
        <f t="shared" ca="1" si="19"/>
        <v>104.07888142360753</v>
      </c>
      <c r="AD592" s="25" t="str">
        <f t="shared" ca="1" si="20"/>
        <v>&gt;60 dias</v>
      </c>
      <c r="AE592" s="25">
        <f>MONTH(Tabela1[[#This Row],[Criado em]])</f>
        <v>1</v>
      </c>
      <c r="AF592" s="25">
        <f>YEAR(Tabela1[[#This Row],[Criado em]])</f>
        <v>2026</v>
      </c>
      <c r="AG592" s="25">
        <f>COUNTIFS(Tabela1[Mês],Tabela1[[#This Row],[Mês]])</f>
        <v>222</v>
      </c>
      <c r="AH592" s="25">
        <f>COUNTIFS(Tabela1[Mês],Tabela1[[#This Row],[Mês]],Tabela1[Fase atual],"Recebido")</f>
        <v>174</v>
      </c>
      <c r="AI592" s="26">
        <f>Tabela1[[#This Row],[Recebido_ Mes]]/Tabela1[[#This Row],[Total_Mes]]</f>
        <v>0.78378378378378377</v>
      </c>
      <c r="AJ592" s="19">
        <f>COUNTIFS(Tabela1[Fase atual],"Recebido",Tabela1[Mês],Tabela1[[#This Row],[Mês]],Tabela1[Ano],Tabela1[[#This Row],[Ano]])/COUNTIF(Tabela1[Mês],Tabela1[[#This Row],[Mês]])</f>
        <v>0.78378378378378377</v>
      </c>
      <c r="AK592" s="20">
        <f>100%</f>
        <v>1</v>
      </c>
    </row>
    <row r="593" spans="1:37" ht="18" customHeight="1" x14ac:dyDescent="0.25">
      <c r="A593">
        <v>1243425696</v>
      </c>
      <c r="B593" t="s">
        <v>279</v>
      </c>
      <c r="C593" t="s">
        <v>1290</v>
      </c>
      <c r="D593" t="s">
        <v>37</v>
      </c>
      <c r="E593" t="s">
        <v>31</v>
      </c>
      <c r="F593" s="2">
        <v>45954.794952407407</v>
      </c>
      <c r="AC593" s="24">
        <f t="shared" ca="1" si="19"/>
        <v>179.20504759259347</v>
      </c>
      <c r="AD593" s="25" t="str">
        <f t="shared" ca="1" si="20"/>
        <v>&gt;60 dias</v>
      </c>
      <c r="AE593" s="25">
        <f>MONTH(Tabela1[[#This Row],[Criado em]])</f>
        <v>10</v>
      </c>
      <c r="AF593" s="25">
        <f>YEAR(Tabela1[[#This Row],[Criado em]])</f>
        <v>2025</v>
      </c>
      <c r="AG593" s="25">
        <f>COUNTIFS(Tabela1[Mês],Tabela1[[#This Row],[Mês]])</f>
        <v>196</v>
      </c>
      <c r="AH593" s="25">
        <f>COUNTIFS(Tabela1[Mês],Tabela1[[#This Row],[Mês]],Tabela1[Fase atual],"Recebido")</f>
        <v>138</v>
      </c>
      <c r="AI593" s="26">
        <f>Tabela1[[#This Row],[Recebido_ Mes]]/Tabela1[[#This Row],[Total_Mes]]</f>
        <v>0.70408163265306123</v>
      </c>
      <c r="AJ593" s="19">
        <f>COUNTIFS(Tabela1[Fase atual],"Recebido",Tabela1[Mês],Tabela1[[#This Row],[Mês]],Tabela1[Ano],Tabela1[[#This Row],[Ano]])/COUNTIF(Tabela1[Mês],Tabela1[[#This Row],[Mês]])</f>
        <v>0.70408163265306123</v>
      </c>
      <c r="AK593" s="20">
        <f>100%</f>
        <v>1</v>
      </c>
    </row>
    <row r="594" spans="1:37" ht="18" customHeight="1" x14ac:dyDescent="0.25">
      <c r="A594">
        <v>1210992688</v>
      </c>
      <c r="B594" t="s">
        <v>1291</v>
      </c>
      <c r="C594" t="s">
        <v>1292</v>
      </c>
      <c r="D594" t="s">
        <v>37</v>
      </c>
      <c r="E594" t="s">
        <v>31</v>
      </c>
      <c r="F594" s="2">
        <v>45909.642718009258</v>
      </c>
      <c r="AC594" s="24">
        <f t="shared" ca="1" si="19"/>
        <v>224.35728199074219</v>
      </c>
      <c r="AD594" s="25" t="str">
        <f t="shared" ca="1" si="20"/>
        <v>&gt;60 dias</v>
      </c>
      <c r="AE594" s="25">
        <f>MONTH(Tabela1[[#This Row],[Criado em]])</f>
        <v>9</v>
      </c>
      <c r="AF594" s="25">
        <f>YEAR(Tabela1[[#This Row],[Criado em]])</f>
        <v>2025</v>
      </c>
      <c r="AG594" s="25">
        <f>COUNTIFS(Tabela1[Mês],Tabela1[[#This Row],[Mês]])</f>
        <v>197</v>
      </c>
      <c r="AH594" s="25">
        <f>COUNTIFS(Tabela1[Mês],Tabela1[[#This Row],[Mês]],Tabela1[Fase atual],"Recebido")</f>
        <v>152</v>
      </c>
      <c r="AI594" s="26">
        <f>Tabela1[[#This Row],[Recebido_ Mes]]/Tabela1[[#This Row],[Total_Mes]]</f>
        <v>0.77157360406091369</v>
      </c>
      <c r="AJ594" s="19">
        <f>COUNTIFS(Tabela1[Fase atual],"Recebido",Tabela1[Mês],Tabela1[[#This Row],[Mês]],Tabela1[Ano],Tabela1[[#This Row],[Ano]])/COUNTIF(Tabela1[Mês],Tabela1[[#This Row],[Mês]])</f>
        <v>0.77157360406091369</v>
      </c>
      <c r="AK594" s="20">
        <f>100%</f>
        <v>1</v>
      </c>
    </row>
    <row r="595" spans="1:37" ht="18" customHeight="1" x14ac:dyDescent="0.25">
      <c r="A595">
        <v>1238328448</v>
      </c>
      <c r="B595" t="s">
        <v>1293</v>
      </c>
      <c r="C595" t="s">
        <v>1294</v>
      </c>
      <c r="D595" t="s">
        <v>784</v>
      </c>
      <c r="E595" t="s">
        <v>31</v>
      </c>
      <c r="F595" s="2">
        <v>45947.626666863427</v>
      </c>
      <c r="AC595" s="24">
        <f t="shared" ca="1" si="19"/>
        <v>186.37333313657291</v>
      </c>
      <c r="AD595" s="25" t="str">
        <f t="shared" ca="1" si="20"/>
        <v>&gt;60 dias</v>
      </c>
      <c r="AE595" s="25">
        <f>MONTH(Tabela1[[#This Row],[Criado em]])</f>
        <v>10</v>
      </c>
      <c r="AF595" s="25">
        <f>YEAR(Tabela1[[#This Row],[Criado em]])</f>
        <v>2025</v>
      </c>
      <c r="AG595" s="25">
        <f>COUNTIFS(Tabela1[Mês],Tabela1[[#This Row],[Mês]])</f>
        <v>196</v>
      </c>
      <c r="AH595" s="25">
        <f>COUNTIFS(Tabela1[Mês],Tabela1[[#This Row],[Mês]],Tabela1[Fase atual],"Recebido")</f>
        <v>138</v>
      </c>
      <c r="AI595" s="26">
        <f>Tabela1[[#This Row],[Recebido_ Mes]]/Tabela1[[#This Row],[Total_Mes]]</f>
        <v>0.70408163265306123</v>
      </c>
      <c r="AJ595" s="19">
        <f>COUNTIFS(Tabela1[Fase atual],"Recebido",Tabela1[Mês],Tabela1[[#This Row],[Mês]],Tabela1[Ano],Tabela1[[#This Row],[Ano]])/COUNTIF(Tabela1[Mês],Tabela1[[#This Row],[Mês]])</f>
        <v>0.70408163265306123</v>
      </c>
      <c r="AK595" s="20">
        <f>100%</f>
        <v>1</v>
      </c>
    </row>
    <row r="596" spans="1:37" ht="18" customHeight="1" x14ac:dyDescent="0.25">
      <c r="A596">
        <v>1210302053</v>
      </c>
      <c r="B596" t="s">
        <v>1293</v>
      </c>
      <c r="C596" t="s">
        <v>1294</v>
      </c>
      <c r="D596" t="s">
        <v>37</v>
      </c>
      <c r="E596" t="s">
        <v>31</v>
      </c>
      <c r="F596" s="2">
        <v>45908.641774201387</v>
      </c>
      <c r="AC596" s="24">
        <f t="shared" ca="1" si="19"/>
        <v>225.35822579861269</v>
      </c>
      <c r="AD596" s="25" t="str">
        <f t="shared" ca="1" si="20"/>
        <v>&gt;60 dias</v>
      </c>
      <c r="AE596" s="25">
        <f>MONTH(Tabela1[[#This Row],[Criado em]])</f>
        <v>9</v>
      </c>
      <c r="AF596" s="25">
        <f>YEAR(Tabela1[[#This Row],[Criado em]])</f>
        <v>2025</v>
      </c>
      <c r="AG596" s="25">
        <f>COUNTIFS(Tabela1[Mês],Tabela1[[#This Row],[Mês]])</f>
        <v>197</v>
      </c>
      <c r="AH596" s="25">
        <f>COUNTIFS(Tabela1[Mês],Tabela1[[#This Row],[Mês]],Tabela1[Fase atual],"Recebido")</f>
        <v>152</v>
      </c>
      <c r="AI596" s="26">
        <f>Tabela1[[#This Row],[Recebido_ Mes]]/Tabela1[[#This Row],[Total_Mes]]</f>
        <v>0.77157360406091369</v>
      </c>
      <c r="AJ596" s="19">
        <f>COUNTIFS(Tabela1[Fase atual],"Recebido",Tabela1[Mês],Tabela1[[#This Row],[Mês]],Tabela1[Ano],Tabela1[[#This Row],[Ano]])/COUNTIF(Tabela1[Mês],Tabela1[[#This Row],[Mês]])</f>
        <v>0.77157360406091369</v>
      </c>
      <c r="AK596" s="20">
        <f>100%</f>
        <v>1</v>
      </c>
    </row>
    <row r="597" spans="1:37" ht="18" customHeight="1" x14ac:dyDescent="0.25">
      <c r="A597">
        <v>1277289982</v>
      </c>
      <c r="C597" t="s">
        <v>281</v>
      </c>
      <c r="D597" t="s">
        <v>37</v>
      </c>
      <c r="E597" t="s">
        <v>31</v>
      </c>
      <c r="F597" s="2">
        <v>46028.557467870371</v>
      </c>
      <c r="AC597" s="24">
        <f t="shared" ca="1" si="19"/>
        <v>105.4425321296294</v>
      </c>
      <c r="AD597" s="25" t="str">
        <f t="shared" ca="1" si="20"/>
        <v>&gt;60 dias</v>
      </c>
      <c r="AE597" s="25">
        <f>MONTH(Tabela1[[#This Row],[Criado em]])</f>
        <v>1</v>
      </c>
      <c r="AF597" s="25">
        <f>YEAR(Tabela1[[#This Row],[Criado em]])</f>
        <v>2026</v>
      </c>
      <c r="AG597" s="25">
        <f>COUNTIFS(Tabela1[Mês],Tabela1[[#This Row],[Mês]])</f>
        <v>222</v>
      </c>
      <c r="AH597" s="25">
        <f>COUNTIFS(Tabela1[Mês],Tabela1[[#This Row],[Mês]],Tabela1[Fase atual],"Recebido")</f>
        <v>174</v>
      </c>
      <c r="AI597" s="26">
        <f>Tabela1[[#This Row],[Recebido_ Mes]]/Tabela1[[#This Row],[Total_Mes]]</f>
        <v>0.78378378378378377</v>
      </c>
      <c r="AJ597" s="19">
        <f>COUNTIFS(Tabela1[Fase atual],"Recebido",Tabela1[Mês],Tabela1[[#This Row],[Mês]],Tabela1[Ano],Tabela1[[#This Row],[Ano]])/COUNTIF(Tabela1[Mês],Tabela1[[#This Row],[Mês]])</f>
        <v>0.78378378378378377</v>
      </c>
      <c r="AK597" s="20">
        <f>100%</f>
        <v>1</v>
      </c>
    </row>
    <row r="598" spans="1:37" ht="18" customHeight="1" x14ac:dyDescent="0.25">
      <c r="A598">
        <v>1274485958</v>
      </c>
      <c r="B598" t="s">
        <v>1295</v>
      </c>
      <c r="C598" t="s">
        <v>1296</v>
      </c>
      <c r="D598" t="s">
        <v>37</v>
      </c>
      <c r="E598" t="s">
        <v>31</v>
      </c>
      <c r="F598" s="2">
        <v>46020.795004363419</v>
      </c>
      <c r="AC598" s="24">
        <f t="shared" ca="1" si="19"/>
        <v>113.20499563658086</v>
      </c>
      <c r="AD598" s="25" t="str">
        <f t="shared" ca="1" si="20"/>
        <v>&gt;60 dias</v>
      </c>
      <c r="AE598" s="25">
        <f>MONTH(Tabela1[[#This Row],[Criado em]])</f>
        <v>12</v>
      </c>
      <c r="AF598" s="25">
        <f>YEAR(Tabela1[[#This Row],[Criado em]])</f>
        <v>2025</v>
      </c>
      <c r="AG598" s="25">
        <f>COUNTIFS(Tabela1[Mês],Tabela1[[#This Row],[Mês]])</f>
        <v>207</v>
      </c>
      <c r="AH598" s="25">
        <f>COUNTIFS(Tabela1[Mês],Tabela1[[#This Row],[Mês]],Tabela1[Fase atual],"Recebido")</f>
        <v>155</v>
      </c>
      <c r="AI598" s="26">
        <f>Tabela1[[#This Row],[Recebido_ Mes]]/Tabela1[[#This Row],[Total_Mes]]</f>
        <v>0.74879227053140096</v>
      </c>
      <c r="AJ598" s="19">
        <f>COUNTIFS(Tabela1[Fase atual],"Recebido",Tabela1[Mês],Tabela1[[#This Row],[Mês]],Tabela1[Ano],Tabela1[[#This Row],[Ano]])/COUNTIF(Tabela1[Mês],Tabela1[[#This Row],[Mês]])</f>
        <v>0.74879227053140096</v>
      </c>
      <c r="AK598" s="20">
        <f>100%</f>
        <v>1</v>
      </c>
    </row>
    <row r="599" spans="1:37" ht="18" customHeight="1" x14ac:dyDescent="0.25">
      <c r="A599">
        <v>1284026130</v>
      </c>
      <c r="B599" t="s">
        <v>282</v>
      </c>
      <c r="C599" t="s">
        <v>283</v>
      </c>
      <c r="D599" t="s">
        <v>37</v>
      </c>
      <c r="E599" t="s">
        <v>31</v>
      </c>
      <c r="F599" s="2">
        <v>46041.742432175932</v>
      </c>
      <c r="AC599" s="24">
        <f t="shared" ca="1" si="19"/>
        <v>92.257567824068246</v>
      </c>
      <c r="AD599" s="25" t="str">
        <f t="shared" ca="1" si="20"/>
        <v>&gt;60 dias</v>
      </c>
      <c r="AE599" s="25">
        <f>MONTH(Tabela1[[#This Row],[Criado em]])</f>
        <v>1</v>
      </c>
      <c r="AF599" s="25">
        <f>YEAR(Tabela1[[#This Row],[Criado em]])</f>
        <v>2026</v>
      </c>
      <c r="AG599" s="25">
        <f>COUNTIFS(Tabela1[Mês],Tabela1[[#This Row],[Mês]])</f>
        <v>222</v>
      </c>
      <c r="AH599" s="25">
        <f>COUNTIFS(Tabela1[Mês],Tabela1[[#This Row],[Mês]],Tabela1[Fase atual],"Recebido")</f>
        <v>174</v>
      </c>
      <c r="AI599" s="26">
        <f>Tabela1[[#This Row],[Recebido_ Mes]]/Tabela1[[#This Row],[Total_Mes]]</f>
        <v>0.78378378378378377</v>
      </c>
      <c r="AJ599" s="19">
        <f>COUNTIFS(Tabela1[Fase atual],"Recebido",Tabela1[Mês],Tabela1[[#This Row],[Mês]],Tabela1[Ano],Tabela1[[#This Row],[Ano]])/COUNTIF(Tabela1[Mês],Tabela1[[#This Row],[Mês]])</f>
        <v>0.78378378378378377</v>
      </c>
      <c r="AK599" s="20">
        <f>100%</f>
        <v>1</v>
      </c>
    </row>
    <row r="600" spans="1:37" ht="18" customHeight="1" x14ac:dyDescent="0.25">
      <c r="A600">
        <v>1257102276</v>
      </c>
      <c r="B600" t="s">
        <v>1297</v>
      </c>
      <c r="C600" t="s">
        <v>2220</v>
      </c>
      <c r="D600" t="s">
        <v>202</v>
      </c>
      <c r="E600" t="s">
        <v>31</v>
      </c>
      <c r="F600" s="2">
        <v>45980.795320844903</v>
      </c>
      <c r="AC600" s="24">
        <f t="shared" ca="1" si="19"/>
        <v>153.20467915509653</v>
      </c>
      <c r="AD600" s="25" t="str">
        <f t="shared" ca="1" si="20"/>
        <v>&gt;60 dias</v>
      </c>
      <c r="AE600" s="25">
        <f>MONTH(Tabela1[[#This Row],[Criado em]])</f>
        <v>11</v>
      </c>
      <c r="AF600" s="25">
        <f>YEAR(Tabela1[[#This Row],[Criado em]])</f>
        <v>2025</v>
      </c>
      <c r="AG600" s="25">
        <f>COUNTIFS(Tabela1[Mês],Tabela1[[#This Row],[Mês]])</f>
        <v>130</v>
      </c>
      <c r="AH600" s="25">
        <f>COUNTIFS(Tabela1[Mês],Tabela1[[#This Row],[Mês]],Tabela1[Fase atual],"Recebido")</f>
        <v>100</v>
      </c>
      <c r="AI600" s="26">
        <f>Tabela1[[#This Row],[Recebido_ Mes]]/Tabela1[[#This Row],[Total_Mes]]</f>
        <v>0.76923076923076927</v>
      </c>
      <c r="AJ600" s="19">
        <f>COUNTIFS(Tabela1[Fase atual],"Recebido",Tabela1[Mês],Tabela1[[#This Row],[Mês]],Tabela1[Ano],Tabela1[[#This Row],[Ano]])/COUNTIF(Tabela1[Mês],Tabela1[[#This Row],[Mês]])</f>
        <v>0.76923076923076927</v>
      </c>
      <c r="AK600" s="20">
        <f>100%</f>
        <v>1</v>
      </c>
    </row>
    <row r="601" spans="1:37" ht="18" customHeight="1" x14ac:dyDescent="0.25">
      <c r="A601">
        <v>1258801819</v>
      </c>
      <c r="B601" t="s">
        <v>1298</v>
      </c>
      <c r="C601" t="s">
        <v>1299</v>
      </c>
      <c r="D601" t="s">
        <v>37</v>
      </c>
      <c r="E601" t="s">
        <v>31</v>
      </c>
      <c r="F601" s="2">
        <v>45985.737472974542</v>
      </c>
      <c r="AC601" s="24">
        <f t="shared" ca="1" si="19"/>
        <v>148.26252702545753</v>
      </c>
      <c r="AD601" s="25" t="str">
        <f t="shared" ca="1" si="20"/>
        <v>&gt;60 dias</v>
      </c>
      <c r="AE601" s="25">
        <f>MONTH(Tabela1[[#This Row],[Criado em]])</f>
        <v>11</v>
      </c>
      <c r="AF601" s="25">
        <f>YEAR(Tabela1[[#This Row],[Criado em]])</f>
        <v>2025</v>
      </c>
      <c r="AG601" s="25">
        <f>COUNTIFS(Tabela1[Mês],Tabela1[[#This Row],[Mês]])</f>
        <v>130</v>
      </c>
      <c r="AH601" s="25">
        <f>COUNTIFS(Tabela1[Mês],Tabela1[[#This Row],[Mês]],Tabela1[Fase atual],"Recebido")</f>
        <v>100</v>
      </c>
      <c r="AI601" s="26">
        <f>Tabela1[[#This Row],[Recebido_ Mes]]/Tabela1[[#This Row],[Total_Mes]]</f>
        <v>0.76923076923076927</v>
      </c>
      <c r="AJ601" s="19">
        <f>COUNTIFS(Tabela1[Fase atual],"Recebido",Tabela1[Mês],Tabela1[[#This Row],[Mês]],Tabela1[Ano],Tabela1[[#This Row],[Ano]])/COUNTIF(Tabela1[Mês],Tabela1[[#This Row],[Mês]])</f>
        <v>0.76923076923076927</v>
      </c>
      <c r="AK601" s="20">
        <f>100%</f>
        <v>1</v>
      </c>
    </row>
    <row r="602" spans="1:37" ht="18" customHeight="1" x14ac:dyDescent="0.25">
      <c r="A602">
        <v>1258055122</v>
      </c>
      <c r="B602" t="s">
        <v>1300</v>
      </c>
      <c r="C602" t="s">
        <v>1301</v>
      </c>
      <c r="D602" t="s">
        <v>37</v>
      </c>
      <c r="E602" t="s">
        <v>31</v>
      </c>
      <c r="F602" s="2">
        <v>45982.921123067128</v>
      </c>
      <c r="AC602" s="24">
        <f t="shared" ca="1" si="19"/>
        <v>151.07887693287194</v>
      </c>
      <c r="AD602" s="25" t="str">
        <f t="shared" ca="1" si="20"/>
        <v>&gt;60 dias</v>
      </c>
      <c r="AE602" s="25">
        <f>MONTH(Tabela1[[#This Row],[Criado em]])</f>
        <v>11</v>
      </c>
      <c r="AF602" s="25">
        <f>YEAR(Tabela1[[#This Row],[Criado em]])</f>
        <v>2025</v>
      </c>
      <c r="AG602" s="25">
        <f>COUNTIFS(Tabela1[Mês],Tabela1[[#This Row],[Mês]])</f>
        <v>130</v>
      </c>
      <c r="AH602" s="25">
        <f>COUNTIFS(Tabela1[Mês],Tabela1[[#This Row],[Mês]],Tabela1[Fase atual],"Recebido")</f>
        <v>100</v>
      </c>
      <c r="AI602" s="26">
        <f>Tabela1[[#This Row],[Recebido_ Mes]]/Tabela1[[#This Row],[Total_Mes]]</f>
        <v>0.76923076923076927</v>
      </c>
      <c r="AJ602" s="19">
        <f>COUNTIFS(Tabela1[Fase atual],"Recebido",Tabela1[Mês],Tabela1[[#This Row],[Mês]],Tabela1[Ano],Tabela1[[#This Row],[Ano]])/COUNTIF(Tabela1[Mês],Tabela1[[#This Row],[Mês]])</f>
        <v>0.76923076923076927</v>
      </c>
      <c r="AK602" s="20">
        <f>100%</f>
        <v>1</v>
      </c>
    </row>
    <row r="603" spans="1:37" ht="18" customHeight="1" x14ac:dyDescent="0.25">
      <c r="A603">
        <v>1305499081</v>
      </c>
      <c r="B603" t="s">
        <v>2221</v>
      </c>
      <c r="C603" t="s">
        <v>2222</v>
      </c>
      <c r="D603" t="s">
        <v>2179</v>
      </c>
      <c r="E603" t="s">
        <v>31</v>
      </c>
      <c r="F603" s="2">
        <v>46080.794624282411</v>
      </c>
      <c r="AC603" s="24">
        <f t="shared" ca="1" si="19"/>
        <v>53.20537571758905</v>
      </c>
      <c r="AD603" s="25" t="str">
        <f t="shared" ca="1" si="20"/>
        <v>31-60 dias</v>
      </c>
      <c r="AE603" s="25">
        <f>MONTH(Tabela1[[#This Row],[Criado em]])</f>
        <v>2</v>
      </c>
      <c r="AF603" s="25">
        <f>YEAR(Tabela1[[#This Row],[Criado em]])</f>
        <v>2026</v>
      </c>
      <c r="AG603" s="25">
        <f>COUNTIFS(Tabela1[Mês],Tabela1[[#This Row],[Mês]])</f>
        <v>197</v>
      </c>
      <c r="AH603" s="25">
        <f>COUNTIFS(Tabela1[Mês],Tabela1[[#This Row],[Mês]],Tabela1[Fase atual],"Recebido")</f>
        <v>124</v>
      </c>
      <c r="AI603" s="26">
        <f>Tabela1[[#This Row],[Recebido_ Mes]]/Tabela1[[#This Row],[Total_Mes]]</f>
        <v>0.62944162436548223</v>
      </c>
      <c r="AJ603" s="19">
        <f>COUNTIFS(Tabela1[Fase atual],"Recebido",Tabela1[Mês],Tabela1[[#This Row],[Mês]],Tabela1[Ano],Tabela1[[#This Row],[Ano]])/COUNTIF(Tabela1[Mês],Tabela1[[#This Row],[Mês]])</f>
        <v>0.62944162436548223</v>
      </c>
      <c r="AK603" s="20">
        <f>100%</f>
        <v>1</v>
      </c>
    </row>
    <row r="604" spans="1:37" ht="18" customHeight="1" x14ac:dyDescent="0.25">
      <c r="A604">
        <v>1294278589</v>
      </c>
      <c r="B604" t="s">
        <v>284</v>
      </c>
      <c r="C604" t="s">
        <v>285</v>
      </c>
      <c r="D604" t="s">
        <v>40</v>
      </c>
      <c r="E604" t="s">
        <v>31</v>
      </c>
      <c r="F604" s="2">
        <v>46059.566593958327</v>
      </c>
      <c r="AC604" s="24">
        <f t="shared" ca="1" si="19"/>
        <v>74.433406041673152</v>
      </c>
      <c r="AD604" s="25" t="str">
        <f t="shared" ca="1" si="20"/>
        <v>&gt;60 dias</v>
      </c>
      <c r="AE604" s="25">
        <f>MONTH(Tabela1[[#This Row],[Criado em]])</f>
        <v>2</v>
      </c>
      <c r="AF604" s="25">
        <f>YEAR(Tabela1[[#This Row],[Criado em]])</f>
        <v>2026</v>
      </c>
      <c r="AG604" s="25">
        <f>COUNTIFS(Tabela1[Mês],Tabela1[[#This Row],[Mês]])</f>
        <v>197</v>
      </c>
      <c r="AH604" s="25">
        <f>COUNTIFS(Tabela1[Mês],Tabela1[[#This Row],[Mês]],Tabela1[Fase atual],"Recebido")</f>
        <v>124</v>
      </c>
      <c r="AI604" s="26">
        <f>Tabela1[[#This Row],[Recebido_ Mes]]/Tabela1[[#This Row],[Total_Mes]]</f>
        <v>0.62944162436548223</v>
      </c>
      <c r="AJ604" s="19">
        <f>COUNTIFS(Tabela1[Fase atual],"Recebido",Tabela1[Mês],Tabela1[[#This Row],[Mês]],Tabela1[Ano],Tabela1[[#This Row],[Ano]])/COUNTIF(Tabela1[Mês],Tabela1[[#This Row],[Mês]])</f>
        <v>0.62944162436548223</v>
      </c>
      <c r="AK604" s="20">
        <f>100%</f>
        <v>1</v>
      </c>
    </row>
    <row r="605" spans="1:37" ht="18" customHeight="1" x14ac:dyDescent="0.25">
      <c r="A605">
        <v>1223632666</v>
      </c>
      <c r="B605" t="s">
        <v>1302</v>
      </c>
      <c r="C605" t="s">
        <v>1303</v>
      </c>
      <c r="D605" t="s">
        <v>37</v>
      </c>
      <c r="E605" t="s">
        <v>31</v>
      </c>
      <c r="F605" s="2">
        <v>45929.598287013891</v>
      </c>
      <c r="AC605" s="24">
        <f t="shared" ca="1" si="19"/>
        <v>204.40171298610949</v>
      </c>
      <c r="AD605" s="25" t="str">
        <f t="shared" ca="1" si="20"/>
        <v>&gt;60 dias</v>
      </c>
      <c r="AE605" s="25">
        <f>MONTH(Tabela1[[#This Row],[Criado em]])</f>
        <v>9</v>
      </c>
      <c r="AF605" s="25">
        <f>YEAR(Tabela1[[#This Row],[Criado em]])</f>
        <v>2025</v>
      </c>
      <c r="AG605" s="25">
        <f>COUNTIFS(Tabela1[Mês],Tabela1[[#This Row],[Mês]])</f>
        <v>197</v>
      </c>
      <c r="AH605" s="25">
        <f>COUNTIFS(Tabela1[Mês],Tabela1[[#This Row],[Mês]],Tabela1[Fase atual],"Recebido")</f>
        <v>152</v>
      </c>
      <c r="AI605" s="26">
        <f>Tabela1[[#This Row],[Recebido_ Mes]]/Tabela1[[#This Row],[Total_Mes]]</f>
        <v>0.77157360406091369</v>
      </c>
      <c r="AJ605" s="19">
        <f>COUNTIFS(Tabela1[Fase atual],"Recebido",Tabela1[Mês],Tabela1[[#This Row],[Mês]],Tabela1[Ano],Tabela1[[#This Row],[Ano]])/COUNTIF(Tabela1[Mês],Tabela1[[#This Row],[Mês]])</f>
        <v>0.77157360406091369</v>
      </c>
      <c r="AK605" s="20">
        <f>100%</f>
        <v>1</v>
      </c>
    </row>
    <row r="606" spans="1:37" ht="18" customHeight="1" x14ac:dyDescent="0.25">
      <c r="A606">
        <v>1249752290</v>
      </c>
      <c r="B606" t="s">
        <v>1304</v>
      </c>
      <c r="C606" t="s">
        <v>1305</v>
      </c>
      <c r="D606" t="s">
        <v>37</v>
      </c>
      <c r="E606" t="s">
        <v>31</v>
      </c>
      <c r="F606" s="2">
        <v>45965.79370336805</v>
      </c>
      <c r="AC606" s="24">
        <f t="shared" ca="1" si="19"/>
        <v>168.20629663194995</v>
      </c>
      <c r="AD606" s="25" t="str">
        <f t="shared" ca="1" si="20"/>
        <v>&gt;60 dias</v>
      </c>
      <c r="AE606" s="25">
        <f>MONTH(Tabela1[[#This Row],[Criado em]])</f>
        <v>11</v>
      </c>
      <c r="AF606" s="25">
        <f>YEAR(Tabela1[[#This Row],[Criado em]])</f>
        <v>2025</v>
      </c>
      <c r="AG606" s="25">
        <f>COUNTIFS(Tabela1[Mês],Tabela1[[#This Row],[Mês]])</f>
        <v>130</v>
      </c>
      <c r="AH606" s="25">
        <f>COUNTIFS(Tabela1[Mês],Tabela1[[#This Row],[Mês]],Tabela1[Fase atual],"Recebido")</f>
        <v>100</v>
      </c>
      <c r="AI606" s="26">
        <f>Tabela1[[#This Row],[Recebido_ Mes]]/Tabela1[[#This Row],[Total_Mes]]</f>
        <v>0.76923076923076927</v>
      </c>
      <c r="AJ606" s="19">
        <f>COUNTIFS(Tabela1[Fase atual],"Recebido",Tabela1[Mês],Tabela1[[#This Row],[Mês]],Tabela1[Ano],Tabela1[[#This Row],[Ano]])/COUNTIF(Tabela1[Mês],Tabela1[[#This Row],[Mês]])</f>
        <v>0.76923076923076927</v>
      </c>
      <c r="AK606" s="20">
        <f>100%</f>
        <v>1</v>
      </c>
    </row>
    <row r="607" spans="1:37" ht="18" customHeight="1" x14ac:dyDescent="0.25">
      <c r="A607">
        <v>1305653148</v>
      </c>
      <c r="B607" t="s">
        <v>2223</v>
      </c>
      <c r="C607" t="s">
        <v>2224</v>
      </c>
      <c r="D607" t="s">
        <v>2179</v>
      </c>
      <c r="E607" t="s">
        <v>31</v>
      </c>
      <c r="F607" s="2">
        <v>46080.918422499999</v>
      </c>
      <c r="AC607" s="24">
        <f t="shared" ca="1" si="19"/>
        <v>53.081577500001004</v>
      </c>
      <c r="AD607" s="25" t="str">
        <f t="shared" ca="1" si="20"/>
        <v>31-60 dias</v>
      </c>
      <c r="AE607" s="25">
        <f>MONTH(Tabela1[[#This Row],[Criado em]])</f>
        <v>2</v>
      </c>
      <c r="AF607" s="25">
        <f>YEAR(Tabela1[[#This Row],[Criado em]])</f>
        <v>2026</v>
      </c>
      <c r="AG607" s="25">
        <f>COUNTIFS(Tabela1[Mês],Tabela1[[#This Row],[Mês]])</f>
        <v>197</v>
      </c>
      <c r="AH607" s="25">
        <f>COUNTIFS(Tabela1[Mês],Tabela1[[#This Row],[Mês]],Tabela1[Fase atual],"Recebido")</f>
        <v>124</v>
      </c>
      <c r="AI607" s="26">
        <f>Tabela1[[#This Row],[Recebido_ Mes]]/Tabela1[[#This Row],[Total_Mes]]</f>
        <v>0.62944162436548223</v>
      </c>
      <c r="AJ607" s="19">
        <f>COUNTIFS(Tabela1[Fase atual],"Recebido",Tabela1[Mês],Tabela1[[#This Row],[Mês]],Tabela1[Ano],Tabela1[[#This Row],[Ano]])/COUNTIF(Tabela1[Mês],Tabela1[[#This Row],[Mês]])</f>
        <v>0.62944162436548223</v>
      </c>
      <c r="AK607" s="20">
        <f>100%</f>
        <v>1</v>
      </c>
    </row>
    <row r="608" spans="1:37" ht="18" customHeight="1" x14ac:dyDescent="0.25">
      <c r="A608">
        <v>1300569743</v>
      </c>
      <c r="B608" t="s">
        <v>286</v>
      </c>
      <c r="C608" t="s">
        <v>287</v>
      </c>
      <c r="D608" t="s">
        <v>37</v>
      </c>
      <c r="E608" t="s">
        <v>31</v>
      </c>
      <c r="F608" s="2">
        <v>46073.919953599543</v>
      </c>
      <c r="AC608" s="24">
        <f t="shared" ca="1" si="19"/>
        <v>60.080046400456922</v>
      </c>
      <c r="AD608" s="25" t="str">
        <f t="shared" ca="1" si="20"/>
        <v>&gt;60 dias</v>
      </c>
      <c r="AE608" s="25">
        <f>MONTH(Tabela1[[#This Row],[Criado em]])</f>
        <v>2</v>
      </c>
      <c r="AF608" s="25">
        <f>YEAR(Tabela1[[#This Row],[Criado em]])</f>
        <v>2026</v>
      </c>
      <c r="AG608" s="25">
        <f>COUNTIFS(Tabela1[Mês],Tabela1[[#This Row],[Mês]])</f>
        <v>197</v>
      </c>
      <c r="AH608" s="25">
        <f>COUNTIFS(Tabela1[Mês],Tabela1[[#This Row],[Mês]],Tabela1[Fase atual],"Recebido")</f>
        <v>124</v>
      </c>
      <c r="AI608" s="26">
        <f>Tabela1[[#This Row],[Recebido_ Mes]]/Tabela1[[#This Row],[Total_Mes]]</f>
        <v>0.62944162436548223</v>
      </c>
      <c r="AJ608" s="19">
        <f>COUNTIFS(Tabela1[Fase atual],"Recebido",Tabela1[Mês],Tabela1[[#This Row],[Mês]],Tabela1[Ano],Tabela1[[#This Row],[Ano]])/COUNTIF(Tabela1[Mês],Tabela1[[#This Row],[Mês]])</f>
        <v>0.62944162436548223</v>
      </c>
      <c r="AK608" s="20">
        <f>100%</f>
        <v>1</v>
      </c>
    </row>
    <row r="609" spans="1:37" ht="18" customHeight="1" x14ac:dyDescent="0.25">
      <c r="A609">
        <v>1242231831</v>
      </c>
      <c r="B609" t="s">
        <v>730</v>
      </c>
      <c r="C609" t="s">
        <v>1306</v>
      </c>
      <c r="D609" t="s">
        <v>40</v>
      </c>
      <c r="E609" t="s">
        <v>31</v>
      </c>
      <c r="F609" s="2">
        <v>45953.602460277783</v>
      </c>
      <c r="AC609" s="24">
        <f t="shared" ca="1" si="19"/>
        <v>180.39753972221661</v>
      </c>
      <c r="AD609" s="25" t="str">
        <f t="shared" ca="1" si="20"/>
        <v>&gt;60 dias</v>
      </c>
      <c r="AE609" s="25">
        <f>MONTH(Tabela1[[#This Row],[Criado em]])</f>
        <v>10</v>
      </c>
      <c r="AF609" s="25">
        <f>YEAR(Tabela1[[#This Row],[Criado em]])</f>
        <v>2025</v>
      </c>
      <c r="AG609" s="25">
        <f>COUNTIFS(Tabela1[Mês],Tabela1[[#This Row],[Mês]])</f>
        <v>196</v>
      </c>
      <c r="AH609" s="25">
        <f>COUNTIFS(Tabela1[Mês],Tabela1[[#This Row],[Mês]],Tabela1[Fase atual],"Recebido")</f>
        <v>138</v>
      </c>
      <c r="AI609" s="26">
        <f>Tabela1[[#This Row],[Recebido_ Mes]]/Tabela1[[#This Row],[Total_Mes]]</f>
        <v>0.70408163265306123</v>
      </c>
      <c r="AJ609" s="19">
        <f>COUNTIFS(Tabela1[Fase atual],"Recebido",Tabela1[Mês],Tabela1[[#This Row],[Mês]],Tabela1[Ano],Tabela1[[#This Row],[Ano]])/COUNTIF(Tabela1[Mês],Tabela1[[#This Row],[Mês]])</f>
        <v>0.70408163265306123</v>
      </c>
      <c r="AK609" s="20">
        <f>100%</f>
        <v>1</v>
      </c>
    </row>
    <row r="610" spans="1:37" ht="18" customHeight="1" x14ac:dyDescent="0.25">
      <c r="A610">
        <v>1186003581</v>
      </c>
      <c r="B610" t="s">
        <v>1307</v>
      </c>
      <c r="C610" t="s">
        <v>1308</v>
      </c>
      <c r="D610" t="s">
        <v>784</v>
      </c>
      <c r="E610" t="s">
        <v>31</v>
      </c>
      <c r="F610" s="2">
        <v>45868.849642962959</v>
      </c>
      <c r="AC610" s="24">
        <f t="shared" ca="1" si="19"/>
        <v>265.15035703704052</v>
      </c>
      <c r="AD610" s="25" t="str">
        <f t="shared" ca="1" si="20"/>
        <v>&gt;60 dias</v>
      </c>
      <c r="AE610" s="25">
        <f>MONTH(Tabela1[[#This Row],[Criado em]])</f>
        <v>7</v>
      </c>
      <c r="AF610" s="25">
        <f>YEAR(Tabela1[[#This Row],[Criado em]])</f>
        <v>2025</v>
      </c>
      <c r="AG610" s="25">
        <f>COUNTIFS(Tabela1[Mês],Tabela1[[#This Row],[Mês]])</f>
        <v>177</v>
      </c>
      <c r="AH610" s="25">
        <f>COUNTIFS(Tabela1[Mês],Tabela1[[#This Row],[Mês]],Tabela1[Fase atual],"Recebido")</f>
        <v>130</v>
      </c>
      <c r="AI610" s="26">
        <f>Tabela1[[#This Row],[Recebido_ Mes]]/Tabela1[[#This Row],[Total_Mes]]</f>
        <v>0.7344632768361582</v>
      </c>
      <c r="AJ610" s="19">
        <f>COUNTIFS(Tabela1[Fase atual],"Recebido",Tabela1[Mês],Tabela1[[#This Row],[Mês]],Tabela1[Ano],Tabela1[[#This Row],[Ano]])/COUNTIF(Tabela1[Mês],Tabela1[[#This Row],[Mês]])</f>
        <v>0.7344632768361582</v>
      </c>
      <c r="AK610" s="20">
        <f>100%</f>
        <v>1</v>
      </c>
    </row>
    <row r="611" spans="1:37" ht="18" customHeight="1" x14ac:dyDescent="0.25">
      <c r="A611">
        <v>1299908375</v>
      </c>
      <c r="B611" t="s">
        <v>288</v>
      </c>
      <c r="C611" t="s">
        <v>289</v>
      </c>
      <c r="D611" t="s">
        <v>40</v>
      </c>
      <c r="E611" t="s">
        <v>31</v>
      </c>
      <c r="F611" s="2">
        <v>46072.919931041673</v>
      </c>
      <c r="AC611" s="24">
        <f t="shared" ca="1" si="19"/>
        <v>61.080068958326592</v>
      </c>
      <c r="AD611" s="25" t="str">
        <f t="shared" ca="1" si="20"/>
        <v>&gt;60 dias</v>
      </c>
      <c r="AE611" s="25">
        <f>MONTH(Tabela1[[#This Row],[Criado em]])</f>
        <v>2</v>
      </c>
      <c r="AF611" s="25">
        <f>YEAR(Tabela1[[#This Row],[Criado em]])</f>
        <v>2026</v>
      </c>
      <c r="AG611" s="25">
        <f>COUNTIFS(Tabela1[Mês],Tabela1[[#This Row],[Mês]])</f>
        <v>197</v>
      </c>
      <c r="AH611" s="25">
        <f>COUNTIFS(Tabela1[Mês],Tabela1[[#This Row],[Mês]],Tabela1[Fase atual],"Recebido")</f>
        <v>124</v>
      </c>
      <c r="AI611" s="26">
        <f>Tabela1[[#This Row],[Recebido_ Mes]]/Tabela1[[#This Row],[Total_Mes]]</f>
        <v>0.62944162436548223</v>
      </c>
      <c r="AJ611" s="19">
        <f>COUNTIFS(Tabela1[Fase atual],"Recebido",Tabela1[Mês],Tabela1[[#This Row],[Mês]],Tabela1[Ano],Tabela1[[#This Row],[Ano]])/COUNTIF(Tabela1[Mês],Tabela1[[#This Row],[Mês]])</f>
        <v>0.62944162436548223</v>
      </c>
      <c r="AK611" s="20">
        <f>100%</f>
        <v>1</v>
      </c>
    </row>
    <row r="612" spans="1:37" ht="18" customHeight="1" x14ac:dyDescent="0.25">
      <c r="A612">
        <v>1204766487</v>
      </c>
      <c r="B612" t="s">
        <v>1309</v>
      </c>
      <c r="C612" t="s">
        <v>1310</v>
      </c>
      <c r="D612" t="s">
        <v>37</v>
      </c>
      <c r="E612" t="s">
        <v>31</v>
      </c>
      <c r="F612" s="2">
        <v>45898.851087129631</v>
      </c>
      <c r="AC612" s="24">
        <f t="shared" ca="1" si="19"/>
        <v>235.1489128703688</v>
      </c>
      <c r="AD612" s="25" t="str">
        <f t="shared" ca="1" si="20"/>
        <v>&gt;60 dias</v>
      </c>
      <c r="AE612" s="25">
        <f>MONTH(Tabela1[[#This Row],[Criado em]])</f>
        <v>8</v>
      </c>
      <c r="AF612" s="25">
        <f>YEAR(Tabela1[[#This Row],[Criado em]])</f>
        <v>2025</v>
      </c>
      <c r="AG612" s="25">
        <f>COUNTIFS(Tabela1[Mês],Tabela1[[#This Row],[Mês]])</f>
        <v>146</v>
      </c>
      <c r="AH612" s="25">
        <f>COUNTIFS(Tabela1[Mês],Tabela1[[#This Row],[Mês]],Tabela1[Fase atual],"Recebido")</f>
        <v>115</v>
      </c>
      <c r="AI612" s="26">
        <f>Tabela1[[#This Row],[Recebido_ Mes]]/Tabela1[[#This Row],[Total_Mes]]</f>
        <v>0.78767123287671237</v>
      </c>
      <c r="AJ612" s="19">
        <f>COUNTIFS(Tabela1[Fase atual],"Recebido",Tabela1[Mês],Tabela1[[#This Row],[Mês]],Tabela1[Ano],Tabela1[[#This Row],[Ano]])/COUNTIF(Tabela1[Mês],Tabela1[[#This Row],[Mês]])</f>
        <v>0.78767123287671237</v>
      </c>
      <c r="AK612" s="20">
        <f>100%</f>
        <v>1</v>
      </c>
    </row>
    <row r="613" spans="1:37" ht="18" customHeight="1" x14ac:dyDescent="0.25">
      <c r="A613">
        <v>1242499091</v>
      </c>
      <c r="B613" t="s">
        <v>1311</v>
      </c>
      <c r="C613" t="s">
        <v>1312</v>
      </c>
      <c r="D613" t="s">
        <v>40</v>
      </c>
      <c r="E613" t="s">
        <v>31</v>
      </c>
      <c r="F613" s="2">
        <v>45953.794978796301</v>
      </c>
      <c r="AC613" s="24">
        <f t="shared" ca="1" si="19"/>
        <v>180.20502120369929</v>
      </c>
      <c r="AD613" s="25" t="str">
        <f t="shared" ca="1" si="20"/>
        <v>&gt;60 dias</v>
      </c>
      <c r="AE613" s="25">
        <f>MONTH(Tabela1[[#This Row],[Criado em]])</f>
        <v>10</v>
      </c>
      <c r="AF613" s="25">
        <f>YEAR(Tabela1[[#This Row],[Criado em]])</f>
        <v>2025</v>
      </c>
      <c r="AG613" s="25">
        <f>COUNTIFS(Tabela1[Mês],Tabela1[[#This Row],[Mês]])</f>
        <v>196</v>
      </c>
      <c r="AH613" s="25">
        <f>COUNTIFS(Tabela1[Mês],Tabela1[[#This Row],[Mês]],Tabela1[Fase atual],"Recebido")</f>
        <v>138</v>
      </c>
      <c r="AI613" s="26">
        <f>Tabela1[[#This Row],[Recebido_ Mes]]/Tabela1[[#This Row],[Total_Mes]]</f>
        <v>0.70408163265306123</v>
      </c>
      <c r="AJ613" s="19">
        <f>COUNTIFS(Tabela1[Fase atual],"Recebido",Tabela1[Mês],Tabela1[[#This Row],[Mês]],Tabela1[Ano],Tabela1[[#This Row],[Ano]])/COUNTIF(Tabela1[Mês],Tabela1[[#This Row],[Mês]])</f>
        <v>0.70408163265306123</v>
      </c>
      <c r="AK613" s="20">
        <f>100%</f>
        <v>1</v>
      </c>
    </row>
    <row r="614" spans="1:37" ht="18" customHeight="1" x14ac:dyDescent="0.25">
      <c r="A614">
        <v>1219402601</v>
      </c>
      <c r="B614" t="s">
        <v>1311</v>
      </c>
      <c r="C614" t="s">
        <v>1312</v>
      </c>
      <c r="D614" t="s">
        <v>40</v>
      </c>
      <c r="E614" t="s">
        <v>31</v>
      </c>
      <c r="F614" s="2">
        <v>45922.851804386577</v>
      </c>
      <c r="AC614" s="24">
        <f t="shared" ca="1" si="19"/>
        <v>211.14819561342301</v>
      </c>
      <c r="AD614" s="25" t="str">
        <f t="shared" ca="1" si="20"/>
        <v>&gt;60 dias</v>
      </c>
      <c r="AE614" s="25">
        <f>MONTH(Tabela1[[#This Row],[Criado em]])</f>
        <v>9</v>
      </c>
      <c r="AF614" s="25">
        <f>YEAR(Tabela1[[#This Row],[Criado em]])</f>
        <v>2025</v>
      </c>
      <c r="AG614" s="25">
        <f>COUNTIFS(Tabela1[Mês],Tabela1[[#This Row],[Mês]])</f>
        <v>197</v>
      </c>
      <c r="AH614" s="25">
        <f>COUNTIFS(Tabela1[Mês],Tabela1[[#This Row],[Mês]],Tabela1[Fase atual],"Recebido")</f>
        <v>152</v>
      </c>
      <c r="AI614" s="26">
        <f>Tabela1[[#This Row],[Recebido_ Mes]]/Tabela1[[#This Row],[Total_Mes]]</f>
        <v>0.77157360406091369</v>
      </c>
      <c r="AJ614" s="19">
        <f>COUNTIFS(Tabela1[Fase atual],"Recebido",Tabela1[Mês],Tabela1[[#This Row],[Mês]],Tabela1[Ano],Tabela1[[#This Row],[Ano]])/COUNTIF(Tabela1[Mês],Tabela1[[#This Row],[Mês]])</f>
        <v>0.77157360406091369</v>
      </c>
      <c r="AK614" s="20">
        <f>100%</f>
        <v>1</v>
      </c>
    </row>
    <row r="615" spans="1:37" ht="18" customHeight="1" x14ac:dyDescent="0.25">
      <c r="A615">
        <v>1301742519</v>
      </c>
      <c r="B615" t="s">
        <v>290</v>
      </c>
      <c r="C615" t="s">
        <v>291</v>
      </c>
      <c r="D615" t="s">
        <v>37</v>
      </c>
      <c r="E615" t="s">
        <v>31</v>
      </c>
      <c r="F615" s="2">
        <v>46076.794373842597</v>
      </c>
      <c r="AC615" s="24">
        <f t="shared" ca="1" si="19"/>
        <v>57.205626157403458</v>
      </c>
      <c r="AD615" s="25" t="str">
        <f t="shared" ca="1" si="20"/>
        <v>31-60 dias</v>
      </c>
      <c r="AE615" s="25">
        <f>MONTH(Tabela1[[#This Row],[Criado em]])</f>
        <v>2</v>
      </c>
      <c r="AF615" s="25">
        <f>YEAR(Tabela1[[#This Row],[Criado em]])</f>
        <v>2026</v>
      </c>
      <c r="AG615" s="25">
        <f>COUNTIFS(Tabela1[Mês],Tabela1[[#This Row],[Mês]])</f>
        <v>197</v>
      </c>
      <c r="AH615" s="25">
        <f>COUNTIFS(Tabela1[Mês],Tabela1[[#This Row],[Mês]],Tabela1[Fase atual],"Recebido")</f>
        <v>124</v>
      </c>
      <c r="AI615" s="26">
        <f>Tabela1[[#This Row],[Recebido_ Mes]]/Tabela1[[#This Row],[Total_Mes]]</f>
        <v>0.62944162436548223</v>
      </c>
      <c r="AJ615" s="19">
        <f>COUNTIFS(Tabela1[Fase atual],"Recebido",Tabela1[Mês],Tabela1[[#This Row],[Mês]],Tabela1[Ano],Tabela1[[#This Row],[Ano]])/COUNTIF(Tabela1[Mês],Tabela1[[#This Row],[Mês]])</f>
        <v>0.62944162436548223</v>
      </c>
      <c r="AK615" s="20">
        <f>100%</f>
        <v>1</v>
      </c>
    </row>
    <row r="616" spans="1:37" ht="18" customHeight="1" x14ac:dyDescent="0.25">
      <c r="A616">
        <v>1295882724</v>
      </c>
      <c r="B616" t="s">
        <v>292</v>
      </c>
      <c r="C616" t="s">
        <v>293</v>
      </c>
      <c r="D616" t="s">
        <v>40</v>
      </c>
      <c r="E616" t="s">
        <v>31</v>
      </c>
      <c r="F616" s="2">
        <v>46063.718604178241</v>
      </c>
      <c r="AC616" s="24">
        <f t="shared" ca="1" si="19"/>
        <v>70.281395821759361</v>
      </c>
      <c r="AD616" s="25" t="str">
        <f t="shared" ca="1" si="20"/>
        <v>&gt;60 dias</v>
      </c>
      <c r="AE616" s="25">
        <f>MONTH(Tabela1[[#This Row],[Criado em]])</f>
        <v>2</v>
      </c>
      <c r="AF616" s="25">
        <f>YEAR(Tabela1[[#This Row],[Criado em]])</f>
        <v>2026</v>
      </c>
      <c r="AG616" s="25">
        <f>COUNTIFS(Tabela1[Mês],Tabela1[[#This Row],[Mês]])</f>
        <v>197</v>
      </c>
      <c r="AH616" s="25">
        <f>COUNTIFS(Tabela1[Mês],Tabela1[[#This Row],[Mês]],Tabela1[Fase atual],"Recebido")</f>
        <v>124</v>
      </c>
      <c r="AI616" s="26">
        <f>Tabela1[[#This Row],[Recebido_ Mes]]/Tabela1[[#This Row],[Total_Mes]]</f>
        <v>0.62944162436548223</v>
      </c>
      <c r="AJ616" s="19">
        <f>COUNTIFS(Tabela1[Fase atual],"Recebido",Tabela1[Mês],Tabela1[[#This Row],[Mês]],Tabela1[Ano],Tabela1[[#This Row],[Ano]])/COUNTIF(Tabela1[Mês],Tabela1[[#This Row],[Mês]])</f>
        <v>0.62944162436548223</v>
      </c>
      <c r="AK616" s="20">
        <f>100%</f>
        <v>1</v>
      </c>
    </row>
    <row r="617" spans="1:37" ht="18" customHeight="1" x14ac:dyDescent="0.25">
      <c r="A617">
        <v>1193056654</v>
      </c>
      <c r="B617" t="s">
        <v>1313</v>
      </c>
      <c r="C617" t="s">
        <v>1314</v>
      </c>
      <c r="D617" t="s">
        <v>37</v>
      </c>
      <c r="E617" t="s">
        <v>31</v>
      </c>
      <c r="F617" s="2">
        <v>45880.642226145843</v>
      </c>
      <c r="AC617" s="24">
        <f t="shared" ca="1" si="19"/>
        <v>253.35777385415713</v>
      </c>
      <c r="AD617" s="25" t="str">
        <f t="shared" ca="1" si="20"/>
        <v>&gt;60 dias</v>
      </c>
      <c r="AE617" s="25">
        <f>MONTH(Tabela1[[#This Row],[Criado em]])</f>
        <v>8</v>
      </c>
      <c r="AF617" s="25">
        <f>YEAR(Tabela1[[#This Row],[Criado em]])</f>
        <v>2025</v>
      </c>
      <c r="AG617" s="25">
        <f>COUNTIFS(Tabela1[Mês],Tabela1[[#This Row],[Mês]])</f>
        <v>146</v>
      </c>
      <c r="AH617" s="25">
        <f>COUNTIFS(Tabela1[Mês],Tabela1[[#This Row],[Mês]],Tabela1[Fase atual],"Recebido")</f>
        <v>115</v>
      </c>
      <c r="AI617" s="26">
        <f>Tabela1[[#This Row],[Recebido_ Mes]]/Tabela1[[#This Row],[Total_Mes]]</f>
        <v>0.78767123287671237</v>
      </c>
      <c r="AJ617" s="19">
        <f>COUNTIFS(Tabela1[Fase atual],"Recebido",Tabela1[Mês],Tabela1[[#This Row],[Mês]],Tabela1[Ano],Tabela1[[#This Row],[Ano]])/COUNTIF(Tabela1[Mês],Tabela1[[#This Row],[Mês]])</f>
        <v>0.78767123287671237</v>
      </c>
      <c r="AK617" s="20">
        <f>100%</f>
        <v>1</v>
      </c>
    </row>
    <row r="618" spans="1:37" ht="18" customHeight="1" x14ac:dyDescent="0.25">
      <c r="A618">
        <v>1283849611</v>
      </c>
      <c r="B618" t="s">
        <v>294</v>
      </c>
      <c r="C618" t="s">
        <v>295</v>
      </c>
      <c r="D618" t="s">
        <v>37</v>
      </c>
      <c r="E618" t="s">
        <v>31</v>
      </c>
      <c r="F618" s="2">
        <v>46041.544887523152</v>
      </c>
      <c r="AC618" s="24">
        <f t="shared" ca="1" si="19"/>
        <v>92.455112476847717</v>
      </c>
      <c r="AD618" s="25" t="str">
        <f t="shared" ca="1" si="20"/>
        <v>&gt;60 dias</v>
      </c>
      <c r="AE618" s="25">
        <f>MONTH(Tabela1[[#This Row],[Criado em]])</f>
        <v>1</v>
      </c>
      <c r="AF618" s="25">
        <f>YEAR(Tabela1[[#This Row],[Criado em]])</f>
        <v>2026</v>
      </c>
      <c r="AG618" s="25">
        <f>COUNTIFS(Tabela1[Mês],Tabela1[[#This Row],[Mês]])</f>
        <v>222</v>
      </c>
      <c r="AH618" s="25">
        <f>COUNTIFS(Tabela1[Mês],Tabela1[[#This Row],[Mês]],Tabela1[Fase atual],"Recebido")</f>
        <v>174</v>
      </c>
      <c r="AI618" s="26">
        <f>Tabela1[[#This Row],[Recebido_ Mes]]/Tabela1[[#This Row],[Total_Mes]]</f>
        <v>0.78378378378378377</v>
      </c>
      <c r="AJ618" s="19">
        <f>COUNTIFS(Tabela1[Fase atual],"Recebido",Tabela1[Mês],Tabela1[[#This Row],[Mês]],Tabela1[Ano],Tabela1[[#This Row],[Ano]])/COUNTIF(Tabela1[Mês],Tabela1[[#This Row],[Mês]])</f>
        <v>0.78378378378378377</v>
      </c>
      <c r="AK618" s="20">
        <f>100%</f>
        <v>1</v>
      </c>
    </row>
    <row r="619" spans="1:37" ht="18" customHeight="1" x14ac:dyDescent="0.25">
      <c r="A619">
        <v>1260496300</v>
      </c>
      <c r="B619" t="s">
        <v>1315</v>
      </c>
      <c r="C619" t="s">
        <v>1316</v>
      </c>
      <c r="D619" t="s">
        <v>37</v>
      </c>
      <c r="E619" t="s">
        <v>31</v>
      </c>
      <c r="F619" s="2">
        <v>45988.796882164352</v>
      </c>
      <c r="AC619" s="24">
        <f t="shared" ca="1" si="19"/>
        <v>145.2031178356483</v>
      </c>
      <c r="AD619" s="25" t="str">
        <f t="shared" ca="1" si="20"/>
        <v>&gt;60 dias</v>
      </c>
      <c r="AE619" s="25">
        <f>MONTH(Tabela1[[#This Row],[Criado em]])</f>
        <v>11</v>
      </c>
      <c r="AF619" s="25">
        <f>YEAR(Tabela1[[#This Row],[Criado em]])</f>
        <v>2025</v>
      </c>
      <c r="AG619" s="25">
        <f>COUNTIFS(Tabela1[Mês],Tabela1[[#This Row],[Mês]])</f>
        <v>130</v>
      </c>
      <c r="AH619" s="25">
        <f>COUNTIFS(Tabela1[Mês],Tabela1[[#This Row],[Mês]],Tabela1[Fase atual],"Recebido")</f>
        <v>100</v>
      </c>
      <c r="AI619" s="26">
        <f>Tabela1[[#This Row],[Recebido_ Mes]]/Tabela1[[#This Row],[Total_Mes]]</f>
        <v>0.76923076923076927</v>
      </c>
      <c r="AJ619" s="19">
        <f>COUNTIFS(Tabela1[Fase atual],"Recebido",Tabela1[Mês],Tabela1[[#This Row],[Mês]],Tabela1[Ano],Tabela1[[#This Row],[Ano]])/COUNTIF(Tabela1[Mês],Tabela1[[#This Row],[Mês]])</f>
        <v>0.76923076923076927</v>
      </c>
      <c r="AK619" s="20">
        <f>100%</f>
        <v>1</v>
      </c>
    </row>
    <row r="620" spans="1:37" ht="18" customHeight="1" x14ac:dyDescent="0.25">
      <c r="A620">
        <v>1297052881</v>
      </c>
      <c r="B620" t="s">
        <v>296</v>
      </c>
      <c r="C620" t="s">
        <v>297</v>
      </c>
      <c r="D620" t="s">
        <v>37</v>
      </c>
      <c r="E620" t="s">
        <v>31</v>
      </c>
      <c r="F620" s="2">
        <v>46065.794283043993</v>
      </c>
      <c r="AC620" s="24">
        <f t="shared" ca="1" si="19"/>
        <v>68.205716956006654</v>
      </c>
      <c r="AD620" s="25" t="str">
        <f t="shared" ca="1" si="20"/>
        <v>&gt;60 dias</v>
      </c>
      <c r="AE620" s="25">
        <f>MONTH(Tabela1[[#This Row],[Criado em]])</f>
        <v>2</v>
      </c>
      <c r="AF620" s="25">
        <f>YEAR(Tabela1[[#This Row],[Criado em]])</f>
        <v>2026</v>
      </c>
      <c r="AG620" s="25">
        <f>COUNTIFS(Tabela1[Mês],Tabela1[[#This Row],[Mês]])</f>
        <v>197</v>
      </c>
      <c r="AH620" s="25">
        <f>COUNTIFS(Tabela1[Mês],Tabela1[[#This Row],[Mês]],Tabela1[Fase atual],"Recebido")</f>
        <v>124</v>
      </c>
      <c r="AI620" s="26">
        <f>Tabela1[[#This Row],[Recebido_ Mes]]/Tabela1[[#This Row],[Total_Mes]]</f>
        <v>0.62944162436548223</v>
      </c>
      <c r="AJ620" s="19">
        <f>COUNTIFS(Tabela1[Fase atual],"Recebido",Tabela1[Mês],Tabela1[[#This Row],[Mês]],Tabela1[Ano],Tabela1[[#This Row],[Ano]])/COUNTIF(Tabela1[Mês],Tabela1[[#This Row],[Mês]])</f>
        <v>0.62944162436548223</v>
      </c>
      <c r="AK620" s="20">
        <f>100%</f>
        <v>1</v>
      </c>
    </row>
    <row r="621" spans="1:37" ht="18" customHeight="1" x14ac:dyDescent="0.25">
      <c r="A621">
        <v>1279610915</v>
      </c>
      <c r="B621" t="s">
        <v>298</v>
      </c>
      <c r="C621" t="s">
        <v>299</v>
      </c>
      <c r="D621" t="s">
        <v>40</v>
      </c>
      <c r="E621" t="s">
        <v>31</v>
      </c>
      <c r="F621" s="2">
        <v>46031.796500081022</v>
      </c>
      <c r="AC621" s="24">
        <f t="shared" ca="1" si="19"/>
        <v>102.2034999189782</v>
      </c>
      <c r="AD621" s="25" t="str">
        <f t="shared" ca="1" si="20"/>
        <v>&gt;60 dias</v>
      </c>
      <c r="AE621" s="25">
        <f>MONTH(Tabela1[[#This Row],[Criado em]])</f>
        <v>1</v>
      </c>
      <c r="AF621" s="25">
        <f>YEAR(Tabela1[[#This Row],[Criado em]])</f>
        <v>2026</v>
      </c>
      <c r="AG621" s="25">
        <f>COUNTIFS(Tabela1[Mês],Tabela1[[#This Row],[Mês]])</f>
        <v>222</v>
      </c>
      <c r="AH621" s="25">
        <f>COUNTIFS(Tabela1[Mês],Tabela1[[#This Row],[Mês]],Tabela1[Fase atual],"Recebido")</f>
        <v>174</v>
      </c>
      <c r="AI621" s="26">
        <f>Tabela1[[#This Row],[Recebido_ Mes]]/Tabela1[[#This Row],[Total_Mes]]</f>
        <v>0.78378378378378377</v>
      </c>
      <c r="AJ621" s="19">
        <f>COUNTIFS(Tabela1[Fase atual],"Recebido",Tabela1[Mês],Tabela1[[#This Row],[Mês]],Tabela1[Ano],Tabela1[[#This Row],[Ano]])/COUNTIF(Tabela1[Mês],Tabela1[[#This Row],[Mês]])</f>
        <v>0.78378378378378377</v>
      </c>
      <c r="AK621" s="20">
        <f>100%</f>
        <v>1</v>
      </c>
    </row>
    <row r="622" spans="1:37" ht="18" customHeight="1" x14ac:dyDescent="0.25">
      <c r="A622">
        <v>1236312308</v>
      </c>
      <c r="B622" t="s">
        <v>1317</v>
      </c>
      <c r="C622" t="s">
        <v>1318</v>
      </c>
      <c r="D622" t="s">
        <v>37</v>
      </c>
      <c r="E622" t="s">
        <v>31</v>
      </c>
      <c r="F622" s="2">
        <v>45945.62890596065</v>
      </c>
      <c r="AC622" s="24">
        <f t="shared" ca="1" si="19"/>
        <v>188.37109403935028</v>
      </c>
      <c r="AD622" s="25" t="str">
        <f t="shared" ca="1" si="20"/>
        <v>&gt;60 dias</v>
      </c>
      <c r="AE622" s="25">
        <f>MONTH(Tabela1[[#This Row],[Criado em]])</f>
        <v>10</v>
      </c>
      <c r="AF622" s="25">
        <f>YEAR(Tabela1[[#This Row],[Criado em]])</f>
        <v>2025</v>
      </c>
      <c r="AG622" s="25">
        <f>COUNTIFS(Tabela1[Mês],Tabela1[[#This Row],[Mês]])</f>
        <v>196</v>
      </c>
      <c r="AH622" s="25">
        <f>COUNTIFS(Tabela1[Mês],Tabela1[[#This Row],[Mês]],Tabela1[Fase atual],"Recebido")</f>
        <v>138</v>
      </c>
      <c r="AI622" s="26">
        <f>Tabela1[[#This Row],[Recebido_ Mes]]/Tabela1[[#This Row],[Total_Mes]]</f>
        <v>0.70408163265306123</v>
      </c>
      <c r="AJ622" s="19">
        <f>COUNTIFS(Tabela1[Fase atual],"Recebido",Tabela1[Mês],Tabela1[[#This Row],[Mês]],Tabela1[Ano],Tabela1[[#This Row],[Ano]])/COUNTIF(Tabela1[Mês],Tabela1[[#This Row],[Mês]])</f>
        <v>0.70408163265306123</v>
      </c>
      <c r="AK622" s="20">
        <f>100%</f>
        <v>1</v>
      </c>
    </row>
    <row r="623" spans="1:37" ht="18" customHeight="1" x14ac:dyDescent="0.25">
      <c r="A623">
        <v>1197306025</v>
      </c>
      <c r="B623" t="s">
        <v>1319</v>
      </c>
      <c r="C623" t="s">
        <v>1320</v>
      </c>
      <c r="D623" t="s">
        <v>40</v>
      </c>
      <c r="E623" t="s">
        <v>31</v>
      </c>
      <c r="F623" s="2">
        <v>45887.842697337961</v>
      </c>
      <c r="AC623" s="24">
        <f t="shared" ca="1" si="19"/>
        <v>246.157302662039</v>
      </c>
      <c r="AD623" s="25" t="str">
        <f t="shared" ca="1" si="20"/>
        <v>&gt;60 dias</v>
      </c>
      <c r="AE623" s="25">
        <f>MONTH(Tabela1[[#This Row],[Criado em]])</f>
        <v>8</v>
      </c>
      <c r="AF623" s="25">
        <f>YEAR(Tabela1[[#This Row],[Criado em]])</f>
        <v>2025</v>
      </c>
      <c r="AG623" s="25">
        <f>COUNTIFS(Tabela1[Mês],Tabela1[[#This Row],[Mês]])</f>
        <v>146</v>
      </c>
      <c r="AH623" s="25">
        <f>COUNTIFS(Tabela1[Mês],Tabela1[[#This Row],[Mês]],Tabela1[Fase atual],"Recebido")</f>
        <v>115</v>
      </c>
      <c r="AI623" s="26">
        <f>Tabela1[[#This Row],[Recebido_ Mes]]/Tabela1[[#This Row],[Total_Mes]]</f>
        <v>0.78767123287671237</v>
      </c>
      <c r="AJ623" s="19">
        <f>COUNTIFS(Tabela1[Fase atual],"Recebido",Tabela1[Mês],Tabela1[[#This Row],[Mês]],Tabela1[Ano],Tabela1[[#This Row],[Ano]])/COUNTIF(Tabela1[Mês],Tabela1[[#This Row],[Mês]])</f>
        <v>0.78767123287671237</v>
      </c>
      <c r="AK623" s="20">
        <f>100%</f>
        <v>1</v>
      </c>
    </row>
    <row r="624" spans="1:37" ht="18" customHeight="1" x14ac:dyDescent="0.25">
      <c r="A624">
        <v>1257203179</v>
      </c>
      <c r="B624" t="s">
        <v>1321</v>
      </c>
      <c r="C624" t="s">
        <v>1322</v>
      </c>
      <c r="D624" t="s">
        <v>37</v>
      </c>
      <c r="E624" t="s">
        <v>31</v>
      </c>
      <c r="F624" s="2">
        <v>45980.91991063657</v>
      </c>
      <c r="AC624" s="24">
        <f t="shared" ca="1" si="19"/>
        <v>153.08008936342958</v>
      </c>
      <c r="AD624" s="25" t="str">
        <f t="shared" ca="1" si="20"/>
        <v>&gt;60 dias</v>
      </c>
      <c r="AE624" s="25">
        <f>MONTH(Tabela1[[#This Row],[Criado em]])</f>
        <v>11</v>
      </c>
      <c r="AF624" s="25">
        <f>YEAR(Tabela1[[#This Row],[Criado em]])</f>
        <v>2025</v>
      </c>
      <c r="AG624" s="25">
        <f>COUNTIFS(Tabela1[Mês],Tabela1[[#This Row],[Mês]])</f>
        <v>130</v>
      </c>
      <c r="AH624" s="25">
        <f>COUNTIFS(Tabela1[Mês],Tabela1[[#This Row],[Mês]],Tabela1[Fase atual],"Recebido")</f>
        <v>100</v>
      </c>
      <c r="AI624" s="26">
        <f>Tabela1[[#This Row],[Recebido_ Mes]]/Tabela1[[#This Row],[Total_Mes]]</f>
        <v>0.76923076923076927</v>
      </c>
      <c r="AJ624" s="19">
        <f>COUNTIFS(Tabela1[Fase atual],"Recebido",Tabela1[Mês],Tabela1[[#This Row],[Mês]],Tabela1[Ano],Tabela1[[#This Row],[Ano]])/COUNTIF(Tabela1[Mês],Tabela1[[#This Row],[Mês]])</f>
        <v>0.76923076923076927</v>
      </c>
      <c r="AK624" s="20">
        <f>100%</f>
        <v>1</v>
      </c>
    </row>
    <row r="625" spans="1:37" ht="18" customHeight="1" x14ac:dyDescent="0.25">
      <c r="A625">
        <v>1175343326</v>
      </c>
      <c r="B625" t="s">
        <v>1323</v>
      </c>
      <c r="C625" t="s">
        <v>1324</v>
      </c>
      <c r="D625" t="s">
        <v>37</v>
      </c>
      <c r="E625" t="s">
        <v>31</v>
      </c>
      <c r="F625" s="2">
        <v>45850.850988483799</v>
      </c>
      <c r="AC625" s="24">
        <f t="shared" ca="1" si="19"/>
        <v>283.14901151620143</v>
      </c>
      <c r="AD625" s="25" t="str">
        <f t="shared" ca="1" si="20"/>
        <v>&gt;60 dias</v>
      </c>
      <c r="AE625" s="25">
        <f>MONTH(Tabela1[[#This Row],[Criado em]])</f>
        <v>7</v>
      </c>
      <c r="AF625" s="25">
        <f>YEAR(Tabela1[[#This Row],[Criado em]])</f>
        <v>2025</v>
      </c>
      <c r="AG625" s="25">
        <f>COUNTIFS(Tabela1[Mês],Tabela1[[#This Row],[Mês]])</f>
        <v>177</v>
      </c>
      <c r="AH625" s="25">
        <f>COUNTIFS(Tabela1[Mês],Tabela1[[#This Row],[Mês]],Tabela1[Fase atual],"Recebido")</f>
        <v>130</v>
      </c>
      <c r="AI625" s="26">
        <f>Tabela1[[#This Row],[Recebido_ Mes]]/Tabela1[[#This Row],[Total_Mes]]</f>
        <v>0.7344632768361582</v>
      </c>
      <c r="AJ625" s="19">
        <f>COUNTIFS(Tabela1[Fase atual],"Recebido",Tabela1[Mês],Tabela1[[#This Row],[Mês]],Tabela1[Ano],Tabela1[[#This Row],[Ano]])/COUNTIF(Tabela1[Mês],Tabela1[[#This Row],[Mês]])</f>
        <v>0.7344632768361582</v>
      </c>
      <c r="AK625" s="20">
        <f>100%</f>
        <v>1</v>
      </c>
    </row>
    <row r="626" spans="1:37" ht="18" customHeight="1" x14ac:dyDescent="0.25">
      <c r="A626">
        <v>1242498626</v>
      </c>
      <c r="B626" t="s">
        <v>1325</v>
      </c>
      <c r="C626" t="s">
        <v>1326</v>
      </c>
      <c r="D626" t="s">
        <v>37</v>
      </c>
      <c r="E626" t="s">
        <v>31</v>
      </c>
      <c r="F626" s="2">
        <v>45953.794725694454</v>
      </c>
      <c r="AC626" s="24">
        <f t="shared" ca="1" si="19"/>
        <v>180.20527430554648</v>
      </c>
      <c r="AD626" s="25" t="str">
        <f t="shared" ca="1" si="20"/>
        <v>&gt;60 dias</v>
      </c>
      <c r="AE626" s="25">
        <f>MONTH(Tabela1[[#This Row],[Criado em]])</f>
        <v>10</v>
      </c>
      <c r="AF626" s="25">
        <f>YEAR(Tabela1[[#This Row],[Criado em]])</f>
        <v>2025</v>
      </c>
      <c r="AG626" s="25">
        <f>COUNTIFS(Tabela1[Mês],Tabela1[[#This Row],[Mês]])</f>
        <v>196</v>
      </c>
      <c r="AH626" s="25">
        <f>COUNTIFS(Tabela1[Mês],Tabela1[[#This Row],[Mês]],Tabela1[Fase atual],"Recebido")</f>
        <v>138</v>
      </c>
      <c r="AI626" s="26">
        <f>Tabela1[[#This Row],[Recebido_ Mes]]/Tabela1[[#This Row],[Total_Mes]]</f>
        <v>0.70408163265306123</v>
      </c>
      <c r="AJ626" s="19">
        <f>COUNTIFS(Tabela1[Fase atual],"Recebido",Tabela1[Mês],Tabela1[[#This Row],[Mês]],Tabela1[Ano],Tabela1[[#This Row],[Ano]])/COUNTIF(Tabela1[Mês],Tabela1[[#This Row],[Mês]])</f>
        <v>0.70408163265306123</v>
      </c>
      <c r="AK626" s="20">
        <f>100%</f>
        <v>1</v>
      </c>
    </row>
    <row r="627" spans="1:37" ht="18" customHeight="1" x14ac:dyDescent="0.25">
      <c r="A627">
        <v>1189128917</v>
      </c>
      <c r="B627" t="s">
        <v>1327</v>
      </c>
      <c r="C627" t="s">
        <v>1328</v>
      </c>
      <c r="D627" t="s">
        <v>37</v>
      </c>
      <c r="E627" t="s">
        <v>31</v>
      </c>
      <c r="F627" s="2">
        <v>45874.850654537033</v>
      </c>
      <c r="AC627" s="24">
        <f t="shared" ca="1" si="19"/>
        <v>259.14934546296718</v>
      </c>
      <c r="AD627" s="25" t="str">
        <f t="shared" ca="1" si="20"/>
        <v>&gt;60 dias</v>
      </c>
      <c r="AE627" s="25">
        <f>MONTH(Tabela1[[#This Row],[Criado em]])</f>
        <v>8</v>
      </c>
      <c r="AF627" s="25">
        <f>YEAR(Tabela1[[#This Row],[Criado em]])</f>
        <v>2025</v>
      </c>
      <c r="AG627" s="25">
        <f>COUNTIFS(Tabela1[Mês],Tabela1[[#This Row],[Mês]])</f>
        <v>146</v>
      </c>
      <c r="AH627" s="25">
        <f>COUNTIFS(Tabela1[Mês],Tabela1[[#This Row],[Mês]],Tabela1[Fase atual],"Recebido")</f>
        <v>115</v>
      </c>
      <c r="AI627" s="26">
        <f>Tabela1[[#This Row],[Recebido_ Mes]]/Tabela1[[#This Row],[Total_Mes]]</f>
        <v>0.78767123287671237</v>
      </c>
      <c r="AJ627" s="19">
        <f>COUNTIFS(Tabela1[Fase atual],"Recebido",Tabela1[Mês],Tabela1[[#This Row],[Mês]],Tabela1[Ano],Tabela1[[#This Row],[Ano]])/COUNTIF(Tabela1[Mês],Tabela1[[#This Row],[Mês]])</f>
        <v>0.78767123287671237</v>
      </c>
      <c r="AK627" s="20">
        <f>100%</f>
        <v>1</v>
      </c>
    </row>
    <row r="628" spans="1:37" ht="18" customHeight="1" x14ac:dyDescent="0.25">
      <c r="A628">
        <v>1278989925</v>
      </c>
      <c r="B628" t="s">
        <v>300</v>
      </c>
      <c r="C628" t="s">
        <v>301</v>
      </c>
      <c r="D628" t="s">
        <v>40</v>
      </c>
      <c r="E628" t="s">
        <v>31</v>
      </c>
      <c r="F628" s="2">
        <v>46030.794927361123</v>
      </c>
      <c r="AC628" s="24">
        <f t="shared" ca="1" si="19"/>
        <v>103.20507263887703</v>
      </c>
      <c r="AD628" s="25" t="str">
        <f t="shared" ca="1" si="20"/>
        <v>&gt;60 dias</v>
      </c>
      <c r="AE628" s="25">
        <f>MONTH(Tabela1[[#This Row],[Criado em]])</f>
        <v>1</v>
      </c>
      <c r="AF628" s="25">
        <f>YEAR(Tabela1[[#This Row],[Criado em]])</f>
        <v>2026</v>
      </c>
      <c r="AG628" s="25">
        <f>COUNTIFS(Tabela1[Mês],Tabela1[[#This Row],[Mês]])</f>
        <v>222</v>
      </c>
      <c r="AH628" s="25">
        <f>COUNTIFS(Tabela1[Mês],Tabela1[[#This Row],[Mês]],Tabela1[Fase atual],"Recebido")</f>
        <v>174</v>
      </c>
      <c r="AI628" s="26">
        <f>Tabela1[[#This Row],[Recebido_ Mes]]/Tabela1[[#This Row],[Total_Mes]]</f>
        <v>0.78378378378378377</v>
      </c>
      <c r="AJ628" s="19">
        <f>COUNTIFS(Tabela1[Fase atual],"Recebido",Tabela1[Mês],Tabela1[[#This Row],[Mês]],Tabela1[Ano],Tabela1[[#This Row],[Ano]])/COUNTIF(Tabela1[Mês],Tabela1[[#This Row],[Mês]])</f>
        <v>0.78378378378378377</v>
      </c>
      <c r="AK628" s="20">
        <f>100%</f>
        <v>1</v>
      </c>
    </row>
    <row r="629" spans="1:37" ht="18" customHeight="1" x14ac:dyDescent="0.25">
      <c r="A629">
        <v>1173353400</v>
      </c>
      <c r="B629" t="s">
        <v>1329</v>
      </c>
      <c r="C629" t="s">
        <v>1330</v>
      </c>
      <c r="D629" t="s">
        <v>40</v>
      </c>
      <c r="E629" t="s">
        <v>31</v>
      </c>
      <c r="F629" s="2">
        <v>45846.85101175926</v>
      </c>
      <c r="AC629" s="24">
        <f t="shared" ca="1" si="19"/>
        <v>287.14898824074044</v>
      </c>
      <c r="AD629" s="25" t="str">
        <f t="shared" ca="1" si="20"/>
        <v>&gt;60 dias</v>
      </c>
      <c r="AE629" s="25">
        <f>MONTH(Tabela1[[#This Row],[Criado em]])</f>
        <v>7</v>
      </c>
      <c r="AF629" s="25">
        <f>YEAR(Tabela1[[#This Row],[Criado em]])</f>
        <v>2025</v>
      </c>
      <c r="AG629" s="25">
        <f>COUNTIFS(Tabela1[Mês],Tabela1[[#This Row],[Mês]])</f>
        <v>177</v>
      </c>
      <c r="AH629" s="25">
        <f>COUNTIFS(Tabela1[Mês],Tabela1[[#This Row],[Mês]],Tabela1[Fase atual],"Recebido")</f>
        <v>130</v>
      </c>
      <c r="AI629" s="26">
        <f>Tabela1[[#This Row],[Recebido_ Mes]]/Tabela1[[#This Row],[Total_Mes]]</f>
        <v>0.7344632768361582</v>
      </c>
      <c r="AJ629" s="19">
        <f>COUNTIFS(Tabela1[Fase atual],"Recebido",Tabela1[Mês],Tabela1[[#This Row],[Mês]],Tabela1[Ano],Tabela1[[#This Row],[Ano]])/COUNTIF(Tabela1[Mês],Tabela1[[#This Row],[Mês]])</f>
        <v>0.7344632768361582</v>
      </c>
      <c r="AK629" s="20">
        <f>100%</f>
        <v>1</v>
      </c>
    </row>
    <row r="630" spans="1:37" ht="18" customHeight="1" x14ac:dyDescent="0.25">
      <c r="A630">
        <v>1176336672</v>
      </c>
      <c r="B630" t="s">
        <v>1331</v>
      </c>
      <c r="C630" t="s">
        <v>1332</v>
      </c>
      <c r="D630" t="s">
        <v>37</v>
      </c>
      <c r="E630" t="s">
        <v>31</v>
      </c>
      <c r="F630" s="2">
        <v>45853.017961446763</v>
      </c>
      <c r="AC630" s="24">
        <f t="shared" ca="1" si="19"/>
        <v>280.98203855323663</v>
      </c>
      <c r="AD630" s="25" t="str">
        <f t="shared" ca="1" si="20"/>
        <v>&gt;60 dias</v>
      </c>
      <c r="AE630" s="25">
        <f>MONTH(Tabela1[[#This Row],[Criado em]])</f>
        <v>7</v>
      </c>
      <c r="AF630" s="25">
        <f>YEAR(Tabela1[[#This Row],[Criado em]])</f>
        <v>2025</v>
      </c>
      <c r="AG630" s="25">
        <f>COUNTIFS(Tabela1[Mês],Tabela1[[#This Row],[Mês]])</f>
        <v>177</v>
      </c>
      <c r="AH630" s="25">
        <f>COUNTIFS(Tabela1[Mês],Tabela1[[#This Row],[Mês]],Tabela1[Fase atual],"Recebido")</f>
        <v>130</v>
      </c>
      <c r="AI630" s="26">
        <f>Tabela1[[#This Row],[Recebido_ Mes]]/Tabela1[[#This Row],[Total_Mes]]</f>
        <v>0.7344632768361582</v>
      </c>
      <c r="AJ630" s="19">
        <f>COUNTIFS(Tabela1[Fase atual],"Recebido",Tabela1[Mês],Tabela1[[#This Row],[Mês]],Tabela1[Ano],Tabela1[[#This Row],[Ano]])/COUNTIF(Tabela1[Mês],Tabela1[[#This Row],[Mês]])</f>
        <v>0.7344632768361582</v>
      </c>
      <c r="AK630" s="20">
        <f>100%</f>
        <v>1</v>
      </c>
    </row>
    <row r="631" spans="1:37" ht="18" customHeight="1" x14ac:dyDescent="0.25">
      <c r="A631">
        <v>1297056672</v>
      </c>
      <c r="B631" t="s">
        <v>302</v>
      </c>
      <c r="C631" t="s">
        <v>303</v>
      </c>
      <c r="D631" t="s">
        <v>37</v>
      </c>
      <c r="E631" t="s">
        <v>31</v>
      </c>
      <c r="F631" s="2">
        <v>46065.79723921296</v>
      </c>
      <c r="AC631" s="24">
        <f t="shared" ca="1" si="19"/>
        <v>68.202760787040461</v>
      </c>
      <c r="AD631" s="25" t="str">
        <f t="shared" ca="1" si="20"/>
        <v>&gt;60 dias</v>
      </c>
      <c r="AE631" s="25">
        <f>MONTH(Tabela1[[#This Row],[Criado em]])</f>
        <v>2</v>
      </c>
      <c r="AF631" s="25">
        <f>YEAR(Tabela1[[#This Row],[Criado em]])</f>
        <v>2026</v>
      </c>
      <c r="AG631" s="25">
        <f>COUNTIFS(Tabela1[Mês],Tabela1[[#This Row],[Mês]])</f>
        <v>197</v>
      </c>
      <c r="AH631" s="25">
        <f>COUNTIFS(Tabela1[Mês],Tabela1[[#This Row],[Mês]],Tabela1[Fase atual],"Recebido")</f>
        <v>124</v>
      </c>
      <c r="AI631" s="26">
        <f>Tabela1[[#This Row],[Recebido_ Mes]]/Tabela1[[#This Row],[Total_Mes]]</f>
        <v>0.62944162436548223</v>
      </c>
      <c r="AJ631" s="19">
        <f>COUNTIFS(Tabela1[Fase atual],"Recebido",Tabela1[Mês],Tabela1[[#This Row],[Mês]],Tabela1[Ano],Tabela1[[#This Row],[Ano]])/COUNTIF(Tabela1[Mês],Tabela1[[#This Row],[Mês]])</f>
        <v>0.62944162436548223</v>
      </c>
      <c r="AK631" s="20">
        <f>100%</f>
        <v>1</v>
      </c>
    </row>
    <row r="632" spans="1:37" ht="18" customHeight="1" x14ac:dyDescent="0.25">
      <c r="A632">
        <v>1264758246</v>
      </c>
      <c r="B632" t="s">
        <v>1333</v>
      </c>
      <c r="C632" t="s">
        <v>1334</v>
      </c>
      <c r="D632" t="s">
        <v>40</v>
      </c>
      <c r="E632" t="s">
        <v>31</v>
      </c>
      <c r="F632" s="2">
        <v>45996.798461759259</v>
      </c>
      <c r="AC632" s="24">
        <f t="shared" ca="1" si="19"/>
        <v>137.20153824074077</v>
      </c>
      <c r="AD632" s="25" t="str">
        <f t="shared" ca="1" si="20"/>
        <v>&gt;60 dias</v>
      </c>
      <c r="AE632" s="25">
        <f>MONTH(Tabela1[[#This Row],[Criado em]])</f>
        <v>12</v>
      </c>
      <c r="AF632" s="25">
        <f>YEAR(Tabela1[[#This Row],[Criado em]])</f>
        <v>2025</v>
      </c>
      <c r="AG632" s="25">
        <f>COUNTIFS(Tabela1[Mês],Tabela1[[#This Row],[Mês]])</f>
        <v>207</v>
      </c>
      <c r="AH632" s="25">
        <f>COUNTIFS(Tabela1[Mês],Tabela1[[#This Row],[Mês]],Tabela1[Fase atual],"Recebido")</f>
        <v>155</v>
      </c>
      <c r="AI632" s="26">
        <f>Tabela1[[#This Row],[Recebido_ Mes]]/Tabela1[[#This Row],[Total_Mes]]</f>
        <v>0.74879227053140096</v>
      </c>
      <c r="AJ632" s="19">
        <f>COUNTIFS(Tabela1[Fase atual],"Recebido",Tabela1[Mês],Tabela1[[#This Row],[Mês]],Tabela1[Ano],Tabela1[[#This Row],[Ano]])/COUNTIF(Tabela1[Mês],Tabela1[[#This Row],[Mês]])</f>
        <v>0.74879227053140096</v>
      </c>
      <c r="AK632" s="20">
        <f>100%</f>
        <v>1</v>
      </c>
    </row>
    <row r="633" spans="1:37" ht="18" customHeight="1" x14ac:dyDescent="0.25">
      <c r="A633">
        <v>1290572921</v>
      </c>
      <c r="B633" t="s">
        <v>304</v>
      </c>
      <c r="C633" t="s">
        <v>305</v>
      </c>
      <c r="D633" t="s">
        <v>40</v>
      </c>
      <c r="E633" t="s">
        <v>31</v>
      </c>
      <c r="F633" s="2">
        <v>46051.796055173611</v>
      </c>
      <c r="AC633" s="24">
        <f t="shared" ca="1" si="19"/>
        <v>82.203944826389488</v>
      </c>
      <c r="AD633" s="25" t="str">
        <f t="shared" ca="1" si="20"/>
        <v>&gt;60 dias</v>
      </c>
      <c r="AE633" s="25">
        <f>MONTH(Tabela1[[#This Row],[Criado em]])</f>
        <v>1</v>
      </c>
      <c r="AF633" s="25">
        <f>YEAR(Tabela1[[#This Row],[Criado em]])</f>
        <v>2026</v>
      </c>
      <c r="AG633" s="25">
        <f>COUNTIFS(Tabela1[Mês],Tabela1[[#This Row],[Mês]])</f>
        <v>222</v>
      </c>
      <c r="AH633" s="25">
        <f>COUNTIFS(Tabela1[Mês],Tabela1[[#This Row],[Mês]],Tabela1[Fase atual],"Recebido")</f>
        <v>174</v>
      </c>
      <c r="AI633" s="26">
        <f>Tabela1[[#This Row],[Recebido_ Mes]]/Tabela1[[#This Row],[Total_Mes]]</f>
        <v>0.78378378378378377</v>
      </c>
      <c r="AJ633" s="19">
        <f>COUNTIFS(Tabela1[Fase atual],"Recebido",Tabela1[Mês],Tabela1[[#This Row],[Mês]],Tabela1[Ano],Tabela1[[#This Row],[Ano]])/COUNTIF(Tabela1[Mês],Tabela1[[#This Row],[Mês]])</f>
        <v>0.78378378378378377</v>
      </c>
      <c r="AK633" s="20">
        <f>100%</f>
        <v>1</v>
      </c>
    </row>
    <row r="634" spans="1:37" ht="18" customHeight="1" x14ac:dyDescent="0.25">
      <c r="A634">
        <v>1309288147</v>
      </c>
      <c r="B634" t="s">
        <v>2225</v>
      </c>
      <c r="C634" t="s">
        <v>2226</v>
      </c>
      <c r="D634" t="s">
        <v>2179</v>
      </c>
      <c r="E634" t="s">
        <v>31</v>
      </c>
      <c r="F634" s="2">
        <v>46085.794902928239</v>
      </c>
      <c r="AC634" s="24">
        <f t="shared" ca="1" si="19"/>
        <v>48.205097071760974</v>
      </c>
      <c r="AD634" s="25" t="str">
        <f t="shared" ca="1" si="20"/>
        <v>31-60 dias</v>
      </c>
      <c r="AE634" s="25">
        <f>MONTH(Tabela1[[#This Row],[Criado em]])</f>
        <v>3</v>
      </c>
      <c r="AF634" s="25">
        <f>YEAR(Tabela1[[#This Row],[Criado em]])</f>
        <v>2026</v>
      </c>
      <c r="AG634" s="25">
        <f>COUNTIFS(Tabela1[Mês],Tabela1[[#This Row],[Mês]])</f>
        <v>62</v>
      </c>
      <c r="AH634" s="25">
        <f>COUNTIFS(Tabela1[Mês],Tabela1[[#This Row],[Mês]],Tabela1[Fase atual],"Recebido")</f>
        <v>13</v>
      </c>
      <c r="AI634" s="26">
        <f>Tabela1[[#This Row],[Recebido_ Mes]]/Tabela1[[#This Row],[Total_Mes]]</f>
        <v>0.20967741935483872</v>
      </c>
      <c r="AJ634" s="19">
        <f>COUNTIFS(Tabela1[Fase atual],"Recebido",Tabela1[Mês],Tabela1[[#This Row],[Mês]],Tabela1[Ano],Tabela1[[#This Row],[Ano]])/COUNTIF(Tabela1[Mês],Tabela1[[#This Row],[Mês]])</f>
        <v>0.20967741935483872</v>
      </c>
      <c r="AK634" s="20">
        <f>100%</f>
        <v>1</v>
      </c>
    </row>
    <row r="635" spans="1:37" ht="18" customHeight="1" x14ac:dyDescent="0.25">
      <c r="A635">
        <v>1264342445</v>
      </c>
      <c r="B635" t="s">
        <v>1335</v>
      </c>
      <c r="C635" t="s">
        <v>1336</v>
      </c>
      <c r="D635" t="s">
        <v>37</v>
      </c>
      <c r="E635" t="s">
        <v>31</v>
      </c>
      <c r="F635" s="2">
        <v>45995.874582905089</v>
      </c>
      <c r="AC635" s="24">
        <f t="shared" ca="1" si="19"/>
        <v>138.12541709491052</v>
      </c>
      <c r="AD635" s="25" t="str">
        <f t="shared" ca="1" si="20"/>
        <v>&gt;60 dias</v>
      </c>
      <c r="AE635" s="25">
        <f>MONTH(Tabela1[[#This Row],[Criado em]])</f>
        <v>12</v>
      </c>
      <c r="AF635" s="25">
        <f>YEAR(Tabela1[[#This Row],[Criado em]])</f>
        <v>2025</v>
      </c>
      <c r="AG635" s="25">
        <f>COUNTIFS(Tabela1[Mês],Tabela1[[#This Row],[Mês]])</f>
        <v>207</v>
      </c>
      <c r="AH635" s="25">
        <f>COUNTIFS(Tabela1[Mês],Tabela1[[#This Row],[Mês]],Tabela1[Fase atual],"Recebido")</f>
        <v>155</v>
      </c>
      <c r="AI635" s="26">
        <f>Tabela1[[#This Row],[Recebido_ Mes]]/Tabela1[[#This Row],[Total_Mes]]</f>
        <v>0.74879227053140096</v>
      </c>
      <c r="AJ635" s="19">
        <f>COUNTIFS(Tabela1[Fase atual],"Recebido",Tabela1[Mês],Tabela1[[#This Row],[Mês]],Tabela1[Ano],Tabela1[[#This Row],[Ano]])/COUNTIF(Tabela1[Mês],Tabela1[[#This Row],[Mês]])</f>
        <v>0.74879227053140096</v>
      </c>
      <c r="AK635" s="20">
        <f>100%</f>
        <v>1</v>
      </c>
    </row>
    <row r="636" spans="1:37" ht="18" customHeight="1" x14ac:dyDescent="0.25">
      <c r="A636">
        <v>1264756683</v>
      </c>
      <c r="B636" t="s">
        <v>1337</v>
      </c>
      <c r="C636" t="s">
        <v>1338</v>
      </c>
      <c r="D636" t="s">
        <v>37</v>
      </c>
      <c r="E636" t="s">
        <v>31</v>
      </c>
      <c r="F636" s="2">
        <v>45996.796680162042</v>
      </c>
      <c r="AC636" s="24">
        <f t="shared" ca="1" si="19"/>
        <v>137.20331983795768</v>
      </c>
      <c r="AD636" s="25" t="str">
        <f t="shared" ca="1" si="20"/>
        <v>&gt;60 dias</v>
      </c>
      <c r="AE636" s="25">
        <f>MONTH(Tabela1[[#This Row],[Criado em]])</f>
        <v>12</v>
      </c>
      <c r="AF636" s="25">
        <f>YEAR(Tabela1[[#This Row],[Criado em]])</f>
        <v>2025</v>
      </c>
      <c r="AG636" s="25">
        <f>COUNTIFS(Tabela1[Mês],Tabela1[[#This Row],[Mês]])</f>
        <v>207</v>
      </c>
      <c r="AH636" s="25">
        <f>COUNTIFS(Tabela1[Mês],Tabela1[[#This Row],[Mês]],Tabela1[Fase atual],"Recebido")</f>
        <v>155</v>
      </c>
      <c r="AI636" s="26">
        <f>Tabela1[[#This Row],[Recebido_ Mes]]/Tabela1[[#This Row],[Total_Mes]]</f>
        <v>0.74879227053140096</v>
      </c>
      <c r="AJ636" s="19">
        <f>COUNTIFS(Tabela1[Fase atual],"Recebido",Tabela1[Mês],Tabela1[[#This Row],[Mês]],Tabela1[Ano],Tabela1[[#This Row],[Ano]])/COUNTIF(Tabela1[Mês],Tabela1[[#This Row],[Mês]])</f>
        <v>0.74879227053140096</v>
      </c>
      <c r="AK636" s="20">
        <f>100%</f>
        <v>1</v>
      </c>
    </row>
    <row r="637" spans="1:37" ht="18" customHeight="1" x14ac:dyDescent="0.25">
      <c r="A637">
        <v>1259930228</v>
      </c>
      <c r="B637" t="s">
        <v>1337</v>
      </c>
      <c r="C637" t="s">
        <v>1338</v>
      </c>
      <c r="D637" t="s">
        <v>37</v>
      </c>
      <c r="E637" t="s">
        <v>31</v>
      </c>
      <c r="F637" s="2">
        <v>45987.795474571758</v>
      </c>
      <c r="AC637" s="24">
        <f t="shared" ca="1" si="19"/>
        <v>146.20452542824205</v>
      </c>
      <c r="AD637" s="25" t="str">
        <f t="shared" ca="1" si="20"/>
        <v>&gt;60 dias</v>
      </c>
      <c r="AE637" s="25">
        <f>MONTH(Tabela1[[#This Row],[Criado em]])</f>
        <v>11</v>
      </c>
      <c r="AF637" s="25">
        <f>YEAR(Tabela1[[#This Row],[Criado em]])</f>
        <v>2025</v>
      </c>
      <c r="AG637" s="25">
        <f>COUNTIFS(Tabela1[Mês],Tabela1[[#This Row],[Mês]])</f>
        <v>130</v>
      </c>
      <c r="AH637" s="25">
        <f>COUNTIFS(Tabela1[Mês],Tabela1[[#This Row],[Mês]],Tabela1[Fase atual],"Recebido")</f>
        <v>100</v>
      </c>
      <c r="AI637" s="26">
        <f>Tabela1[[#This Row],[Recebido_ Mes]]/Tabela1[[#This Row],[Total_Mes]]</f>
        <v>0.76923076923076927</v>
      </c>
      <c r="AJ637" s="19">
        <f>COUNTIFS(Tabela1[Fase atual],"Recebido",Tabela1[Mês],Tabela1[[#This Row],[Mês]],Tabela1[Ano],Tabela1[[#This Row],[Ano]])/COUNTIF(Tabela1[Mês],Tabela1[[#This Row],[Mês]])</f>
        <v>0.76923076923076927</v>
      </c>
      <c r="AK637" s="20">
        <f>100%</f>
        <v>1</v>
      </c>
    </row>
    <row r="638" spans="1:37" ht="18" customHeight="1" x14ac:dyDescent="0.25">
      <c r="A638">
        <v>1299038411</v>
      </c>
      <c r="B638" t="s">
        <v>306</v>
      </c>
      <c r="C638" t="s">
        <v>307</v>
      </c>
      <c r="D638" t="s">
        <v>37</v>
      </c>
      <c r="E638" t="s">
        <v>31</v>
      </c>
      <c r="F638" s="2">
        <v>46071.794162094913</v>
      </c>
      <c r="AC638" s="24">
        <f t="shared" ca="1" si="19"/>
        <v>62.20583790508681</v>
      </c>
      <c r="AD638" s="25" t="str">
        <f t="shared" ca="1" si="20"/>
        <v>&gt;60 dias</v>
      </c>
      <c r="AE638" s="25">
        <f>MONTH(Tabela1[[#This Row],[Criado em]])</f>
        <v>2</v>
      </c>
      <c r="AF638" s="25">
        <f>YEAR(Tabela1[[#This Row],[Criado em]])</f>
        <v>2026</v>
      </c>
      <c r="AG638" s="25">
        <f>COUNTIFS(Tabela1[Mês],Tabela1[[#This Row],[Mês]])</f>
        <v>197</v>
      </c>
      <c r="AH638" s="25">
        <f>COUNTIFS(Tabela1[Mês],Tabela1[[#This Row],[Mês]],Tabela1[Fase atual],"Recebido")</f>
        <v>124</v>
      </c>
      <c r="AI638" s="26">
        <f>Tabela1[[#This Row],[Recebido_ Mes]]/Tabela1[[#This Row],[Total_Mes]]</f>
        <v>0.62944162436548223</v>
      </c>
      <c r="AJ638" s="19">
        <f>COUNTIFS(Tabela1[Fase atual],"Recebido",Tabela1[Mês],Tabela1[[#This Row],[Mês]],Tabela1[Ano],Tabela1[[#This Row],[Ano]])/COUNTIF(Tabela1[Mês],Tabela1[[#This Row],[Mês]])</f>
        <v>0.62944162436548223</v>
      </c>
      <c r="AK638" s="20">
        <f>100%</f>
        <v>1</v>
      </c>
    </row>
    <row r="639" spans="1:37" ht="18" customHeight="1" x14ac:dyDescent="0.25">
      <c r="A639">
        <v>1303237673</v>
      </c>
      <c r="B639" t="s">
        <v>306</v>
      </c>
      <c r="C639" t="s">
        <v>307</v>
      </c>
      <c r="D639" t="s">
        <v>37</v>
      </c>
      <c r="E639" t="s">
        <v>31</v>
      </c>
      <c r="F639" s="2">
        <v>46077.795455057872</v>
      </c>
      <c r="AC639" s="24">
        <f t="shared" ca="1" si="19"/>
        <v>56.204544942127541</v>
      </c>
      <c r="AD639" s="25" t="str">
        <f t="shared" ca="1" si="20"/>
        <v>31-60 dias</v>
      </c>
      <c r="AE639" s="25">
        <f>MONTH(Tabela1[[#This Row],[Criado em]])</f>
        <v>2</v>
      </c>
      <c r="AF639" s="25">
        <f>YEAR(Tabela1[[#This Row],[Criado em]])</f>
        <v>2026</v>
      </c>
      <c r="AG639" s="25">
        <f>COUNTIFS(Tabela1[Mês],Tabela1[[#This Row],[Mês]])</f>
        <v>197</v>
      </c>
      <c r="AH639" s="25">
        <f>COUNTIFS(Tabela1[Mês],Tabela1[[#This Row],[Mês]],Tabela1[Fase atual],"Recebido")</f>
        <v>124</v>
      </c>
      <c r="AI639" s="26">
        <f>Tabela1[[#This Row],[Recebido_ Mes]]/Tabela1[[#This Row],[Total_Mes]]</f>
        <v>0.62944162436548223</v>
      </c>
      <c r="AJ639" s="19">
        <f>COUNTIFS(Tabela1[Fase atual],"Recebido",Tabela1[Mês],Tabela1[[#This Row],[Mês]],Tabela1[Ano],Tabela1[[#This Row],[Ano]])/COUNTIF(Tabela1[Mês],Tabela1[[#This Row],[Mês]])</f>
        <v>0.62944162436548223</v>
      </c>
      <c r="AK639" s="20">
        <f>100%</f>
        <v>1</v>
      </c>
    </row>
    <row r="640" spans="1:37" ht="18" customHeight="1" x14ac:dyDescent="0.25">
      <c r="A640">
        <v>1280607149</v>
      </c>
      <c r="B640" t="s">
        <v>308</v>
      </c>
      <c r="C640" t="s">
        <v>309</v>
      </c>
      <c r="D640" t="s">
        <v>37</v>
      </c>
      <c r="E640" t="s">
        <v>31</v>
      </c>
      <c r="F640" s="2">
        <v>46034.794810127307</v>
      </c>
      <c r="AC640" s="24">
        <f t="shared" ca="1" si="19"/>
        <v>99.205189872693154</v>
      </c>
      <c r="AD640" s="25" t="str">
        <f t="shared" ca="1" si="20"/>
        <v>&gt;60 dias</v>
      </c>
      <c r="AE640" s="25">
        <f>MONTH(Tabela1[[#This Row],[Criado em]])</f>
        <v>1</v>
      </c>
      <c r="AF640" s="25">
        <f>YEAR(Tabela1[[#This Row],[Criado em]])</f>
        <v>2026</v>
      </c>
      <c r="AG640" s="25">
        <f>COUNTIFS(Tabela1[Mês],Tabela1[[#This Row],[Mês]])</f>
        <v>222</v>
      </c>
      <c r="AH640" s="25">
        <f>COUNTIFS(Tabela1[Mês],Tabela1[[#This Row],[Mês]],Tabela1[Fase atual],"Recebido")</f>
        <v>174</v>
      </c>
      <c r="AI640" s="26">
        <f>Tabela1[[#This Row],[Recebido_ Mes]]/Tabela1[[#This Row],[Total_Mes]]</f>
        <v>0.78378378378378377</v>
      </c>
      <c r="AJ640" s="19">
        <f>COUNTIFS(Tabela1[Fase atual],"Recebido",Tabela1[Mês],Tabela1[[#This Row],[Mês]],Tabela1[Ano],Tabela1[[#This Row],[Ano]])/COUNTIF(Tabela1[Mês],Tabela1[[#This Row],[Mês]])</f>
        <v>0.78378378378378377</v>
      </c>
      <c r="AK640" s="20">
        <f>100%</f>
        <v>1</v>
      </c>
    </row>
    <row r="641" spans="1:37" ht="18" customHeight="1" x14ac:dyDescent="0.25">
      <c r="A641">
        <v>1190286736</v>
      </c>
      <c r="B641" t="s">
        <v>1339</v>
      </c>
      <c r="C641" t="s">
        <v>1340</v>
      </c>
      <c r="D641" t="s">
        <v>37</v>
      </c>
      <c r="E641" t="s">
        <v>31</v>
      </c>
      <c r="F641" s="2">
        <v>45876.630255462973</v>
      </c>
      <c r="AC641" s="24">
        <f t="shared" ca="1" si="19"/>
        <v>257.36974453702715</v>
      </c>
      <c r="AD641" s="25" t="str">
        <f t="shared" ca="1" si="20"/>
        <v>&gt;60 dias</v>
      </c>
      <c r="AE641" s="25">
        <f>MONTH(Tabela1[[#This Row],[Criado em]])</f>
        <v>8</v>
      </c>
      <c r="AF641" s="25">
        <f>YEAR(Tabela1[[#This Row],[Criado em]])</f>
        <v>2025</v>
      </c>
      <c r="AG641" s="25">
        <f>COUNTIFS(Tabela1[Mês],Tabela1[[#This Row],[Mês]])</f>
        <v>146</v>
      </c>
      <c r="AH641" s="25">
        <f>COUNTIFS(Tabela1[Mês],Tabela1[[#This Row],[Mês]],Tabela1[Fase atual],"Recebido")</f>
        <v>115</v>
      </c>
      <c r="AI641" s="26">
        <f>Tabela1[[#This Row],[Recebido_ Mes]]/Tabela1[[#This Row],[Total_Mes]]</f>
        <v>0.78767123287671237</v>
      </c>
      <c r="AJ641" s="19">
        <f>COUNTIFS(Tabela1[Fase atual],"Recebido",Tabela1[Mês],Tabela1[[#This Row],[Mês]],Tabela1[Ano],Tabela1[[#This Row],[Ano]])/COUNTIF(Tabela1[Mês],Tabela1[[#This Row],[Mês]])</f>
        <v>0.78767123287671237</v>
      </c>
      <c r="AK641" s="20">
        <f>100%</f>
        <v>1</v>
      </c>
    </row>
    <row r="642" spans="1:37" ht="18" customHeight="1" x14ac:dyDescent="0.25">
      <c r="A642">
        <v>1178755772</v>
      </c>
      <c r="B642" t="s">
        <v>1341</v>
      </c>
      <c r="C642" t="s">
        <v>1342</v>
      </c>
      <c r="D642" t="s">
        <v>37</v>
      </c>
      <c r="E642" t="s">
        <v>31</v>
      </c>
      <c r="F642" s="2">
        <v>45856.643184548608</v>
      </c>
      <c r="AC642" s="24">
        <f t="shared" ca="1" si="19"/>
        <v>277.35681545139232</v>
      </c>
      <c r="AD642" s="25" t="str">
        <f t="shared" ca="1" si="20"/>
        <v>&gt;60 dias</v>
      </c>
      <c r="AE642" s="25">
        <f>MONTH(Tabela1[[#This Row],[Criado em]])</f>
        <v>7</v>
      </c>
      <c r="AF642" s="25">
        <f>YEAR(Tabela1[[#This Row],[Criado em]])</f>
        <v>2025</v>
      </c>
      <c r="AG642" s="25">
        <f>COUNTIFS(Tabela1[Mês],Tabela1[[#This Row],[Mês]])</f>
        <v>177</v>
      </c>
      <c r="AH642" s="25">
        <f>COUNTIFS(Tabela1[Mês],Tabela1[[#This Row],[Mês]],Tabela1[Fase atual],"Recebido")</f>
        <v>130</v>
      </c>
      <c r="AI642" s="26">
        <f>Tabela1[[#This Row],[Recebido_ Mes]]/Tabela1[[#This Row],[Total_Mes]]</f>
        <v>0.7344632768361582</v>
      </c>
      <c r="AJ642" s="19">
        <f>COUNTIFS(Tabela1[Fase atual],"Recebido",Tabela1[Mês],Tabela1[[#This Row],[Mês]],Tabela1[Ano],Tabela1[[#This Row],[Ano]])/COUNTIF(Tabela1[Mês],Tabela1[[#This Row],[Mês]])</f>
        <v>0.7344632768361582</v>
      </c>
      <c r="AK642" s="20">
        <f>100%</f>
        <v>1</v>
      </c>
    </row>
    <row r="643" spans="1:37" ht="18" customHeight="1" x14ac:dyDescent="0.25">
      <c r="A643">
        <v>1275238299</v>
      </c>
      <c r="B643" t="s">
        <v>1341</v>
      </c>
      <c r="C643" t="s">
        <v>1343</v>
      </c>
      <c r="D643" t="s">
        <v>40</v>
      </c>
      <c r="E643" t="s">
        <v>31</v>
      </c>
      <c r="F643" s="2">
        <v>46022.631966365741</v>
      </c>
      <c r="AC643" s="24">
        <f t="shared" ref="AC643:AC706" ca="1" si="21">TODAY() - F643</f>
        <v>111.36803363425861</v>
      </c>
      <c r="AD643" s="25" t="str">
        <f t="shared" ref="AD643:AD706" ca="1" si="22">IF(AC643&lt;=14,"0-14 dias",
IF(AC643&lt;=19,"15-19 dias",
IF(AC643&lt;=24,"20-24 dias",
IF(AC643&lt;=30,"25-30 dias",
IF(AC643&lt;=60,"31-60 dias",
"&gt;60 dias")))))</f>
        <v>&gt;60 dias</v>
      </c>
      <c r="AE643" s="25">
        <f>MONTH(Tabela1[[#This Row],[Criado em]])</f>
        <v>12</v>
      </c>
      <c r="AF643" s="25">
        <f>YEAR(Tabela1[[#This Row],[Criado em]])</f>
        <v>2025</v>
      </c>
      <c r="AG643" s="25">
        <f>COUNTIFS(Tabela1[Mês],Tabela1[[#This Row],[Mês]])</f>
        <v>207</v>
      </c>
      <c r="AH643" s="25">
        <f>COUNTIFS(Tabela1[Mês],Tabela1[[#This Row],[Mês]],Tabela1[Fase atual],"Recebido")</f>
        <v>155</v>
      </c>
      <c r="AI643" s="26">
        <f>Tabela1[[#This Row],[Recebido_ Mes]]/Tabela1[[#This Row],[Total_Mes]]</f>
        <v>0.74879227053140096</v>
      </c>
      <c r="AJ643" s="19">
        <f>COUNTIFS(Tabela1[Fase atual],"Recebido",Tabela1[Mês],Tabela1[[#This Row],[Mês]],Tabela1[Ano],Tabela1[[#This Row],[Ano]])/COUNTIF(Tabela1[Mês],Tabela1[[#This Row],[Mês]])</f>
        <v>0.74879227053140096</v>
      </c>
      <c r="AK643" s="20">
        <f>100%</f>
        <v>1</v>
      </c>
    </row>
    <row r="644" spans="1:37" ht="18" customHeight="1" x14ac:dyDescent="0.25">
      <c r="A644">
        <v>1205877223</v>
      </c>
      <c r="B644" t="s">
        <v>1341</v>
      </c>
      <c r="C644" t="s">
        <v>1343</v>
      </c>
      <c r="D644" t="s">
        <v>784</v>
      </c>
      <c r="E644" t="s">
        <v>31</v>
      </c>
      <c r="F644" s="2">
        <v>45901.642557870371</v>
      </c>
      <c r="AC644" s="24">
        <f t="shared" ca="1" si="21"/>
        <v>232.35744212962891</v>
      </c>
      <c r="AD644" s="25" t="str">
        <f t="shared" ca="1" si="22"/>
        <v>&gt;60 dias</v>
      </c>
      <c r="AE644" s="25">
        <f>MONTH(Tabela1[[#This Row],[Criado em]])</f>
        <v>9</v>
      </c>
      <c r="AF644" s="25">
        <f>YEAR(Tabela1[[#This Row],[Criado em]])</f>
        <v>2025</v>
      </c>
      <c r="AG644" s="25">
        <f>COUNTIFS(Tabela1[Mês],Tabela1[[#This Row],[Mês]])</f>
        <v>197</v>
      </c>
      <c r="AH644" s="25">
        <f>COUNTIFS(Tabela1[Mês],Tabela1[[#This Row],[Mês]],Tabela1[Fase atual],"Recebido")</f>
        <v>152</v>
      </c>
      <c r="AI644" s="26">
        <f>Tabela1[[#This Row],[Recebido_ Mes]]/Tabela1[[#This Row],[Total_Mes]]</f>
        <v>0.77157360406091369</v>
      </c>
      <c r="AJ644" s="19">
        <f>COUNTIFS(Tabela1[Fase atual],"Recebido",Tabela1[Mês],Tabela1[[#This Row],[Mês]],Tabela1[Ano],Tabela1[[#This Row],[Ano]])/COUNTIF(Tabela1[Mês],Tabela1[[#This Row],[Mês]])</f>
        <v>0.77157360406091369</v>
      </c>
      <c r="AK644" s="20">
        <f>100%</f>
        <v>1</v>
      </c>
    </row>
    <row r="645" spans="1:37" ht="18" customHeight="1" x14ac:dyDescent="0.25">
      <c r="A645">
        <v>1236311993</v>
      </c>
      <c r="B645" t="s">
        <v>1341</v>
      </c>
      <c r="C645" t="s">
        <v>1344</v>
      </c>
      <c r="D645" t="s">
        <v>37</v>
      </c>
      <c r="E645" t="s">
        <v>31</v>
      </c>
      <c r="F645" s="2">
        <v>45945.62869957176</v>
      </c>
      <c r="AC645" s="24">
        <f t="shared" ca="1" si="21"/>
        <v>188.37130042823992</v>
      </c>
      <c r="AD645" s="25" t="str">
        <f t="shared" ca="1" si="22"/>
        <v>&gt;60 dias</v>
      </c>
      <c r="AE645" s="25">
        <f>MONTH(Tabela1[[#This Row],[Criado em]])</f>
        <v>10</v>
      </c>
      <c r="AF645" s="25">
        <f>YEAR(Tabela1[[#This Row],[Criado em]])</f>
        <v>2025</v>
      </c>
      <c r="AG645" s="25">
        <f>COUNTIFS(Tabela1[Mês],Tabela1[[#This Row],[Mês]])</f>
        <v>196</v>
      </c>
      <c r="AH645" s="25">
        <f>COUNTIFS(Tabela1[Mês],Tabela1[[#This Row],[Mês]],Tabela1[Fase atual],"Recebido")</f>
        <v>138</v>
      </c>
      <c r="AI645" s="26">
        <f>Tabela1[[#This Row],[Recebido_ Mes]]/Tabela1[[#This Row],[Total_Mes]]</f>
        <v>0.70408163265306123</v>
      </c>
      <c r="AJ645" s="19">
        <f>COUNTIFS(Tabela1[Fase atual],"Recebido",Tabela1[Mês],Tabela1[[#This Row],[Mês]],Tabela1[Ano],Tabela1[[#This Row],[Ano]])/COUNTIF(Tabela1[Mês],Tabela1[[#This Row],[Mês]])</f>
        <v>0.70408163265306123</v>
      </c>
      <c r="AK645" s="20">
        <f>100%</f>
        <v>1</v>
      </c>
    </row>
    <row r="646" spans="1:37" ht="18" customHeight="1" x14ac:dyDescent="0.25">
      <c r="A646">
        <v>1280731506</v>
      </c>
      <c r="B646" t="s">
        <v>310</v>
      </c>
      <c r="C646" t="s">
        <v>311</v>
      </c>
      <c r="D646" t="s">
        <v>37</v>
      </c>
      <c r="E646" t="s">
        <v>31</v>
      </c>
      <c r="F646" s="2">
        <v>46034.920724016207</v>
      </c>
      <c r="AC646" s="24">
        <f t="shared" ca="1" si="21"/>
        <v>99.079275983793195</v>
      </c>
      <c r="AD646" s="25" t="str">
        <f t="shared" ca="1" si="22"/>
        <v>&gt;60 dias</v>
      </c>
      <c r="AE646" s="25">
        <f>MONTH(Tabela1[[#This Row],[Criado em]])</f>
        <v>1</v>
      </c>
      <c r="AF646" s="25">
        <f>YEAR(Tabela1[[#This Row],[Criado em]])</f>
        <v>2026</v>
      </c>
      <c r="AG646" s="25">
        <f>COUNTIFS(Tabela1[Mês],Tabela1[[#This Row],[Mês]])</f>
        <v>222</v>
      </c>
      <c r="AH646" s="25">
        <f>COUNTIFS(Tabela1[Mês],Tabela1[[#This Row],[Mês]],Tabela1[Fase atual],"Recebido")</f>
        <v>174</v>
      </c>
      <c r="AI646" s="26">
        <f>Tabela1[[#This Row],[Recebido_ Mes]]/Tabela1[[#This Row],[Total_Mes]]</f>
        <v>0.78378378378378377</v>
      </c>
      <c r="AJ646" s="19">
        <f>COUNTIFS(Tabela1[Fase atual],"Recebido",Tabela1[Mês],Tabela1[[#This Row],[Mês]],Tabela1[Ano],Tabela1[[#This Row],[Ano]])/COUNTIF(Tabela1[Mês],Tabela1[[#This Row],[Mês]])</f>
        <v>0.78378378378378377</v>
      </c>
      <c r="AK646" s="20">
        <f>100%</f>
        <v>1</v>
      </c>
    </row>
    <row r="647" spans="1:37" ht="18" customHeight="1" x14ac:dyDescent="0.25">
      <c r="A647">
        <v>1174966193</v>
      </c>
      <c r="B647" t="s">
        <v>1345</v>
      </c>
      <c r="C647" t="s">
        <v>1346</v>
      </c>
      <c r="D647" t="s">
        <v>37</v>
      </c>
      <c r="E647" t="s">
        <v>524</v>
      </c>
      <c r="F647" s="2">
        <v>45849.858064583328</v>
      </c>
      <c r="AC647" s="24">
        <f t="shared" ca="1" si="21"/>
        <v>284.14193541667191</v>
      </c>
      <c r="AD647" s="25" t="str">
        <f t="shared" ca="1" si="22"/>
        <v>&gt;60 dias</v>
      </c>
      <c r="AE647" s="25">
        <f>MONTH(Tabela1[[#This Row],[Criado em]])</f>
        <v>7</v>
      </c>
      <c r="AF647" s="25">
        <f>YEAR(Tabela1[[#This Row],[Criado em]])</f>
        <v>2025</v>
      </c>
      <c r="AG647" s="25">
        <f>COUNTIFS(Tabela1[Mês],Tabela1[[#This Row],[Mês]])</f>
        <v>177</v>
      </c>
      <c r="AH647" s="25">
        <f>COUNTIFS(Tabela1[Mês],Tabela1[[#This Row],[Mês]],Tabela1[Fase atual],"Recebido")</f>
        <v>130</v>
      </c>
      <c r="AI647" s="26">
        <f>Tabela1[[#This Row],[Recebido_ Mes]]/Tabela1[[#This Row],[Total_Mes]]</f>
        <v>0.7344632768361582</v>
      </c>
      <c r="AJ647" s="19">
        <f>COUNTIFS(Tabela1[Fase atual],"Recebido",Tabela1[Mês],Tabela1[[#This Row],[Mês]],Tabela1[Ano],Tabela1[[#This Row],[Ano]])/COUNTIF(Tabela1[Mês],Tabela1[[#This Row],[Mês]])</f>
        <v>0.7344632768361582</v>
      </c>
      <c r="AK647" s="20">
        <f>100%</f>
        <v>1</v>
      </c>
    </row>
    <row r="648" spans="1:37" ht="18" customHeight="1" x14ac:dyDescent="0.25">
      <c r="A648">
        <v>1169857749</v>
      </c>
      <c r="B648" t="s">
        <v>1347</v>
      </c>
      <c r="C648" t="s">
        <v>1346</v>
      </c>
      <c r="D648" t="s">
        <v>37</v>
      </c>
      <c r="E648" t="s">
        <v>31</v>
      </c>
      <c r="F648" s="2">
        <v>45839.851430416667</v>
      </c>
      <c r="AC648" s="24">
        <f t="shared" ca="1" si="21"/>
        <v>294.14856958333257</v>
      </c>
      <c r="AD648" s="25" t="str">
        <f t="shared" ca="1" si="22"/>
        <v>&gt;60 dias</v>
      </c>
      <c r="AE648" s="25">
        <f>MONTH(Tabela1[[#This Row],[Criado em]])</f>
        <v>7</v>
      </c>
      <c r="AF648" s="25">
        <f>YEAR(Tabela1[[#This Row],[Criado em]])</f>
        <v>2025</v>
      </c>
      <c r="AG648" s="25">
        <f>COUNTIFS(Tabela1[Mês],Tabela1[[#This Row],[Mês]])</f>
        <v>177</v>
      </c>
      <c r="AH648" s="25">
        <f>COUNTIFS(Tabela1[Mês],Tabela1[[#This Row],[Mês]],Tabela1[Fase atual],"Recebido")</f>
        <v>130</v>
      </c>
      <c r="AI648" s="26">
        <f>Tabela1[[#This Row],[Recebido_ Mes]]/Tabela1[[#This Row],[Total_Mes]]</f>
        <v>0.7344632768361582</v>
      </c>
      <c r="AJ648" s="19">
        <f>COUNTIFS(Tabela1[Fase atual],"Recebido",Tabela1[Mês],Tabela1[[#This Row],[Mês]],Tabela1[Ano],Tabela1[[#This Row],[Ano]])/COUNTIF(Tabela1[Mês],Tabela1[[#This Row],[Mês]])</f>
        <v>0.7344632768361582</v>
      </c>
      <c r="AK648" s="20">
        <f>100%</f>
        <v>1</v>
      </c>
    </row>
    <row r="649" spans="1:37" ht="18" customHeight="1" x14ac:dyDescent="0.25">
      <c r="A649">
        <v>1188378886</v>
      </c>
      <c r="B649" t="s">
        <v>1348</v>
      </c>
      <c r="C649" t="s">
        <v>1349</v>
      </c>
      <c r="D649" t="s">
        <v>37</v>
      </c>
      <c r="E649" t="s">
        <v>31</v>
      </c>
      <c r="F649" s="2">
        <v>45873.849839120368</v>
      </c>
      <c r="AC649" s="24">
        <f t="shared" ca="1" si="21"/>
        <v>260.15016087963158</v>
      </c>
      <c r="AD649" s="25" t="str">
        <f t="shared" ca="1" si="22"/>
        <v>&gt;60 dias</v>
      </c>
      <c r="AE649" s="25">
        <f>MONTH(Tabela1[[#This Row],[Criado em]])</f>
        <v>8</v>
      </c>
      <c r="AF649" s="25">
        <f>YEAR(Tabela1[[#This Row],[Criado em]])</f>
        <v>2025</v>
      </c>
      <c r="AG649" s="25">
        <f>COUNTIFS(Tabela1[Mês],Tabela1[[#This Row],[Mês]])</f>
        <v>146</v>
      </c>
      <c r="AH649" s="25">
        <f>COUNTIFS(Tabela1[Mês],Tabela1[[#This Row],[Mês]],Tabela1[Fase atual],"Recebido")</f>
        <v>115</v>
      </c>
      <c r="AI649" s="26">
        <f>Tabela1[[#This Row],[Recebido_ Mes]]/Tabela1[[#This Row],[Total_Mes]]</f>
        <v>0.78767123287671237</v>
      </c>
      <c r="AJ649" s="19">
        <f>COUNTIFS(Tabela1[Fase atual],"Recebido",Tabela1[Mês],Tabela1[[#This Row],[Mês]],Tabela1[Ano],Tabela1[[#This Row],[Ano]])/COUNTIF(Tabela1[Mês],Tabela1[[#This Row],[Mês]])</f>
        <v>0.78767123287671237</v>
      </c>
      <c r="AK649" s="20">
        <f>100%</f>
        <v>1</v>
      </c>
    </row>
    <row r="650" spans="1:37" ht="18" customHeight="1" x14ac:dyDescent="0.25">
      <c r="A650">
        <v>1198094502</v>
      </c>
      <c r="B650" t="s">
        <v>1348</v>
      </c>
      <c r="C650" t="s">
        <v>1350</v>
      </c>
      <c r="D650" t="s">
        <v>37</v>
      </c>
      <c r="E650" t="s">
        <v>31</v>
      </c>
      <c r="F650" s="2">
        <v>45888.850997743051</v>
      </c>
      <c r="AC650" s="24">
        <f t="shared" ca="1" si="21"/>
        <v>245.14900225694873</v>
      </c>
      <c r="AD650" s="25" t="str">
        <f t="shared" ca="1" si="22"/>
        <v>&gt;60 dias</v>
      </c>
      <c r="AE650" s="25">
        <f>MONTH(Tabela1[[#This Row],[Criado em]])</f>
        <v>8</v>
      </c>
      <c r="AF650" s="25">
        <f>YEAR(Tabela1[[#This Row],[Criado em]])</f>
        <v>2025</v>
      </c>
      <c r="AG650" s="25">
        <f>COUNTIFS(Tabela1[Mês],Tabela1[[#This Row],[Mês]])</f>
        <v>146</v>
      </c>
      <c r="AH650" s="25">
        <f>COUNTIFS(Tabela1[Mês],Tabela1[[#This Row],[Mês]],Tabela1[Fase atual],"Recebido")</f>
        <v>115</v>
      </c>
      <c r="AI650" s="26">
        <f>Tabela1[[#This Row],[Recebido_ Mes]]/Tabela1[[#This Row],[Total_Mes]]</f>
        <v>0.78767123287671237</v>
      </c>
      <c r="AJ650" s="19">
        <f>COUNTIFS(Tabela1[Fase atual],"Recebido",Tabela1[Mês],Tabela1[[#This Row],[Mês]],Tabela1[Ano],Tabela1[[#This Row],[Ano]])/COUNTIF(Tabela1[Mês],Tabela1[[#This Row],[Mês]])</f>
        <v>0.78767123287671237</v>
      </c>
      <c r="AK650" s="20">
        <f>100%</f>
        <v>1</v>
      </c>
    </row>
    <row r="651" spans="1:37" ht="18" customHeight="1" x14ac:dyDescent="0.25">
      <c r="A651">
        <v>1201802858</v>
      </c>
      <c r="B651" t="s">
        <v>1348</v>
      </c>
      <c r="C651" t="s">
        <v>1350</v>
      </c>
      <c r="D651" t="s">
        <v>37</v>
      </c>
      <c r="E651" t="s">
        <v>31</v>
      </c>
      <c r="F651" s="2">
        <v>45894.849825243058</v>
      </c>
      <c r="AC651" s="24">
        <f t="shared" ca="1" si="21"/>
        <v>239.15017475694185</v>
      </c>
      <c r="AD651" s="25" t="str">
        <f t="shared" ca="1" si="22"/>
        <v>&gt;60 dias</v>
      </c>
      <c r="AE651" s="25">
        <f>MONTH(Tabela1[[#This Row],[Criado em]])</f>
        <v>8</v>
      </c>
      <c r="AF651" s="25">
        <f>YEAR(Tabela1[[#This Row],[Criado em]])</f>
        <v>2025</v>
      </c>
      <c r="AG651" s="25">
        <f>COUNTIFS(Tabela1[Mês],Tabela1[[#This Row],[Mês]])</f>
        <v>146</v>
      </c>
      <c r="AH651" s="25">
        <f>COUNTIFS(Tabela1[Mês],Tabela1[[#This Row],[Mês]],Tabela1[Fase atual],"Recebido")</f>
        <v>115</v>
      </c>
      <c r="AI651" s="26">
        <f>Tabela1[[#This Row],[Recebido_ Mes]]/Tabela1[[#This Row],[Total_Mes]]</f>
        <v>0.78767123287671237</v>
      </c>
      <c r="AJ651" s="19">
        <f>COUNTIFS(Tabela1[Fase atual],"Recebido",Tabela1[Mês],Tabela1[[#This Row],[Mês]],Tabela1[Ano],Tabela1[[#This Row],[Ano]])/COUNTIF(Tabela1[Mês],Tabela1[[#This Row],[Mês]])</f>
        <v>0.78767123287671237</v>
      </c>
      <c r="AK651" s="20">
        <f>100%</f>
        <v>1</v>
      </c>
    </row>
    <row r="652" spans="1:37" ht="18" customHeight="1" x14ac:dyDescent="0.25">
      <c r="A652">
        <v>1214797794</v>
      </c>
      <c r="B652" t="s">
        <v>1348</v>
      </c>
      <c r="C652" t="s">
        <v>1351</v>
      </c>
      <c r="D652" t="s">
        <v>40</v>
      </c>
      <c r="E652" t="s">
        <v>31</v>
      </c>
      <c r="F652" s="2">
        <v>45915.850412222222</v>
      </c>
      <c r="AC652" s="24">
        <f t="shared" ca="1" si="21"/>
        <v>218.14958777777792</v>
      </c>
      <c r="AD652" s="25" t="str">
        <f t="shared" ca="1" si="22"/>
        <v>&gt;60 dias</v>
      </c>
      <c r="AE652" s="25">
        <f>MONTH(Tabela1[[#This Row],[Criado em]])</f>
        <v>9</v>
      </c>
      <c r="AF652" s="25">
        <f>YEAR(Tabela1[[#This Row],[Criado em]])</f>
        <v>2025</v>
      </c>
      <c r="AG652" s="25">
        <f>COUNTIFS(Tabela1[Mês],Tabela1[[#This Row],[Mês]])</f>
        <v>197</v>
      </c>
      <c r="AH652" s="25">
        <f>COUNTIFS(Tabela1[Mês],Tabela1[[#This Row],[Mês]],Tabela1[Fase atual],"Recebido")</f>
        <v>152</v>
      </c>
      <c r="AI652" s="26">
        <f>Tabela1[[#This Row],[Recebido_ Mes]]/Tabela1[[#This Row],[Total_Mes]]</f>
        <v>0.77157360406091369</v>
      </c>
      <c r="AJ652" s="19">
        <f>COUNTIFS(Tabela1[Fase atual],"Recebido",Tabela1[Mês],Tabela1[[#This Row],[Mês]],Tabela1[Ano],Tabela1[[#This Row],[Ano]])/COUNTIF(Tabela1[Mês],Tabela1[[#This Row],[Mês]])</f>
        <v>0.77157360406091369</v>
      </c>
      <c r="AK652" s="20">
        <f>100%</f>
        <v>1</v>
      </c>
    </row>
    <row r="653" spans="1:37" ht="18" customHeight="1" x14ac:dyDescent="0.25">
      <c r="A653">
        <v>1285964334</v>
      </c>
      <c r="B653" t="s">
        <v>312</v>
      </c>
      <c r="C653" t="s">
        <v>313</v>
      </c>
      <c r="D653" t="s">
        <v>37</v>
      </c>
      <c r="E653" t="s">
        <v>31</v>
      </c>
      <c r="F653" s="2">
        <v>46044.79603675926</v>
      </c>
      <c r="AC653" s="24">
        <f t="shared" ca="1" si="21"/>
        <v>89.20396324073954</v>
      </c>
      <c r="AD653" s="25" t="str">
        <f t="shared" ca="1" si="22"/>
        <v>&gt;60 dias</v>
      </c>
      <c r="AE653" s="25">
        <f>MONTH(Tabela1[[#This Row],[Criado em]])</f>
        <v>1</v>
      </c>
      <c r="AF653" s="25">
        <f>YEAR(Tabela1[[#This Row],[Criado em]])</f>
        <v>2026</v>
      </c>
      <c r="AG653" s="25">
        <f>COUNTIFS(Tabela1[Mês],Tabela1[[#This Row],[Mês]])</f>
        <v>222</v>
      </c>
      <c r="AH653" s="25">
        <f>COUNTIFS(Tabela1[Mês],Tabela1[[#This Row],[Mês]],Tabela1[Fase atual],"Recebido")</f>
        <v>174</v>
      </c>
      <c r="AI653" s="26">
        <f>Tabela1[[#This Row],[Recebido_ Mes]]/Tabela1[[#This Row],[Total_Mes]]</f>
        <v>0.78378378378378377</v>
      </c>
      <c r="AJ653" s="19">
        <f>COUNTIFS(Tabela1[Fase atual],"Recebido",Tabela1[Mês],Tabela1[[#This Row],[Mês]],Tabela1[Ano],Tabela1[[#This Row],[Ano]])/COUNTIF(Tabela1[Mês],Tabela1[[#This Row],[Mês]])</f>
        <v>0.78378378378378377</v>
      </c>
      <c r="AK653" s="20">
        <f>100%</f>
        <v>1</v>
      </c>
    </row>
    <row r="654" spans="1:37" ht="18" customHeight="1" x14ac:dyDescent="0.25">
      <c r="A654">
        <v>1194446723</v>
      </c>
      <c r="B654" t="s">
        <v>314</v>
      </c>
      <c r="C654" t="s">
        <v>315</v>
      </c>
      <c r="D654" t="s">
        <v>37</v>
      </c>
      <c r="E654" t="s">
        <v>31</v>
      </c>
      <c r="F654" s="2">
        <v>45882.642502199073</v>
      </c>
      <c r="AC654" s="24">
        <f t="shared" ca="1" si="21"/>
        <v>251.35749780092738</v>
      </c>
      <c r="AD654" s="25" t="str">
        <f t="shared" ca="1" si="22"/>
        <v>&gt;60 dias</v>
      </c>
      <c r="AE654" s="25">
        <f>MONTH(Tabela1[[#This Row],[Criado em]])</f>
        <v>8</v>
      </c>
      <c r="AF654" s="25">
        <f>YEAR(Tabela1[[#This Row],[Criado em]])</f>
        <v>2025</v>
      </c>
      <c r="AG654" s="25">
        <f>COUNTIFS(Tabela1[Mês],Tabela1[[#This Row],[Mês]])</f>
        <v>146</v>
      </c>
      <c r="AH654" s="25">
        <f>COUNTIFS(Tabela1[Mês],Tabela1[[#This Row],[Mês]],Tabela1[Fase atual],"Recebido")</f>
        <v>115</v>
      </c>
      <c r="AI654" s="26">
        <f>Tabela1[[#This Row],[Recebido_ Mes]]/Tabela1[[#This Row],[Total_Mes]]</f>
        <v>0.78767123287671237</v>
      </c>
      <c r="AJ654" s="19">
        <f>COUNTIFS(Tabela1[Fase atual],"Recebido",Tabela1[Mês],Tabela1[[#This Row],[Mês]],Tabela1[Ano],Tabela1[[#This Row],[Ano]])/COUNTIF(Tabela1[Mês],Tabela1[[#This Row],[Mês]])</f>
        <v>0.78767123287671237</v>
      </c>
      <c r="AK654" s="20">
        <f>100%</f>
        <v>1</v>
      </c>
    </row>
    <row r="655" spans="1:37" ht="18" customHeight="1" x14ac:dyDescent="0.25">
      <c r="A655">
        <v>1180159171</v>
      </c>
      <c r="B655" t="s">
        <v>1352</v>
      </c>
      <c r="C655" t="s">
        <v>315</v>
      </c>
      <c r="D655" t="s">
        <v>37</v>
      </c>
      <c r="E655" t="s">
        <v>31</v>
      </c>
      <c r="F655" s="2">
        <v>45859.643631053237</v>
      </c>
      <c r="AC655" s="24">
        <f t="shared" ca="1" si="21"/>
        <v>274.35636894676281</v>
      </c>
      <c r="AD655" s="25" t="str">
        <f t="shared" ca="1" si="22"/>
        <v>&gt;60 dias</v>
      </c>
      <c r="AE655" s="25">
        <f>MONTH(Tabela1[[#This Row],[Criado em]])</f>
        <v>7</v>
      </c>
      <c r="AF655" s="25">
        <f>YEAR(Tabela1[[#This Row],[Criado em]])</f>
        <v>2025</v>
      </c>
      <c r="AG655" s="25">
        <f>COUNTIFS(Tabela1[Mês],Tabela1[[#This Row],[Mês]])</f>
        <v>177</v>
      </c>
      <c r="AH655" s="25">
        <f>COUNTIFS(Tabela1[Mês],Tabela1[[#This Row],[Mês]],Tabela1[Fase atual],"Recebido")</f>
        <v>130</v>
      </c>
      <c r="AI655" s="26">
        <f>Tabela1[[#This Row],[Recebido_ Mes]]/Tabela1[[#This Row],[Total_Mes]]</f>
        <v>0.7344632768361582</v>
      </c>
      <c r="AJ655" s="19">
        <f>COUNTIFS(Tabela1[Fase atual],"Recebido",Tabela1[Mês],Tabela1[[#This Row],[Mês]],Tabela1[Ano],Tabela1[[#This Row],[Ano]])/COUNTIF(Tabela1[Mês],Tabela1[[#This Row],[Mês]])</f>
        <v>0.7344632768361582</v>
      </c>
      <c r="AK655" s="20">
        <f>100%</f>
        <v>1</v>
      </c>
    </row>
    <row r="656" spans="1:37" ht="18" customHeight="1" x14ac:dyDescent="0.25">
      <c r="A656">
        <v>1292506502</v>
      </c>
      <c r="B656" t="s">
        <v>314</v>
      </c>
      <c r="C656" t="s">
        <v>315</v>
      </c>
      <c r="D656" t="s">
        <v>37</v>
      </c>
      <c r="E656" t="s">
        <v>31</v>
      </c>
      <c r="F656" s="2">
        <v>46056.630137164349</v>
      </c>
      <c r="AC656" s="24">
        <f t="shared" ca="1" si="21"/>
        <v>77.369862835650565</v>
      </c>
      <c r="AD656" s="25" t="str">
        <f t="shared" ca="1" si="22"/>
        <v>&gt;60 dias</v>
      </c>
      <c r="AE656" s="25">
        <f>MONTH(Tabela1[[#This Row],[Criado em]])</f>
        <v>2</v>
      </c>
      <c r="AF656" s="25">
        <f>YEAR(Tabela1[[#This Row],[Criado em]])</f>
        <v>2026</v>
      </c>
      <c r="AG656" s="25">
        <f>COUNTIFS(Tabela1[Mês],Tabela1[[#This Row],[Mês]])</f>
        <v>197</v>
      </c>
      <c r="AH656" s="25">
        <f>COUNTIFS(Tabela1[Mês],Tabela1[[#This Row],[Mês]],Tabela1[Fase atual],"Recebido")</f>
        <v>124</v>
      </c>
      <c r="AI656" s="26">
        <f>Tabela1[[#This Row],[Recebido_ Mes]]/Tabela1[[#This Row],[Total_Mes]]</f>
        <v>0.62944162436548223</v>
      </c>
      <c r="AJ656" s="19">
        <f>COUNTIFS(Tabela1[Fase atual],"Recebido",Tabela1[Mês],Tabela1[[#This Row],[Mês]],Tabela1[Ano],Tabela1[[#This Row],[Ano]])/COUNTIF(Tabela1[Mês],Tabela1[[#This Row],[Mês]])</f>
        <v>0.62944162436548223</v>
      </c>
      <c r="AK656" s="20">
        <f>100%</f>
        <v>1</v>
      </c>
    </row>
    <row r="657" spans="1:37" ht="18" customHeight="1" x14ac:dyDescent="0.25">
      <c r="A657">
        <v>1276501477</v>
      </c>
      <c r="B657" t="s">
        <v>316</v>
      </c>
      <c r="C657" t="s">
        <v>317</v>
      </c>
      <c r="D657" t="s">
        <v>37</v>
      </c>
      <c r="E657" t="s">
        <v>31</v>
      </c>
      <c r="F657" s="2">
        <v>46027.778170046287</v>
      </c>
      <c r="AC657" s="24">
        <f t="shared" ca="1" si="21"/>
        <v>106.22182995371259</v>
      </c>
      <c r="AD657" s="25" t="str">
        <f t="shared" ca="1" si="22"/>
        <v>&gt;60 dias</v>
      </c>
      <c r="AE657" s="25">
        <f>MONTH(Tabela1[[#This Row],[Criado em]])</f>
        <v>1</v>
      </c>
      <c r="AF657" s="25">
        <f>YEAR(Tabela1[[#This Row],[Criado em]])</f>
        <v>2026</v>
      </c>
      <c r="AG657" s="25">
        <f>COUNTIFS(Tabela1[Mês],Tabela1[[#This Row],[Mês]])</f>
        <v>222</v>
      </c>
      <c r="AH657" s="25">
        <f>COUNTIFS(Tabela1[Mês],Tabela1[[#This Row],[Mês]],Tabela1[Fase atual],"Recebido")</f>
        <v>174</v>
      </c>
      <c r="AI657" s="26">
        <f>Tabela1[[#This Row],[Recebido_ Mes]]/Tabela1[[#This Row],[Total_Mes]]</f>
        <v>0.78378378378378377</v>
      </c>
      <c r="AJ657" s="19">
        <f>COUNTIFS(Tabela1[Fase atual],"Recebido",Tabela1[Mês],Tabela1[[#This Row],[Mês]],Tabela1[Ano],Tabela1[[#This Row],[Ano]])/COUNTIF(Tabela1[Mês],Tabela1[[#This Row],[Mês]])</f>
        <v>0.78378378378378377</v>
      </c>
      <c r="AK657" s="20">
        <f>100%</f>
        <v>1</v>
      </c>
    </row>
    <row r="658" spans="1:37" ht="18" customHeight="1" x14ac:dyDescent="0.25">
      <c r="A658">
        <v>1242498256</v>
      </c>
      <c r="B658" t="s">
        <v>1353</v>
      </c>
      <c r="C658" t="s">
        <v>1354</v>
      </c>
      <c r="D658" t="s">
        <v>37</v>
      </c>
      <c r="E658" t="s">
        <v>31</v>
      </c>
      <c r="F658" s="2">
        <v>45953.7945115162</v>
      </c>
      <c r="AC658" s="24">
        <f t="shared" ca="1" si="21"/>
        <v>180.20548848379985</v>
      </c>
      <c r="AD658" s="25" t="str">
        <f t="shared" ca="1" si="22"/>
        <v>&gt;60 dias</v>
      </c>
      <c r="AE658" s="25">
        <f>MONTH(Tabela1[[#This Row],[Criado em]])</f>
        <v>10</v>
      </c>
      <c r="AF658" s="25">
        <f>YEAR(Tabela1[[#This Row],[Criado em]])</f>
        <v>2025</v>
      </c>
      <c r="AG658" s="25">
        <f>COUNTIFS(Tabela1[Mês],Tabela1[[#This Row],[Mês]])</f>
        <v>196</v>
      </c>
      <c r="AH658" s="25">
        <f>COUNTIFS(Tabela1[Mês],Tabela1[[#This Row],[Mês]],Tabela1[Fase atual],"Recebido")</f>
        <v>138</v>
      </c>
      <c r="AI658" s="26">
        <f>Tabela1[[#This Row],[Recebido_ Mes]]/Tabela1[[#This Row],[Total_Mes]]</f>
        <v>0.70408163265306123</v>
      </c>
      <c r="AJ658" s="19">
        <f>COUNTIFS(Tabela1[Fase atual],"Recebido",Tabela1[Mês],Tabela1[[#This Row],[Mês]],Tabela1[Ano],Tabela1[[#This Row],[Ano]])/COUNTIF(Tabela1[Mês],Tabela1[[#This Row],[Mês]])</f>
        <v>0.70408163265306123</v>
      </c>
      <c r="AK658" s="20">
        <f>100%</f>
        <v>1</v>
      </c>
    </row>
    <row r="659" spans="1:37" ht="18" customHeight="1" x14ac:dyDescent="0.25">
      <c r="A659">
        <v>1266705070</v>
      </c>
      <c r="B659" t="s">
        <v>1355</v>
      </c>
      <c r="C659" t="s">
        <v>1356</v>
      </c>
      <c r="D659" t="s">
        <v>37</v>
      </c>
      <c r="E659" t="s">
        <v>31</v>
      </c>
      <c r="F659" s="2">
        <v>46001.79727451389</v>
      </c>
      <c r="AC659" s="24">
        <f t="shared" ca="1" si="21"/>
        <v>132.20272548610956</v>
      </c>
      <c r="AD659" s="25" t="str">
        <f t="shared" ca="1" si="22"/>
        <v>&gt;60 dias</v>
      </c>
      <c r="AE659" s="25">
        <f>MONTH(Tabela1[[#This Row],[Criado em]])</f>
        <v>12</v>
      </c>
      <c r="AF659" s="25">
        <f>YEAR(Tabela1[[#This Row],[Criado em]])</f>
        <v>2025</v>
      </c>
      <c r="AG659" s="25">
        <f>COUNTIFS(Tabela1[Mês],Tabela1[[#This Row],[Mês]])</f>
        <v>207</v>
      </c>
      <c r="AH659" s="25">
        <f>COUNTIFS(Tabela1[Mês],Tabela1[[#This Row],[Mês]],Tabela1[Fase atual],"Recebido")</f>
        <v>155</v>
      </c>
      <c r="AI659" s="26">
        <f>Tabela1[[#This Row],[Recebido_ Mes]]/Tabela1[[#This Row],[Total_Mes]]</f>
        <v>0.74879227053140096</v>
      </c>
      <c r="AJ659" s="19">
        <f>COUNTIFS(Tabela1[Fase atual],"Recebido",Tabela1[Mês],Tabela1[[#This Row],[Mês]],Tabela1[Ano],Tabela1[[#This Row],[Ano]])/COUNTIF(Tabela1[Mês],Tabela1[[#This Row],[Mês]])</f>
        <v>0.74879227053140096</v>
      </c>
      <c r="AK659" s="20">
        <f>100%</f>
        <v>1</v>
      </c>
    </row>
    <row r="660" spans="1:37" ht="18" customHeight="1" x14ac:dyDescent="0.25">
      <c r="A660">
        <v>1181388999</v>
      </c>
      <c r="B660" t="s">
        <v>318</v>
      </c>
      <c r="C660" t="s">
        <v>1357</v>
      </c>
      <c r="D660" t="s">
        <v>37</v>
      </c>
      <c r="E660" t="s">
        <v>31</v>
      </c>
      <c r="F660" s="2">
        <v>45861.018207037043</v>
      </c>
      <c r="AC660" s="24">
        <f t="shared" ca="1" si="21"/>
        <v>272.98179296295712</v>
      </c>
      <c r="AD660" s="25" t="str">
        <f t="shared" ca="1" si="22"/>
        <v>&gt;60 dias</v>
      </c>
      <c r="AE660" s="25">
        <f>MONTH(Tabela1[[#This Row],[Criado em]])</f>
        <v>7</v>
      </c>
      <c r="AF660" s="25">
        <f>YEAR(Tabela1[[#This Row],[Criado em]])</f>
        <v>2025</v>
      </c>
      <c r="AG660" s="25">
        <f>COUNTIFS(Tabela1[Mês],Tabela1[[#This Row],[Mês]])</f>
        <v>177</v>
      </c>
      <c r="AH660" s="25">
        <f>COUNTIFS(Tabela1[Mês],Tabela1[[#This Row],[Mês]],Tabela1[Fase atual],"Recebido")</f>
        <v>130</v>
      </c>
      <c r="AI660" s="26">
        <f>Tabela1[[#This Row],[Recebido_ Mes]]/Tabela1[[#This Row],[Total_Mes]]</f>
        <v>0.7344632768361582</v>
      </c>
      <c r="AJ660" s="19">
        <f>COUNTIFS(Tabela1[Fase atual],"Recebido",Tabela1[Mês],Tabela1[[#This Row],[Mês]],Tabela1[Ano],Tabela1[[#This Row],[Ano]])/COUNTIF(Tabela1[Mês],Tabela1[[#This Row],[Mês]])</f>
        <v>0.7344632768361582</v>
      </c>
      <c r="AK660" s="20">
        <f>100%</f>
        <v>1</v>
      </c>
    </row>
    <row r="661" spans="1:37" ht="18" customHeight="1" x14ac:dyDescent="0.25">
      <c r="A661">
        <v>1205877777</v>
      </c>
      <c r="B661" t="s">
        <v>318</v>
      </c>
      <c r="C661" t="s">
        <v>1357</v>
      </c>
      <c r="D661" t="s">
        <v>37</v>
      </c>
      <c r="E661" t="s">
        <v>31</v>
      </c>
      <c r="F661" s="2">
        <v>45901.643025925921</v>
      </c>
      <c r="AC661" s="24">
        <f t="shared" ca="1" si="21"/>
        <v>232.35697407407861</v>
      </c>
      <c r="AD661" s="25" t="str">
        <f t="shared" ca="1" si="22"/>
        <v>&gt;60 dias</v>
      </c>
      <c r="AE661" s="25">
        <f>MONTH(Tabela1[[#This Row],[Criado em]])</f>
        <v>9</v>
      </c>
      <c r="AF661" s="25">
        <f>YEAR(Tabela1[[#This Row],[Criado em]])</f>
        <v>2025</v>
      </c>
      <c r="AG661" s="25">
        <f>COUNTIFS(Tabela1[Mês],Tabela1[[#This Row],[Mês]])</f>
        <v>197</v>
      </c>
      <c r="AH661" s="25">
        <f>COUNTIFS(Tabela1[Mês],Tabela1[[#This Row],[Mês]],Tabela1[Fase atual],"Recebido")</f>
        <v>152</v>
      </c>
      <c r="AI661" s="26">
        <f>Tabela1[[#This Row],[Recebido_ Mes]]/Tabela1[[#This Row],[Total_Mes]]</f>
        <v>0.77157360406091369</v>
      </c>
      <c r="AJ661" s="19">
        <f>COUNTIFS(Tabela1[Fase atual],"Recebido",Tabela1[Mês],Tabela1[[#This Row],[Mês]],Tabela1[Ano],Tabela1[[#This Row],[Ano]])/COUNTIF(Tabela1[Mês],Tabela1[[#This Row],[Mês]])</f>
        <v>0.77157360406091369</v>
      </c>
      <c r="AK661" s="20">
        <f>100%</f>
        <v>1</v>
      </c>
    </row>
    <row r="662" spans="1:37" ht="18" customHeight="1" x14ac:dyDescent="0.25">
      <c r="A662">
        <v>1290963242</v>
      </c>
      <c r="B662" t="s">
        <v>318</v>
      </c>
      <c r="C662" t="s">
        <v>319</v>
      </c>
      <c r="D662" t="s">
        <v>37</v>
      </c>
      <c r="E662" t="s">
        <v>31</v>
      </c>
      <c r="F662" s="2">
        <v>46052.629692013878</v>
      </c>
      <c r="AC662" s="24">
        <f t="shared" ca="1" si="21"/>
        <v>81.370307986122498</v>
      </c>
      <c r="AD662" s="25" t="str">
        <f t="shared" ca="1" si="22"/>
        <v>&gt;60 dias</v>
      </c>
      <c r="AE662" s="25">
        <f>MONTH(Tabela1[[#This Row],[Criado em]])</f>
        <v>1</v>
      </c>
      <c r="AF662" s="25">
        <f>YEAR(Tabela1[[#This Row],[Criado em]])</f>
        <v>2026</v>
      </c>
      <c r="AG662" s="25">
        <f>COUNTIFS(Tabela1[Mês],Tabela1[[#This Row],[Mês]])</f>
        <v>222</v>
      </c>
      <c r="AH662" s="25">
        <f>COUNTIFS(Tabela1[Mês],Tabela1[[#This Row],[Mês]],Tabela1[Fase atual],"Recebido")</f>
        <v>174</v>
      </c>
      <c r="AI662" s="26">
        <f>Tabela1[[#This Row],[Recebido_ Mes]]/Tabela1[[#This Row],[Total_Mes]]</f>
        <v>0.78378378378378377</v>
      </c>
      <c r="AJ662" s="19">
        <f>COUNTIFS(Tabela1[Fase atual],"Recebido",Tabela1[Mês],Tabela1[[#This Row],[Mês]],Tabela1[Ano],Tabela1[[#This Row],[Ano]])/COUNTIF(Tabela1[Mês],Tabela1[[#This Row],[Mês]])</f>
        <v>0.78378378378378377</v>
      </c>
      <c r="AK662" s="20">
        <f>100%</f>
        <v>1</v>
      </c>
    </row>
    <row r="663" spans="1:37" ht="18" customHeight="1" x14ac:dyDescent="0.25">
      <c r="A663">
        <v>1318953434</v>
      </c>
      <c r="C663" t="s">
        <v>2227</v>
      </c>
      <c r="D663" t="s">
        <v>37</v>
      </c>
      <c r="E663" t="s">
        <v>524</v>
      </c>
      <c r="F663" s="2">
        <v>46098.533942638889</v>
      </c>
      <c r="AC663" s="24">
        <f t="shared" ca="1" si="21"/>
        <v>35.46605736111087</v>
      </c>
      <c r="AD663" s="25" t="str">
        <f t="shared" ca="1" si="22"/>
        <v>31-60 dias</v>
      </c>
      <c r="AE663" s="25">
        <f>MONTH(Tabela1[[#This Row],[Criado em]])</f>
        <v>3</v>
      </c>
      <c r="AF663" s="25">
        <f>YEAR(Tabela1[[#This Row],[Criado em]])</f>
        <v>2026</v>
      </c>
      <c r="AG663" s="25">
        <f>COUNTIFS(Tabela1[Mês],Tabela1[[#This Row],[Mês]])</f>
        <v>62</v>
      </c>
      <c r="AH663" s="25">
        <f>COUNTIFS(Tabela1[Mês],Tabela1[[#This Row],[Mês]],Tabela1[Fase atual],"Recebido")</f>
        <v>13</v>
      </c>
      <c r="AI663" s="26">
        <f>Tabela1[[#This Row],[Recebido_ Mes]]/Tabela1[[#This Row],[Total_Mes]]</f>
        <v>0.20967741935483872</v>
      </c>
      <c r="AJ663" s="19">
        <f>COUNTIFS(Tabela1[Fase atual],"Recebido",Tabela1[Mês],Tabela1[[#This Row],[Mês]],Tabela1[Ano],Tabela1[[#This Row],[Ano]])/COUNTIF(Tabela1[Mês],Tabela1[[#This Row],[Mês]])</f>
        <v>0.20967741935483872</v>
      </c>
      <c r="AK663" s="20">
        <f>100%</f>
        <v>1</v>
      </c>
    </row>
    <row r="664" spans="1:37" ht="18" customHeight="1" x14ac:dyDescent="0.25">
      <c r="A664">
        <v>1245428306</v>
      </c>
      <c r="B664" t="s">
        <v>1358</v>
      </c>
      <c r="C664" t="s">
        <v>1359</v>
      </c>
      <c r="D664" t="s">
        <v>40</v>
      </c>
      <c r="E664" t="s">
        <v>31</v>
      </c>
      <c r="F664" s="2">
        <v>45957.701562187503</v>
      </c>
      <c r="AC664" s="24">
        <f t="shared" ca="1" si="21"/>
        <v>176.29843781249656</v>
      </c>
      <c r="AD664" s="25" t="str">
        <f t="shared" ca="1" si="22"/>
        <v>&gt;60 dias</v>
      </c>
      <c r="AE664" s="25">
        <f>MONTH(Tabela1[[#This Row],[Criado em]])</f>
        <v>10</v>
      </c>
      <c r="AF664" s="25">
        <f>YEAR(Tabela1[[#This Row],[Criado em]])</f>
        <v>2025</v>
      </c>
      <c r="AG664" s="25">
        <f>COUNTIFS(Tabela1[Mês],Tabela1[[#This Row],[Mês]])</f>
        <v>196</v>
      </c>
      <c r="AH664" s="25">
        <f>COUNTIFS(Tabela1[Mês],Tabela1[[#This Row],[Mês]],Tabela1[Fase atual],"Recebido")</f>
        <v>138</v>
      </c>
      <c r="AI664" s="26">
        <f>Tabela1[[#This Row],[Recebido_ Mes]]/Tabela1[[#This Row],[Total_Mes]]</f>
        <v>0.70408163265306123</v>
      </c>
      <c r="AJ664" s="19">
        <f>COUNTIFS(Tabela1[Fase atual],"Recebido",Tabela1[Mês],Tabela1[[#This Row],[Mês]],Tabela1[Ano],Tabela1[[#This Row],[Ano]])/COUNTIF(Tabela1[Mês],Tabela1[[#This Row],[Mês]])</f>
        <v>0.70408163265306123</v>
      </c>
      <c r="AK664" s="20">
        <f>100%</f>
        <v>1</v>
      </c>
    </row>
    <row r="665" spans="1:37" ht="18" customHeight="1" x14ac:dyDescent="0.25">
      <c r="A665">
        <v>1193297965</v>
      </c>
      <c r="B665" t="s">
        <v>1358</v>
      </c>
      <c r="C665" t="s">
        <v>1359</v>
      </c>
      <c r="D665" t="s">
        <v>784</v>
      </c>
      <c r="E665" t="s">
        <v>31</v>
      </c>
      <c r="F665" s="2">
        <v>45880.851251446758</v>
      </c>
      <c r="AC665" s="24">
        <f t="shared" ca="1" si="21"/>
        <v>253.1487485532416</v>
      </c>
      <c r="AD665" s="25" t="str">
        <f t="shared" ca="1" si="22"/>
        <v>&gt;60 dias</v>
      </c>
      <c r="AE665" s="25">
        <f>MONTH(Tabela1[[#This Row],[Criado em]])</f>
        <v>8</v>
      </c>
      <c r="AF665" s="25">
        <f>YEAR(Tabela1[[#This Row],[Criado em]])</f>
        <v>2025</v>
      </c>
      <c r="AG665" s="25">
        <f>COUNTIFS(Tabela1[Mês],Tabela1[[#This Row],[Mês]])</f>
        <v>146</v>
      </c>
      <c r="AH665" s="25">
        <f>COUNTIFS(Tabela1[Mês],Tabela1[[#This Row],[Mês]],Tabela1[Fase atual],"Recebido")</f>
        <v>115</v>
      </c>
      <c r="AI665" s="26">
        <f>Tabela1[[#This Row],[Recebido_ Mes]]/Tabela1[[#This Row],[Total_Mes]]</f>
        <v>0.78767123287671237</v>
      </c>
      <c r="AJ665" s="19">
        <f>COUNTIFS(Tabela1[Fase atual],"Recebido",Tabela1[Mês],Tabela1[[#This Row],[Mês]],Tabela1[Ano],Tabela1[[#This Row],[Ano]])/COUNTIF(Tabela1[Mês],Tabela1[[#This Row],[Mês]])</f>
        <v>0.78767123287671237</v>
      </c>
      <c r="AK665" s="20">
        <f>100%</f>
        <v>1</v>
      </c>
    </row>
    <row r="666" spans="1:37" ht="18" customHeight="1" x14ac:dyDescent="0.25">
      <c r="A666">
        <v>1230591094</v>
      </c>
      <c r="B666" t="s">
        <v>1358</v>
      </c>
      <c r="C666" t="s">
        <v>1359</v>
      </c>
      <c r="D666" t="s">
        <v>40</v>
      </c>
      <c r="E666" t="s">
        <v>31</v>
      </c>
      <c r="F666" s="2">
        <v>45938.850898090277</v>
      </c>
      <c r="AC666" s="24">
        <f t="shared" ca="1" si="21"/>
        <v>195.14910190972296</v>
      </c>
      <c r="AD666" s="25" t="str">
        <f t="shared" ca="1" si="22"/>
        <v>&gt;60 dias</v>
      </c>
      <c r="AE666" s="25">
        <f>MONTH(Tabela1[[#This Row],[Criado em]])</f>
        <v>10</v>
      </c>
      <c r="AF666" s="25">
        <f>YEAR(Tabela1[[#This Row],[Criado em]])</f>
        <v>2025</v>
      </c>
      <c r="AG666" s="25">
        <f>COUNTIFS(Tabela1[Mês],Tabela1[[#This Row],[Mês]])</f>
        <v>196</v>
      </c>
      <c r="AH666" s="25">
        <f>COUNTIFS(Tabela1[Mês],Tabela1[[#This Row],[Mês]],Tabela1[Fase atual],"Recebido")</f>
        <v>138</v>
      </c>
      <c r="AI666" s="26">
        <f>Tabela1[[#This Row],[Recebido_ Mes]]/Tabela1[[#This Row],[Total_Mes]]</f>
        <v>0.70408163265306123</v>
      </c>
      <c r="AJ666" s="19">
        <f>COUNTIFS(Tabela1[Fase atual],"Recebido",Tabela1[Mês],Tabela1[[#This Row],[Mês]],Tabela1[Ano],Tabela1[[#This Row],[Ano]])/COUNTIF(Tabela1[Mês],Tabela1[[#This Row],[Mês]])</f>
        <v>0.70408163265306123</v>
      </c>
      <c r="AK666" s="20">
        <f>100%</f>
        <v>1</v>
      </c>
    </row>
    <row r="667" spans="1:37" ht="18" customHeight="1" x14ac:dyDescent="0.25">
      <c r="A667">
        <v>1197309428</v>
      </c>
      <c r="B667" t="s">
        <v>133</v>
      </c>
      <c r="C667" t="s">
        <v>1360</v>
      </c>
      <c r="D667" t="s">
        <v>37</v>
      </c>
      <c r="E667" t="s">
        <v>31</v>
      </c>
      <c r="F667" s="2">
        <v>45887.845807048609</v>
      </c>
      <c r="AC667" s="24">
        <f t="shared" ca="1" si="21"/>
        <v>246.15419295139145</v>
      </c>
      <c r="AD667" s="25" t="str">
        <f t="shared" ca="1" si="22"/>
        <v>&gt;60 dias</v>
      </c>
      <c r="AE667" s="25">
        <f>MONTH(Tabela1[[#This Row],[Criado em]])</f>
        <v>8</v>
      </c>
      <c r="AF667" s="25">
        <f>YEAR(Tabela1[[#This Row],[Criado em]])</f>
        <v>2025</v>
      </c>
      <c r="AG667" s="25">
        <f>COUNTIFS(Tabela1[Mês],Tabela1[[#This Row],[Mês]])</f>
        <v>146</v>
      </c>
      <c r="AH667" s="25">
        <f>COUNTIFS(Tabela1[Mês],Tabela1[[#This Row],[Mês]],Tabela1[Fase atual],"Recebido")</f>
        <v>115</v>
      </c>
      <c r="AI667" s="26">
        <f>Tabela1[[#This Row],[Recebido_ Mes]]/Tabela1[[#This Row],[Total_Mes]]</f>
        <v>0.78767123287671237</v>
      </c>
      <c r="AJ667" s="19">
        <f>COUNTIFS(Tabela1[Fase atual],"Recebido",Tabela1[Mês],Tabela1[[#This Row],[Mês]],Tabela1[Ano],Tabela1[[#This Row],[Ano]])/COUNTIF(Tabela1[Mês],Tabela1[[#This Row],[Mês]])</f>
        <v>0.78767123287671237</v>
      </c>
      <c r="AK667" s="20">
        <f>100%</f>
        <v>1</v>
      </c>
    </row>
    <row r="668" spans="1:37" ht="18" customHeight="1" x14ac:dyDescent="0.25">
      <c r="A668">
        <v>1203711903</v>
      </c>
      <c r="B668" t="s">
        <v>133</v>
      </c>
      <c r="C668" t="s">
        <v>1361</v>
      </c>
      <c r="D668" t="s">
        <v>37</v>
      </c>
      <c r="E668" t="s">
        <v>31</v>
      </c>
      <c r="F668" s="2">
        <v>45897.6422594213</v>
      </c>
      <c r="AC668" s="24">
        <f t="shared" ca="1" si="21"/>
        <v>236.35774057870003</v>
      </c>
      <c r="AD668" s="25" t="str">
        <f t="shared" ca="1" si="22"/>
        <v>&gt;60 dias</v>
      </c>
      <c r="AE668" s="25">
        <f>MONTH(Tabela1[[#This Row],[Criado em]])</f>
        <v>8</v>
      </c>
      <c r="AF668" s="25">
        <f>YEAR(Tabela1[[#This Row],[Criado em]])</f>
        <v>2025</v>
      </c>
      <c r="AG668" s="25">
        <f>COUNTIFS(Tabela1[Mês],Tabela1[[#This Row],[Mês]])</f>
        <v>146</v>
      </c>
      <c r="AH668" s="25">
        <f>COUNTIFS(Tabela1[Mês],Tabela1[[#This Row],[Mês]],Tabela1[Fase atual],"Recebido")</f>
        <v>115</v>
      </c>
      <c r="AI668" s="26">
        <f>Tabela1[[#This Row],[Recebido_ Mes]]/Tabela1[[#This Row],[Total_Mes]]</f>
        <v>0.78767123287671237</v>
      </c>
      <c r="AJ668" s="19">
        <f>COUNTIFS(Tabela1[Fase atual],"Recebido",Tabela1[Mês],Tabela1[[#This Row],[Mês]],Tabela1[Ano],Tabela1[[#This Row],[Ano]])/COUNTIF(Tabela1[Mês],Tabela1[[#This Row],[Mês]])</f>
        <v>0.78767123287671237</v>
      </c>
      <c r="AK668" s="20">
        <f>100%</f>
        <v>1</v>
      </c>
    </row>
    <row r="669" spans="1:37" ht="18" customHeight="1" x14ac:dyDescent="0.25">
      <c r="A669">
        <v>1284078674</v>
      </c>
      <c r="B669" t="s">
        <v>133</v>
      </c>
      <c r="C669" t="s">
        <v>320</v>
      </c>
      <c r="D669" t="s">
        <v>40</v>
      </c>
      <c r="E669" t="s">
        <v>31</v>
      </c>
      <c r="F669" s="2">
        <v>46041.795409131941</v>
      </c>
      <c r="AC669" s="24">
        <f t="shared" ca="1" si="21"/>
        <v>92.204590868059313</v>
      </c>
      <c r="AD669" s="25" t="str">
        <f t="shared" ca="1" si="22"/>
        <v>&gt;60 dias</v>
      </c>
      <c r="AE669" s="25">
        <f>MONTH(Tabela1[[#This Row],[Criado em]])</f>
        <v>1</v>
      </c>
      <c r="AF669" s="25">
        <f>YEAR(Tabela1[[#This Row],[Criado em]])</f>
        <v>2026</v>
      </c>
      <c r="AG669" s="25">
        <f>COUNTIFS(Tabela1[Mês],Tabela1[[#This Row],[Mês]])</f>
        <v>222</v>
      </c>
      <c r="AH669" s="25">
        <f>COUNTIFS(Tabela1[Mês],Tabela1[[#This Row],[Mês]],Tabela1[Fase atual],"Recebido")</f>
        <v>174</v>
      </c>
      <c r="AI669" s="26">
        <f>Tabela1[[#This Row],[Recebido_ Mes]]/Tabela1[[#This Row],[Total_Mes]]</f>
        <v>0.78378378378378377</v>
      </c>
      <c r="AJ669" s="19">
        <f>COUNTIFS(Tabela1[Fase atual],"Recebido",Tabela1[Mês],Tabela1[[#This Row],[Mês]],Tabela1[Ano],Tabela1[[#This Row],[Ano]])/COUNTIF(Tabela1[Mês],Tabela1[[#This Row],[Mês]])</f>
        <v>0.78378378378378377</v>
      </c>
      <c r="AK669" s="20">
        <f>100%</f>
        <v>1</v>
      </c>
    </row>
    <row r="670" spans="1:37" ht="18" customHeight="1" x14ac:dyDescent="0.25">
      <c r="A670">
        <v>1258997392</v>
      </c>
      <c r="B670" t="s">
        <v>1362</v>
      </c>
      <c r="C670" t="s">
        <v>1363</v>
      </c>
      <c r="D670" t="s">
        <v>40</v>
      </c>
      <c r="E670" t="s">
        <v>31</v>
      </c>
      <c r="F670" s="2">
        <v>45985.919858796296</v>
      </c>
      <c r="AC670" s="24">
        <f t="shared" ca="1" si="21"/>
        <v>148.08014120370353</v>
      </c>
      <c r="AD670" s="25" t="str">
        <f t="shared" ca="1" si="22"/>
        <v>&gt;60 dias</v>
      </c>
      <c r="AE670" s="25">
        <f>MONTH(Tabela1[[#This Row],[Criado em]])</f>
        <v>11</v>
      </c>
      <c r="AF670" s="25">
        <f>YEAR(Tabela1[[#This Row],[Criado em]])</f>
        <v>2025</v>
      </c>
      <c r="AG670" s="25">
        <f>COUNTIFS(Tabela1[Mês],Tabela1[[#This Row],[Mês]])</f>
        <v>130</v>
      </c>
      <c r="AH670" s="25">
        <f>COUNTIFS(Tabela1[Mês],Tabela1[[#This Row],[Mês]],Tabela1[Fase atual],"Recebido")</f>
        <v>100</v>
      </c>
      <c r="AI670" s="26">
        <f>Tabela1[[#This Row],[Recebido_ Mes]]/Tabela1[[#This Row],[Total_Mes]]</f>
        <v>0.76923076923076927</v>
      </c>
      <c r="AJ670" s="19">
        <f>COUNTIFS(Tabela1[Fase atual],"Recebido",Tabela1[Mês],Tabela1[[#This Row],[Mês]],Tabela1[Ano],Tabela1[[#This Row],[Ano]])/COUNTIF(Tabela1[Mês],Tabela1[[#This Row],[Mês]])</f>
        <v>0.76923076923076927</v>
      </c>
      <c r="AK670" s="20">
        <f>100%</f>
        <v>1</v>
      </c>
    </row>
    <row r="671" spans="1:37" ht="18" customHeight="1" x14ac:dyDescent="0.25">
      <c r="A671">
        <v>1223686325</v>
      </c>
      <c r="B671" t="s">
        <v>1364</v>
      </c>
      <c r="C671" t="s">
        <v>1365</v>
      </c>
      <c r="D671" t="s">
        <v>37</v>
      </c>
      <c r="E671" t="s">
        <v>31</v>
      </c>
      <c r="F671" s="2">
        <v>45929.641389560187</v>
      </c>
      <c r="AC671" s="24">
        <f t="shared" ca="1" si="21"/>
        <v>204.35861043981276</v>
      </c>
      <c r="AD671" s="25" t="str">
        <f t="shared" ca="1" si="22"/>
        <v>&gt;60 dias</v>
      </c>
      <c r="AE671" s="25">
        <f>MONTH(Tabela1[[#This Row],[Criado em]])</f>
        <v>9</v>
      </c>
      <c r="AF671" s="25">
        <f>YEAR(Tabela1[[#This Row],[Criado em]])</f>
        <v>2025</v>
      </c>
      <c r="AG671" s="25">
        <f>COUNTIFS(Tabela1[Mês],Tabela1[[#This Row],[Mês]])</f>
        <v>197</v>
      </c>
      <c r="AH671" s="25">
        <f>COUNTIFS(Tabela1[Mês],Tabela1[[#This Row],[Mês]],Tabela1[Fase atual],"Recebido")</f>
        <v>152</v>
      </c>
      <c r="AI671" s="26">
        <f>Tabela1[[#This Row],[Recebido_ Mes]]/Tabela1[[#This Row],[Total_Mes]]</f>
        <v>0.77157360406091369</v>
      </c>
      <c r="AJ671" s="19">
        <f>COUNTIFS(Tabela1[Fase atual],"Recebido",Tabela1[Mês],Tabela1[[#This Row],[Mês]],Tabela1[Ano],Tabela1[[#This Row],[Ano]])/COUNTIF(Tabela1[Mês],Tabela1[[#This Row],[Mês]])</f>
        <v>0.77157360406091369</v>
      </c>
      <c r="AK671" s="20">
        <f>100%</f>
        <v>1</v>
      </c>
    </row>
    <row r="672" spans="1:37" ht="18" customHeight="1" x14ac:dyDescent="0.25">
      <c r="A672">
        <v>1230591597</v>
      </c>
      <c r="B672" t="s">
        <v>1364</v>
      </c>
      <c r="C672" t="s">
        <v>1365</v>
      </c>
      <c r="D672" t="s">
        <v>37</v>
      </c>
      <c r="E672" t="s">
        <v>31</v>
      </c>
      <c r="F672" s="2">
        <v>45938.851206354157</v>
      </c>
      <c r="AC672" s="24">
        <f t="shared" ca="1" si="21"/>
        <v>195.1487936458434</v>
      </c>
      <c r="AD672" s="25" t="str">
        <f t="shared" ca="1" si="22"/>
        <v>&gt;60 dias</v>
      </c>
      <c r="AE672" s="25">
        <f>MONTH(Tabela1[[#This Row],[Criado em]])</f>
        <v>10</v>
      </c>
      <c r="AF672" s="25">
        <f>YEAR(Tabela1[[#This Row],[Criado em]])</f>
        <v>2025</v>
      </c>
      <c r="AG672" s="25">
        <f>COUNTIFS(Tabela1[Mês],Tabela1[[#This Row],[Mês]])</f>
        <v>196</v>
      </c>
      <c r="AH672" s="25">
        <f>COUNTIFS(Tabela1[Mês],Tabela1[[#This Row],[Mês]],Tabela1[Fase atual],"Recebido")</f>
        <v>138</v>
      </c>
      <c r="AI672" s="26">
        <f>Tabela1[[#This Row],[Recebido_ Mes]]/Tabela1[[#This Row],[Total_Mes]]</f>
        <v>0.70408163265306123</v>
      </c>
      <c r="AJ672" s="19">
        <f>COUNTIFS(Tabela1[Fase atual],"Recebido",Tabela1[Mês],Tabela1[[#This Row],[Mês]],Tabela1[Ano],Tabela1[[#This Row],[Ano]])/COUNTIF(Tabela1[Mês],Tabela1[[#This Row],[Mês]])</f>
        <v>0.70408163265306123</v>
      </c>
      <c r="AK672" s="20">
        <f>100%</f>
        <v>1</v>
      </c>
    </row>
    <row r="673" spans="1:37" ht="18" customHeight="1" x14ac:dyDescent="0.25">
      <c r="A673">
        <v>1291129640</v>
      </c>
      <c r="B673" t="s">
        <v>321</v>
      </c>
      <c r="C673" t="s">
        <v>322</v>
      </c>
      <c r="D673" t="s">
        <v>37</v>
      </c>
      <c r="E673" t="s">
        <v>31</v>
      </c>
      <c r="F673" s="2">
        <v>46052.816394004629</v>
      </c>
      <c r="AC673" s="24">
        <f t="shared" ca="1" si="21"/>
        <v>81.183605995371181</v>
      </c>
      <c r="AD673" s="25" t="str">
        <f t="shared" ca="1" si="22"/>
        <v>&gt;60 dias</v>
      </c>
      <c r="AE673" s="25">
        <f>MONTH(Tabela1[[#This Row],[Criado em]])</f>
        <v>1</v>
      </c>
      <c r="AF673" s="25">
        <f>YEAR(Tabela1[[#This Row],[Criado em]])</f>
        <v>2026</v>
      </c>
      <c r="AG673" s="25">
        <f>COUNTIFS(Tabela1[Mês],Tabela1[[#This Row],[Mês]])</f>
        <v>222</v>
      </c>
      <c r="AH673" s="25">
        <f>COUNTIFS(Tabela1[Mês],Tabela1[[#This Row],[Mês]],Tabela1[Fase atual],"Recebido")</f>
        <v>174</v>
      </c>
      <c r="AI673" s="26">
        <f>Tabela1[[#This Row],[Recebido_ Mes]]/Tabela1[[#This Row],[Total_Mes]]</f>
        <v>0.78378378378378377</v>
      </c>
      <c r="AJ673" s="19">
        <f>COUNTIFS(Tabela1[Fase atual],"Recebido",Tabela1[Mês],Tabela1[[#This Row],[Mês]],Tabela1[Ano],Tabela1[[#This Row],[Ano]])/COUNTIF(Tabela1[Mês],Tabela1[[#This Row],[Mês]])</f>
        <v>0.78378378378378377</v>
      </c>
      <c r="AK673" s="20">
        <f>100%</f>
        <v>1</v>
      </c>
    </row>
    <row r="674" spans="1:37" ht="18" customHeight="1" x14ac:dyDescent="0.25">
      <c r="A674">
        <v>1170806180</v>
      </c>
      <c r="B674" t="s">
        <v>782</v>
      </c>
      <c r="C674" t="s">
        <v>1366</v>
      </c>
      <c r="D674" t="s">
        <v>202</v>
      </c>
      <c r="E674" t="s">
        <v>31</v>
      </c>
      <c r="F674" s="2">
        <v>45841.017990474531</v>
      </c>
      <c r="AC674" s="24">
        <f t="shared" ca="1" si="21"/>
        <v>292.98200952546904</v>
      </c>
      <c r="AD674" s="25" t="str">
        <f t="shared" ca="1" si="22"/>
        <v>&gt;60 dias</v>
      </c>
      <c r="AE674" s="25">
        <f>MONTH(Tabela1[[#This Row],[Criado em]])</f>
        <v>7</v>
      </c>
      <c r="AF674" s="25">
        <f>YEAR(Tabela1[[#This Row],[Criado em]])</f>
        <v>2025</v>
      </c>
      <c r="AG674" s="25">
        <f>COUNTIFS(Tabela1[Mês],Tabela1[[#This Row],[Mês]])</f>
        <v>177</v>
      </c>
      <c r="AH674" s="25">
        <f>COUNTIFS(Tabela1[Mês],Tabela1[[#This Row],[Mês]],Tabela1[Fase atual],"Recebido")</f>
        <v>130</v>
      </c>
      <c r="AI674" s="26">
        <f>Tabela1[[#This Row],[Recebido_ Mes]]/Tabela1[[#This Row],[Total_Mes]]</f>
        <v>0.7344632768361582</v>
      </c>
      <c r="AJ674" s="19">
        <f>COUNTIFS(Tabela1[Fase atual],"Recebido",Tabela1[Mês],Tabela1[[#This Row],[Mês]],Tabela1[Ano],Tabela1[[#This Row],[Ano]])/COUNTIF(Tabela1[Mês],Tabela1[[#This Row],[Mês]])</f>
        <v>0.7344632768361582</v>
      </c>
      <c r="AK674" s="20">
        <f>100%</f>
        <v>1</v>
      </c>
    </row>
    <row r="675" spans="1:37" ht="18" customHeight="1" x14ac:dyDescent="0.25">
      <c r="A675">
        <v>1179390697</v>
      </c>
      <c r="B675" t="s">
        <v>782</v>
      </c>
      <c r="C675" t="s">
        <v>1366</v>
      </c>
      <c r="D675" t="s">
        <v>202</v>
      </c>
      <c r="E675" t="s">
        <v>31</v>
      </c>
      <c r="F675" s="2">
        <v>45857.851027812503</v>
      </c>
      <c r="AC675" s="24">
        <f t="shared" ca="1" si="21"/>
        <v>276.14897218749684</v>
      </c>
      <c r="AD675" s="25" t="str">
        <f t="shared" ca="1" si="22"/>
        <v>&gt;60 dias</v>
      </c>
      <c r="AE675" s="25">
        <f>MONTH(Tabela1[[#This Row],[Criado em]])</f>
        <v>7</v>
      </c>
      <c r="AF675" s="25">
        <f>YEAR(Tabela1[[#This Row],[Criado em]])</f>
        <v>2025</v>
      </c>
      <c r="AG675" s="25">
        <f>COUNTIFS(Tabela1[Mês],Tabela1[[#This Row],[Mês]])</f>
        <v>177</v>
      </c>
      <c r="AH675" s="25">
        <f>COUNTIFS(Tabela1[Mês],Tabela1[[#This Row],[Mês]],Tabela1[Fase atual],"Recebido")</f>
        <v>130</v>
      </c>
      <c r="AI675" s="26">
        <f>Tabela1[[#This Row],[Recebido_ Mes]]/Tabela1[[#This Row],[Total_Mes]]</f>
        <v>0.7344632768361582</v>
      </c>
      <c r="AJ675" s="19">
        <f>COUNTIFS(Tabela1[Fase atual],"Recebido",Tabela1[Mês],Tabela1[[#This Row],[Mês]],Tabela1[Ano],Tabela1[[#This Row],[Ano]])/COUNTIF(Tabela1[Mês],Tabela1[[#This Row],[Mês]])</f>
        <v>0.7344632768361582</v>
      </c>
      <c r="AK675" s="20">
        <f>100%</f>
        <v>1</v>
      </c>
    </row>
    <row r="676" spans="1:37" ht="18" customHeight="1" x14ac:dyDescent="0.25">
      <c r="A676">
        <v>1170806217</v>
      </c>
      <c r="B676" t="s">
        <v>782</v>
      </c>
      <c r="C676" t="s">
        <v>1366</v>
      </c>
      <c r="D676" t="s">
        <v>202</v>
      </c>
      <c r="E676" t="s">
        <v>31</v>
      </c>
      <c r="F676" s="2">
        <v>45841.018137858802</v>
      </c>
      <c r="AC676" s="24">
        <f t="shared" ca="1" si="21"/>
        <v>292.98186214119778</v>
      </c>
      <c r="AD676" s="25" t="str">
        <f t="shared" ca="1" si="22"/>
        <v>&gt;60 dias</v>
      </c>
      <c r="AE676" s="25">
        <f>MONTH(Tabela1[[#This Row],[Criado em]])</f>
        <v>7</v>
      </c>
      <c r="AF676" s="25">
        <f>YEAR(Tabela1[[#This Row],[Criado em]])</f>
        <v>2025</v>
      </c>
      <c r="AG676" s="25">
        <f>COUNTIFS(Tabela1[Mês],Tabela1[[#This Row],[Mês]])</f>
        <v>177</v>
      </c>
      <c r="AH676" s="25">
        <f>COUNTIFS(Tabela1[Mês],Tabela1[[#This Row],[Mês]],Tabela1[Fase atual],"Recebido")</f>
        <v>130</v>
      </c>
      <c r="AI676" s="26">
        <f>Tabela1[[#This Row],[Recebido_ Mes]]/Tabela1[[#This Row],[Total_Mes]]</f>
        <v>0.7344632768361582</v>
      </c>
      <c r="AJ676" s="19">
        <f>COUNTIFS(Tabela1[Fase atual],"Recebido",Tabela1[Mês],Tabela1[[#This Row],[Mês]],Tabela1[Ano],Tabela1[[#This Row],[Ano]])/COUNTIF(Tabela1[Mês],Tabela1[[#This Row],[Mês]])</f>
        <v>0.7344632768361582</v>
      </c>
      <c r="AK676" s="20">
        <f>100%</f>
        <v>1</v>
      </c>
    </row>
    <row r="677" spans="1:37" ht="18" customHeight="1" x14ac:dyDescent="0.25">
      <c r="A677">
        <v>1175343247</v>
      </c>
      <c r="B677" t="s">
        <v>782</v>
      </c>
      <c r="C677" t="s">
        <v>1366</v>
      </c>
      <c r="D677" t="s">
        <v>202</v>
      </c>
      <c r="E677" t="s">
        <v>31</v>
      </c>
      <c r="F677" s="2">
        <v>45850.850472314807</v>
      </c>
      <c r="AC677" s="24">
        <f t="shared" ca="1" si="21"/>
        <v>283.14952768519288</v>
      </c>
      <c r="AD677" s="25" t="str">
        <f t="shared" ca="1" si="22"/>
        <v>&gt;60 dias</v>
      </c>
      <c r="AE677" s="25">
        <f>MONTH(Tabela1[[#This Row],[Criado em]])</f>
        <v>7</v>
      </c>
      <c r="AF677" s="25">
        <f>YEAR(Tabela1[[#This Row],[Criado em]])</f>
        <v>2025</v>
      </c>
      <c r="AG677" s="25">
        <f>COUNTIFS(Tabela1[Mês],Tabela1[[#This Row],[Mês]])</f>
        <v>177</v>
      </c>
      <c r="AH677" s="25">
        <f>COUNTIFS(Tabela1[Mês],Tabela1[[#This Row],[Mês]],Tabela1[Fase atual],"Recebido")</f>
        <v>130</v>
      </c>
      <c r="AI677" s="26">
        <f>Tabela1[[#This Row],[Recebido_ Mes]]/Tabela1[[#This Row],[Total_Mes]]</f>
        <v>0.7344632768361582</v>
      </c>
      <c r="AJ677" s="19">
        <f>COUNTIFS(Tabela1[Fase atual],"Recebido",Tabela1[Mês],Tabela1[[#This Row],[Mês]],Tabela1[Ano],Tabela1[[#This Row],[Ano]])/COUNTIF(Tabela1[Mês],Tabela1[[#This Row],[Mês]])</f>
        <v>0.7344632768361582</v>
      </c>
      <c r="AK677" s="20">
        <f>100%</f>
        <v>1</v>
      </c>
    </row>
    <row r="678" spans="1:37" ht="18" customHeight="1" x14ac:dyDescent="0.25">
      <c r="A678">
        <v>1179654747</v>
      </c>
      <c r="B678" t="s">
        <v>782</v>
      </c>
      <c r="C678" t="s">
        <v>1366</v>
      </c>
      <c r="D678" t="s">
        <v>202</v>
      </c>
      <c r="E678" t="s">
        <v>31</v>
      </c>
      <c r="F678" s="2">
        <v>45858.643663391202</v>
      </c>
      <c r="AC678" s="24">
        <f t="shared" ca="1" si="21"/>
        <v>275.3563366087983</v>
      </c>
      <c r="AD678" s="25" t="str">
        <f t="shared" ca="1" si="22"/>
        <v>&gt;60 dias</v>
      </c>
      <c r="AE678" s="25">
        <f>MONTH(Tabela1[[#This Row],[Criado em]])</f>
        <v>7</v>
      </c>
      <c r="AF678" s="25">
        <f>YEAR(Tabela1[[#This Row],[Criado em]])</f>
        <v>2025</v>
      </c>
      <c r="AG678" s="25">
        <f>COUNTIFS(Tabela1[Mês],Tabela1[[#This Row],[Mês]])</f>
        <v>177</v>
      </c>
      <c r="AH678" s="25">
        <f>COUNTIFS(Tabela1[Mês],Tabela1[[#This Row],[Mês]],Tabela1[Fase atual],"Recebido")</f>
        <v>130</v>
      </c>
      <c r="AI678" s="26">
        <f>Tabela1[[#This Row],[Recebido_ Mes]]/Tabela1[[#This Row],[Total_Mes]]</f>
        <v>0.7344632768361582</v>
      </c>
      <c r="AJ678" s="19">
        <f>COUNTIFS(Tabela1[Fase atual],"Recebido",Tabela1[Mês],Tabela1[[#This Row],[Mês]],Tabela1[Ano],Tabela1[[#This Row],[Ano]])/COUNTIF(Tabela1[Mês],Tabela1[[#This Row],[Mês]])</f>
        <v>0.7344632768361582</v>
      </c>
      <c r="AK678" s="20">
        <f>100%</f>
        <v>1</v>
      </c>
    </row>
    <row r="679" spans="1:37" ht="18" customHeight="1" x14ac:dyDescent="0.25">
      <c r="A679">
        <v>1304765136</v>
      </c>
      <c r="B679" t="s">
        <v>689</v>
      </c>
      <c r="C679" t="s">
        <v>690</v>
      </c>
      <c r="D679" t="s">
        <v>37</v>
      </c>
      <c r="E679" t="s">
        <v>31</v>
      </c>
      <c r="F679" s="2">
        <v>46079.796634583327</v>
      </c>
      <c r="AC679" s="24">
        <f t="shared" ca="1" si="21"/>
        <v>54.203365416673478</v>
      </c>
      <c r="AD679" s="25" t="str">
        <f t="shared" ca="1" si="22"/>
        <v>31-60 dias</v>
      </c>
      <c r="AE679" s="25">
        <f>MONTH(Tabela1[[#This Row],[Criado em]])</f>
        <v>2</v>
      </c>
      <c r="AF679" s="25">
        <f>YEAR(Tabela1[[#This Row],[Criado em]])</f>
        <v>2026</v>
      </c>
      <c r="AG679" s="25">
        <f>COUNTIFS(Tabela1[Mês],Tabela1[[#This Row],[Mês]])</f>
        <v>197</v>
      </c>
      <c r="AH679" s="25">
        <f>COUNTIFS(Tabela1[Mês],Tabela1[[#This Row],[Mês]],Tabela1[Fase atual],"Recebido")</f>
        <v>124</v>
      </c>
      <c r="AI679" s="26">
        <f>Tabela1[[#This Row],[Recebido_ Mes]]/Tabela1[[#This Row],[Total_Mes]]</f>
        <v>0.62944162436548223</v>
      </c>
      <c r="AJ679" s="19">
        <f>COUNTIFS(Tabela1[Fase atual],"Recebido",Tabela1[Mês],Tabela1[[#This Row],[Mês]],Tabela1[Ano],Tabela1[[#This Row],[Ano]])/COUNTIF(Tabela1[Mês],Tabela1[[#This Row],[Mês]])</f>
        <v>0.62944162436548223</v>
      </c>
      <c r="AK679" s="20">
        <f>100%</f>
        <v>1</v>
      </c>
    </row>
    <row r="680" spans="1:37" ht="18" customHeight="1" x14ac:dyDescent="0.25">
      <c r="A680">
        <v>1266785315</v>
      </c>
      <c r="B680" t="s">
        <v>689</v>
      </c>
      <c r="C680" t="s">
        <v>690</v>
      </c>
      <c r="D680" t="s">
        <v>37</v>
      </c>
      <c r="E680" t="s">
        <v>31</v>
      </c>
      <c r="F680" s="2">
        <v>46001.922151828709</v>
      </c>
      <c r="AC680" s="24">
        <f t="shared" ca="1" si="21"/>
        <v>132.07784817129141</v>
      </c>
      <c r="AD680" s="25" t="str">
        <f t="shared" ca="1" si="22"/>
        <v>&gt;60 dias</v>
      </c>
      <c r="AE680" s="25">
        <f>MONTH(Tabela1[[#This Row],[Criado em]])</f>
        <v>12</v>
      </c>
      <c r="AF680" s="25">
        <f>YEAR(Tabela1[[#This Row],[Criado em]])</f>
        <v>2025</v>
      </c>
      <c r="AG680" s="25">
        <f>COUNTIFS(Tabela1[Mês],Tabela1[[#This Row],[Mês]])</f>
        <v>207</v>
      </c>
      <c r="AH680" s="25">
        <f>COUNTIFS(Tabela1[Mês],Tabela1[[#This Row],[Mês]],Tabela1[Fase atual],"Recebido")</f>
        <v>155</v>
      </c>
      <c r="AI680" s="26">
        <f>Tabela1[[#This Row],[Recebido_ Mes]]/Tabela1[[#This Row],[Total_Mes]]</f>
        <v>0.74879227053140096</v>
      </c>
      <c r="AJ680" s="19">
        <f>COUNTIFS(Tabela1[Fase atual],"Recebido",Tabela1[Mês],Tabela1[[#This Row],[Mês]],Tabela1[Ano],Tabela1[[#This Row],[Ano]])/COUNTIF(Tabela1[Mês],Tabela1[[#This Row],[Mês]])</f>
        <v>0.74879227053140096</v>
      </c>
      <c r="AK680" s="20">
        <f>100%</f>
        <v>1</v>
      </c>
    </row>
    <row r="681" spans="1:37" ht="18" customHeight="1" x14ac:dyDescent="0.25">
      <c r="A681">
        <v>1204000895</v>
      </c>
      <c r="B681" t="s">
        <v>689</v>
      </c>
      <c r="C681" t="s">
        <v>1367</v>
      </c>
      <c r="D681" t="s">
        <v>37</v>
      </c>
      <c r="E681" t="s">
        <v>31</v>
      </c>
      <c r="F681" s="2">
        <v>45897.850784942129</v>
      </c>
      <c r="AC681" s="24">
        <f t="shared" ca="1" si="21"/>
        <v>236.14921505787061</v>
      </c>
      <c r="AD681" s="25" t="str">
        <f t="shared" ca="1" si="22"/>
        <v>&gt;60 dias</v>
      </c>
      <c r="AE681" s="25">
        <f>MONTH(Tabela1[[#This Row],[Criado em]])</f>
        <v>8</v>
      </c>
      <c r="AF681" s="25">
        <f>YEAR(Tabela1[[#This Row],[Criado em]])</f>
        <v>2025</v>
      </c>
      <c r="AG681" s="25">
        <f>COUNTIFS(Tabela1[Mês],Tabela1[[#This Row],[Mês]])</f>
        <v>146</v>
      </c>
      <c r="AH681" s="25">
        <f>COUNTIFS(Tabela1[Mês],Tabela1[[#This Row],[Mês]],Tabela1[Fase atual],"Recebido")</f>
        <v>115</v>
      </c>
      <c r="AI681" s="26">
        <f>Tabela1[[#This Row],[Recebido_ Mes]]/Tabela1[[#This Row],[Total_Mes]]</f>
        <v>0.78767123287671237</v>
      </c>
      <c r="AJ681" s="19">
        <f>COUNTIFS(Tabela1[Fase atual],"Recebido",Tabela1[Mês],Tabela1[[#This Row],[Mês]],Tabela1[Ano],Tabela1[[#This Row],[Ano]])/COUNTIF(Tabela1[Mês],Tabela1[[#This Row],[Mês]])</f>
        <v>0.78767123287671237</v>
      </c>
      <c r="AK681" s="20">
        <f>100%</f>
        <v>1</v>
      </c>
    </row>
    <row r="682" spans="1:37" ht="18" customHeight="1" x14ac:dyDescent="0.25">
      <c r="A682">
        <v>1249086114</v>
      </c>
      <c r="B682" t="s">
        <v>1368</v>
      </c>
      <c r="C682" t="s">
        <v>1369</v>
      </c>
      <c r="D682" t="s">
        <v>37</v>
      </c>
      <c r="E682" t="s">
        <v>31</v>
      </c>
      <c r="F682" s="2">
        <v>45964.794837175927</v>
      </c>
      <c r="AC682" s="24">
        <f t="shared" ca="1" si="21"/>
        <v>169.20516282407334</v>
      </c>
      <c r="AD682" s="25" t="str">
        <f t="shared" ca="1" si="22"/>
        <v>&gt;60 dias</v>
      </c>
      <c r="AE682" s="25">
        <f>MONTH(Tabela1[[#This Row],[Criado em]])</f>
        <v>11</v>
      </c>
      <c r="AF682" s="25">
        <f>YEAR(Tabela1[[#This Row],[Criado em]])</f>
        <v>2025</v>
      </c>
      <c r="AG682" s="25">
        <f>COUNTIFS(Tabela1[Mês],Tabela1[[#This Row],[Mês]])</f>
        <v>130</v>
      </c>
      <c r="AH682" s="25">
        <f>COUNTIFS(Tabela1[Mês],Tabela1[[#This Row],[Mês]],Tabela1[Fase atual],"Recebido")</f>
        <v>100</v>
      </c>
      <c r="AI682" s="26">
        <f>Tabela1[[#This Row],[Recebido_ Mes]]/Tabela1[[#This Row],[Total_Mes]]</f>
        <v>0.76923076923076927</v>
      </c>
      <c r="AJ682" s="19">
        <f>COUNTIFS(Tabela1[Fase atual],"Recebido",Tabela1[Mês],Tabela1[[#This Row],[Mês]],Tabela1[Ano],Tabela1[[#This Row],[Ano]])/COUNTIF(Tabela1[Mês],Tabela1[[#This Row],[Mês]])</f>
        <v>0.76923076923076927</v>
      </c>
      <c r="AK682" s="20">
        <f>100%</f>
        <v>1</v>
      </c>
    </row>
    <row r="683" spans="1:37" ht="18" customHeight="1" x14ac:dyDescent="0.25">
      <c r="A683">
        <v>1267302989</v>
      </c>
      <c r="B683" t="s">
        <v>1370</v>
      </c>
      <c r="C683" t="s">
        <v>1371</v>
      </c>
      <c r="D683" t="s">
        <v>37</v>
      </c>
      <c r="E683" t="s">
        <v>31</v>
      </c>
      <c r="F683" s="2">
        <v>46002.922168645833</v>
      </c>
      <c r="AC683" s="24">
        <f t="shared" ca="1" si="21"/>
        <v>131.07783135416685</v>
      </c>
      <c r="AD683" s="25" t="str">
        <f t="shared" ca="1" si="22"/>
        <v>&gt;60 dias</v>
      </c>
      <c r="AE683" s="25">
        <f>MONTH(Tabela1[[#This Row],[Criado em]])</f>
        <v>12</v>
      </c>
      <c r="AF683" s="25">
        <f>YEAR(Tabela1[[#This Row],[Criado em]])</f>
        <v>2025</v>
      </c>
      <c r="AG683" s="25">
        <f>COUNTIFS(Tabela1[Mês],Tabela1[[#This Row],[Mês]])</f>
        <v>207</v>
      </c>
      <c r="AH683" s="25">
        <f>COUNTIFS(Tabela1[Mês],Tabela1[[#This Row],[Mês]],Tabela1[Fase atual],"Recebido")</f>
        <v>155</v>
      </c>
      <c r="AI683" s="26">
        <f>Tabela1[[#This Row],[Recebido_ Mes]]/Tabela1[[#This Row],[Total_Mes]]</f>
        <v>0.74879227053140096</v>
      </c>
      <c r="AJ683" s="19">
        <f>COUNTIFS(Tabela1[Fase atual],"Recebido",Tabela1[Mês],Tabela1[[#This Row],[Mês]],Tabela1[Ano],Tabela1[[#This Row],[Ano]])/COUNTIF(Tabela1[Mês],Tabela1[[#This Row],[Mês]])</f>
        <v>0.74879227053140096</v>
      </c>
      <c r="AK683" s="20">
        <f>100%</f>
        <v>1</v>
      </c>
    </row>
    <row r="684" spans="1:37" ht="18" customHeight="1" x14ac:dyDescent="0.25">
      <c r="A684">
        <v>1240427488</v>
      </c>
      <c r="B684" t="s">
        <v>1372</v>
      </c>
      <c r="C684" t="s">
        <v>1373</v>
      </c>
      <c r="D684" t="s">
        <v>37</v>
      </c>
      <c r="E684" t="s">
        <v>31</v>
      </c>
      <c r="F684" s="2">
        <v>45951.543764768518</v>
      </c>
      <c r="AC684" s="24">
        <f t="shared" ca="1" si="21"/>
        <v>182.45623523148242</v>
      </c>
      <c r="AD684" s="25" t="str">
        <f t="shared" ca="1" si="22"/>
        <v>&gt;60 dias</v>
      </c>
      <c r="AE684" s="25">
        <f>MONTH(Tabela1[[#This Row],[Criado em]])</f>
        <v>10</v>
      </c>
      <c r="AF684" s="25">
        <f>YEAR(Tabela1[[#This Row],[Criado em]])</f>
        <v>2025</v>
      </c>
      <c r="AG684" s="25">
        <f>COUNTIFS(Tabela1[Mês],Tabela1[[#This Row],[Mês]])</f>
        <v>196</v>
      </c>
      <c r="AH684" s="25">
        <f>COUNTIFS(Tabela1[Mês],Tabela1[[#This Row],[Mês]],Tabela1[Fase atual],"Recebido")</f>
        <v>138</v>
      </c>
      <c r="AI684" s="26">
        <f>Tabela1[[#This Row],[Recebido_ Mes]]/Tabela1[[#This Row],[Total_Mes]]</f>
        <v>0.70408163265306123</v>
      </c>
      <c r="AJ684" s="19">
        <f>COUNTIFS(Tabela1[Fase atual],"Recebido",Tabela1[Mês],Tabela1[[#This Row],[Mês]],Tabela1[Ano],Tabela1[[#This Row],[Ano]])/COUNTIF(Tabela1[Mês],Tabela1[[#This Row],[Mês]])</f>
        <v>0.70408163265306123</v>
      </c>
      <c r="AK684" s="20">
        <f>100%</f>
        <v>1</v>
      </c>
    </row>
    <row r="685" spans="1:37" ht="18" customHeight="1" x14ac:dyDescent="0.25">
      <c r="A685">
        <v>1215955132</v>
      </c>
      <c r="B685" t="s">
        <v>1374</v>
      </c>
      <c r="C685" t="s">
        <v>1375</v>
      </c>
      <c r="D685" t="s">
        <v>37</v>
      </c>
      <c r="E685" t="s">
        <v>31</v>
      </c>
      <c r="F685" s="2">
        <v>45917.641558402778</v>
      </c>
      <c r="AC685" s="24">
        <f t="shared" ca="1" si="21"/>
        <v>216.35844159722183</v>
      </c>
      <c r="AD685" s="25" t="str">
        <f t="shared" ca="1" si="22"/>
        <v>&gt;60 dias</v>
      </c>
      <c r="AE685" s="25">
        <f>MONTH(Tabela1[[#This Row],[Criado em]])</f>
        <v>9</v>
      </c>
      <c r="AF685" s="25">
        <f>YEAR(Tabela1[[#This Row],[Criado em]])</f>
        <v>2025</v>
      </c>
      <c r="AG685" s="25">
        <f>COUNTIFS(Tabela1[Mês],Tabela1[[#This Row],[Mês]])</f>
        <v>197</v>
      </c>
      <c r="AH685" s="25">
        <f>COUNTIFS(Tabela1[Mês],Tabela1[[#This Row],[Mês]],Tabela1[Fase atual],"Recebido")</f>
        <v>152</v>
      </c>
      <c r="AI685" s="26">
        <f>Tabela1[[#This Row],[Recebido_ Mes]]/Tabela1[[#This Row],[Total_Mes]]</f>
        <v>0.77157360406091369</v>
      </c>
      <c r="AJ685" s="19">
        <f>COUNTIFS(Tabela1[Fase atual],"Recebido",Tabela1[Mês],Tabela1[[#This Row],[Mês]],Tabela1[Ano],Tabela1[[#This Row],[Ano]])/COUNTIF(Tabela1[Mês],Tabela1[[#This Row],[Mês]])</f>
        <v>0.77157360406091369</v>
      </c>
      <c r="AK685" s="20">
        <f>100%</f>
        <v>1</v>
      </c>
    </row>
    <row r="686" spans="1:37" ht="18" customHeight="1" x14ac:dyDescent="0.25">
      <c r="A686">
        <v>1305499866</v>
      </c>
      <c r="B686" t="s">
        <v>2228</v>
      </c>
      <c r="C686" t="s">
        <v>2229</v>
      </c>
      <c r="D686" t="s">
        <v>2179</v>
      </c>
      <c r="E686" t="s">
        <v>31</v>
      </c>
      <c r="F686" s="2">
        <v>46080.795046921303</v>
      </c>
      <c r="AC686" s="24">
        <f t="shared" ca="1" si="21"/>
        <v>53.204953078697145</v>
      </c>
      <c r="AD686" s="25" t="str">
        <f t="shared" ca="1" si="22"/>
        <v>31-60 dias</v>
      </c>
      <c r="AE686" s="25">
        <f>MONTH(Tabela1[[#This Row],[Criado em]])</f>
        <v>2</v>
      </c>
      <c r="AF686" s="25">
        <f>YEAR(Tabela1[[#This Row],[Criado em]])</f>
        <v>2026</v>
      </c>
      <c r="AG686" s="25">
        <f>COUNTIFS(Tabela1[Mês],Tabela1[[#This Row],[Mês]])</f>
        <v>197</v>
      </c>
      <c r="AH686" s="25">
        <f>COUNTIFS(Tabela1[Mês],Tabela1[[#This Row],[Mês]],Tabela1[Fase atual],"Recebido")</f>
        <v>124</v>
      </c>
      <c r="AI686" s="26">
        <f>Tabela1[[#This Row],[Recebido_ Mes]]/Tabela1[[#This Row],[Total_Mes]]</f>
        <v>0.62944162436548223</v>
      </c>
      <c r="AJ686" s="19">
        <f>COUNTIFS(Tabela1[Fase atual],"Recebido",Tabela1[Mês],Tabela1[[#This Row],[Mês]],Tabela1[Ano],Tabela1[[#This Row],[Ano]])/COUNTIF(Tabela1[Mês],Tabela1[[#This Row],[Mês]])</f>
        <v>0.62944162436548223</v>
      </c>
      <c r="AK686" s="20">
        <f>100%</f>
        <v>1</v>
      </c>
    </row>
    <row r="687" spans="1:37" ht="18" customHeight="1" x14ac:dyDescent="0.25">
      <c r="A687">
        <v>1259930058</v>
      </c>
      <c r="B687" t="s">
        <v>1376</v>
      </c>
      <c r="C687" t="s">
        <v>1377</v>
      </c>
      <c r="D687" t="s">
        <v>37</v>
      </c>
      <c r="E687" t="s">
        <v>31</v>
      </c>
      <c r="F687" s="2">
        <v>45987.795326724532</v>
      </c>
      <c r="AC687" s="24">
        <f t="shared" ca="1" si="21"/>
        <v>146.20467327546794</v>
      </c>
      <c r="AD687" s="25" t="str">
        <f t="shared" ca="1" si="22"/>
        <v>&gt;60 dias</v>
      </c>
      <c r="AE687" s="25">
        <f>MONTH(Tabela1[[#This Row],[Criado em]])</f>
        <v>11</v>
      </c>
      <c r="AF687" s="25">
        <f>YEAR(Tabela1[[#This Row],[Criado em]])</f>
        <v>2025</v>
      </c>
      <c r="AG687" s="25">
        <f>COUNTIFS(Tabela1[Mês],Tabela1[[#This Row],[Mês]])</f>
        <v>130</v>
      </c>
      <c r="AH687" s="25">
        <f>COUNTIFS(Tabela1[Mês],Tabela1[[#This Row],[Mês]],Tabela1[Fase atual],"Recebido")</f>
        <v>100</v>
      </c>
      <c r="AI687" s="26">
        <f>Tabela1[[#This Row],[Recebido_ Mes]]/Tabela1[[#This Row],[Total_Mes]]</f>
        <v>0.76923076923076927</v>
      </c>
      <c r="AJ687" s="19">
        <f>COUNTIFS(Tabela1[Fase atual],"Recebido",Tabela1[Mês],Tabela1[[#This Row],[Mês]],Tabela1[Ano],Tabela1[[#This Row],[Ano]])/COUNTIF(Tabela1[Mês],Tabela1[[#This Row],[Mês]])</f>
        <v>0.76923076923076927</v>
      </c>
      <c r="AK687" s="20">
        <f>100%</f>
        <v>1</v>
      </c>
    </row>
    <row r="688" spans="1:37" ht="18" customHeight="1" x14ac:dyDescent="0.25">
      <c r="A688">
        <v>1267211227</v>
      </c>
      <c r="B688" t="s">
        <v>1378</v>
      </c>
      <c r="C688" t="s">
        <v>1379</v>
      </c>
      <c r="D688" t="s">
        <v>37</v>
      </c>
      <c r="E688" t="s">
        <v>31</v>
      </c>
      <c r="F688" s="2">
        <v>46002.798422418993</v>
      </c>
      <c r="AC688" s="24">
        <f t="shared" ca="1" si="21"/>
        <v>131.20157758100686</v>
      </c>
      <c r="AD688" s="25" t="str">
        <f t="shared" ca="1" si="22"/>
        <v>&gt;60 dias</v>
      </c>
      <c r="AE688" s="25">
        <f>MONTH(Tabela1[[#This Row],[Criado em]])</f>
        <v>12</v>
      </c>
      <c r="AF688" s="25">
        <f>YEAR(Tabela1[[#This Row],[Criado em]])</f>
        <v>2025</v>
      </c>
      <c r="AG688" s="25">
        <f>COUNTIFS(Tabela1[Mês],Tabela1[[#This Row],[Mês]])</f>
        <v>207</v>
      </c>
      <c r="AH688" s="25">
        <f>COUNTIFS(Tabela1[Mês],Tabela1[[#This Row],[Mês]],Tabela1[Fase atual],"Recebido")</f>
        <v>155</v>
      </c>
      <c r="AI688" s="26">
        <f>Tabela1[[#This Row],[Recebido_ Mes]]/Tabela1[[#This Row],[Total_Mes]]</f>
        <v>0.74879227053140096</v>
      </c>
      <c r="AJ688" s="19">
        <f>COUNTIFS(Tabela1[Fase atual],"Recebido",Tabela1[Mês],Tabela1[[#This Row],[Mês]],Tabela1[Ano],Tabela1[[#This Row],[Ano]])/COUNTIF(Tabela1[Mês],Tabela1[[#This Row],[Mês]])</f>
        <v>0.74879227053140096</v>
      </c>
      <c r="AK688" s="20">
        <f>100%</f>
        <v>1</v>
      </c>
    </row>
    <row r="689" spans="1:37" ht="18" customHeight="1" x14ac:dyDescent="0.25">
      <c r="A689">
        <v>1183425687</v>
      </c>
      <c r="B689" t="s">
        <v>1380</v>
      </c>
      <c r="C689" t="s">
        <v>1381</v>
      </c>
      <c r="D689" t="s">
        <v>40</v>
      </c>
      <c r="E689" t="s">
        <v>31</v>
      </c>
      <c r="F689" s="2">
        <v>45863.853186064807</v>
      </c>
      <c r="AC689" s="24">
        <f t="shared" ca="1" si="21"/>
        <v>270.14681393519277</v>
      </c>
      <c r="AD689" s="25" t="str">
        <f t="shared" ca="1" si="22"/>
        <v>&gt;60 dias</v>
      </c>
      <c r="AE689" s="25">
        <f>MONTH(Tabela1[[#This Row],[Criado em]])</f>
        <v>7</v>
      </c>
      <c r="AF689" s="25">
        <f>YEAR(Tabela1[[#This Row],[Criado em]])</f>
        <v>2025</v>
      </c>
      <c r="AG689" s="25">
        <f>COUNTIFS(Tabela1[Mês],Tabela1[[#This Row],[Mês]])</f>
        <v>177</v>
      </c>
      <c r="AH689" s="25">
        <f>COUNTIFS(Tabela1[Mês],Tabela1[[#This Row],[Mês]],Tabela1[Fase atual],"Recebido")</f>
        <v>130</v>
      </c>
      <c r="AI689" s="26">
        <f>Tabela1[[#This Row],[Recebido_ Mes]]/Tabela1[[#This Row],[Total_Mes]]</f>
        <v>0.7344632768361582</v>
      </c>
      <c r="AJ689" s="19">
        <f>COUNTIFS(Tabela1[Fase atual],"Recebido",Tabela1[Mês],Tabela1[[#This Row],[Mês]],Tabela1[Ano],Tabela1[[#This Row],[Ano]])/COUNTIF(Tabela1[Mês],Tabela1[[#This Row],[Mês]])</f>
        <v>0.7344632768361582</v>
      </c>
      <c r="AK689" s="20">
        <f>100%</f>
        <v>1</v>
      </c>
    </row>
    <row r="690" spans="1:37" ht="18" customHeight="1" x14ac:dyDescent="0.25">
      <c r="A690">
        <v>1308390092</v>
      </c>
      <c r="B690" t="s">
        <v>2230</v>
      </c>
      <c r="C690" t="s">
        <v>2231</v>
      </c>
      <c r="D690" t="s">
        <v>2179</v>
      </c>
      <c r="E690" t="s">
        <v>31</v>
      </c>
      <c r="F690" s="2">
        <v>46084.794500277778</v>
      </c>
      <c r="AC690" s="24">
        <f t="shared" ca="1" si="21"/>
        <v>49.205499722222157</v>
      </c>
      <c r="AD690" s="25" t="str">
        <f t="shared" ca="1" si="22"/>
        <v>31-60 dias</v>
      </c>
      <c r="AE690" s="25">
        <f>MONTH(Tabela1[[#This Row],[Criado em]])</f>
        <v>3</v>
      </c>
      <c r="AF690" s="25">
        <f>YEAR(Tabela1[[#This Row],[Criado em]])</f>
        <v>2026</v>
      </c>
      <c r="AG690" s="25">
        <f>COUNTIFS(Tabela1[Mês],Tabela1[[#This Row],[Mês]])</f>
        <v>62</v>
      </c>
      <c r="AH690" s="25">
        <f>COUNTIFS(Tabela1[Mês],Tabela1[[#This Row],[Mês]],Tabela1[Fase atual],"Recebido")</f>
        <v>13</v>
      </c>
      <c r="AI690" s="26">
        <f>Tabela1[[#This Row],[Recebido_ Mes]]/Tabela1[[#This Row],[Total_Mes]]</f>
        <v>0.20967741935483872</v>
      </c>
      <c r="AJ690" s="19">
        <f>COUNTIFS(Tabela1[Fase atual],"Recebido",Tabela1[Mês],Tabela1[[#This Row],[Mês]],Tabela1[Ano],Tabela1[[#This Row],[Ano]])/COUNTIF(Tabela1[Mês],Tabela1[[#This Row],[Mês]])</f>
        <v>0.20967741935483872</v>
      </c>
      <c r="AK690" s="20">
        <f>100%</f>
        <v>1</v>
      </c>
    </row>
    <row r="691" spans="1:37" ht="18" customHeight="1" x14ac:dyDescent="0.25">
      <c r="A691">
        <v>1222203450</v>
      </c>
      <c r="B691" t="s">
        <v>1382</v>
      </c>
      <c r="C691" t="s">
        <v>1383</v>
      </c>
      <c r="D691" t="s">
        <v>37</v>
      </c>
      <c r="E691" t="s">
        <v>441</v>
      </c>
      <c r="F691" s="2">
        <v>45926.826742187499</v>
      </c>
      <c r="AC691" s="24">
        <f t="shared" ca="1" si="21"/>
        <v>207.17325781250111</v>
      </c>
      <c r="AD691" s="25" t="str">
        <f t="shared" ca="1" si="22"/>
        <v>&gt;60 dias</v>
      </c>
      <c r="AE691" s="25">
        <f>MONTH(Tabela1[[#This Row],[Criado em]])</f>
        <v>9</v>
      </c>
      <c r="AF691" s="25">
        <f>YEAR(Tabela1[[#This Row],[Criado em]])</f>
        <v>2025</v>
      </c>
      <c r="AG691" s="25">
        <f>COUNTIFS(Tabela1[Mês],Tabela1[[#This Row],[Mês]])</f>
        <v>197</v>
      </c>
      <c r="AH691" s="25">
        <f>COUNTIFS(Tabela1[Mês],Tabela1[[#This Row],[Mês]],Tabela1[Fase atual],"Recebido")</f>
        <v>152</v>
      </c>
      <c r="AI691" s="26">
        <f>Tabela1[[#This Row],[Recebido_ Mes]]/Tabela1[[#This Row],[Total_Mes]]</f>
        <v>0.77157360406091369</v>
      </c>
      <c r="AJ691" s="19">
        <f>COUNTIFS(Tabela1[Fase atual],"Recebido",Tabela1[Mês],Tabela1[[#This Row],[Mês]],Tabela1[Ano],Tabela1[[#This Row],[Ano]])/COUNTIF(Tabela1[Mês],Tabela1[[#This Row],[Mês]])</f>
        <v>0.77157360406091369</v>
      </c>
      <c r="AK691" s="20">
        <f>100%</f>
        <v>1</v>
      </c>
    </row>
    <row r="692" spans="1:37" ht="18" customHeight="1" x14ac:dyDescent="0.25">
      <c r="A692">
        <v>1304762938</v>
      </c>
      <c r="B692" t="s">
        <v>323</v>
      </c>
      <c r="C692" t="s">
        <v>691</v>
      </c>
      <c r="D692" t="s">
        <v>40</v>
      </c>
      <c r="E692" t="s">
        <v>31</v>
      </c>
      <c r="F692" s="2">
        <v>46079.794342893518</v>
      </c>
      <c r="AC692" s="24">
        <f t="shared" ca="1" si="21"/>
        <v>54.205657106482249</v>
      </c>
      <c r="AD692" s="25" t="str">
        <f t="shared" ca="1" si="22"/>
        <v>31-60 dias</v>
      </c>
      <c r="AE692" s="25">
        <f>MONTH(Tabela1[[#This Row],[Criado em]])</f>
        <v>2</v>
      </c>
      <c r="AF692" s="25">
        <f>YEAR(Tabela1[[#This Row],[Criado em]])</f>
        <v>2026</v>
      </c>
      <c r="AG692" s="25">
        <f>COUNTIFS(Tabela1[Mês],Tabela1[[#This Row],[Mês]])</f>
        <v>197</v>
      </c>
      <c r="AH692" s="25">
        <f>COUNTIFS(Tabela1[Mês],Tabela1[[#This Row],[Mês]],Tabela1[Fase atual],"Recebido")</f>
        <v>124</v>
      </c>
      <c r="AI692" s="26">
        <f>Tabela1[[#This Row],[Recebido_ Mes]]/Tabela1[[#This Row],[Total_Mes]]</f>
        <v>0.62944162436548223</v>
      </c>
      <c r="AJ692" s="19">
        <f>COUNTIFS(Tabela1[Fase atual],"Recebido",Tabela1[Mês],Tabela1[[#This Row],[Mês]],Tabela1[Ano],Tabela1[[#This Row],[Ano]])/COUNTIF(Tabela1[Mês],Tabela1[[#This Row],[Mês]])</f>
        <v>0.62944162436548223</v>
      </c>
      <c r="AK692" s="20">
        <f>100%</f>
        <v>1</v>
      </c>
    </row>
    <row r="693" spans="1:37" ht="18" customHeight="1" x14ac:dyDescent="0.25">
      <c r="A693">
        <v>1279454488</v>
      </c>
      <c r="B693" t="s">
        <v>323</v>
      </c>
      <c r="C693" t="s">
        <v>324</v>
      </c>
      <c r="D693" t="s">
        <v>40</v>
      </c>
      <c r="E693" t="s">
        <v>31</v>
      </c>
      <c r="F693" s="2">
        <v>46031.62944394676</v>
      </c>
      <c r="AC693" s="24">
        <f t="shared" ca="1" si="21"/>
        <v>102.37055605323985</v>
      </c>
      <c r="AD693" s="25" t="str">
        <f t="shared" ca="1" si="22"/>
        <v>&gt;60 dias</v>
      </c>
      <c r="AE693" s="25">
        <f>MONTH(Tabela1[[#This Row],[Criado em]])</f>
        <v>1</v>
      </c>
      <c r="AF693" s="25">
        <f>YEAR(Tabela1[[#This Row],[Criado em]])</f>
        <v>2026</v>
      </c>
      <c r="AG693" s="25">
        <f>COUNTIFS(Tabela1[Mês],Tabela1[[#This Row],[Mês]])</f>
        <v>222</v>
      </c>
      <c r="AH693" s="25">
        <f>COUNTIFS(Tabela1[Mês],Tabela1[[#This Row],[Mês]],Tabela1[Fase atual],"Recebido")</f>
        <v>174</v>
      </c>
      <c r="AI693" s="26">
        <f>Tabela1[[#This Row],[Recebido_ Mes]]/Tabela1[[#This Row],[Total_Mes]]</f>
        <v>0.78378378378378377</v>
      </c>
      <c r="AJ693" s="19">
        <f>COUNTIFS(Tabela1[Fase atual],"Recebido",Tabela1[Mês],Tabela1[[#This Row],[Mês]],Tabela1[Ano],Tabela1[[#This Row],[Ano]])/COUNTIF(Tabela1[Mês],Tabela1[[#This Row],[Mês]])</f>
        <v>0.78378378378378377</v>
      </c>
      <c r="AK693" s="20">
        <f>100%</f>
        <v>1</v>
      </c>
    </row>
    <row r="694" spans="1:37" ht="18" customHeight="1" x14ac:dyDescent="0.25">
      <c r="A694">
        <v>1293442700</v>
      </c>
      <c r="B694" t="s">
        <v>323</v>
      </c>
      <c r="C694" t="s">
        <v>325</v>
      </c>
      <c r="D694" t="s">
        <v>37</v>
      </c>
      <c r="E694" t="s">
        <v>31</v>
      </c>
      <c r="F694" s="2">
        <v>46057.918806967587</v>
      </c>
      <c r="AC694" s="24">
        <f t="shared" ca="1" si="21"/>
        <v>76.081193032412557</v>
      </c>
      <c r="AD694" s="25" t="str">
        <f t="shared" ca="1" si="22"/>
        <v>&gt;60 dias</v>
      </c>
      <c r="AE694" s="25">
        <f>MONTH(Tabela1[[#This Row],[Criado em]])</f>
        <v>2</v>
      </c>
      <c r="AF694" s="25">
        <f>YEAR(Tabela1[[#This Row],[Criado em]])</f>
        <v>2026</v>
      </c>
      <c r="AG694" s="25">
        <f>COUNTIFS(Tabela1[Mês],Tabela1[[#This Row],[Mês]])</f>
        <v>197</v>
      </c>
      <c r="AH694" s="25">
        <f>COUNTIFS(Tabela1[Mês],Tabela1[[#This Row],[Mês]],Tabela1[Fase atual],"Recebido")</f>
        <v>124</v>
      </c>
      <c r="AI694" s="26">
        <f>Tabela1[[#This Row],[Recebido_ Mes]]/Tabela1[[#This Row],[Total_Mes]]</f>
        <v>0.62944162436548223</v>
      </c>
      <c r="AJ694" s="19">
        <f>COUNTIFS(Tabela1[Fase atual],"Recebido",Tabela1[Mês],Tabela1[[#This Row],[Mês]],Tabela1[Ano],Tabela1[[#This Row],[Ano]])/COUNTIF(Tabela1[Mês],Tabela1[[#This Row],[Mês]])</f>
        <v>0.62944162436548223</v>
      </c>
      <c r="AK694" s="20">
        <f>100%</f>
        <v>1</v>
      </c>
    </row>
    <row r="695" spans="1:37" ht="18" customHeight="1" x14ac:dyDescent="0.25">
      <c r="A695">
        <v>1203711093</v>
      </c>
      <c r="B695" t="s">
        <v>323</v>
      </c>
      <c r="C695" t="s">
        <v>1384</v>
      </c>
      <c r="D695" t="s">
        <v>784</v>
      </c>
      <c r="E695" t="s">
        <v>31</v>
      </c>
      <c r="F695" s="2">
        <v>45897.641754016207</v>
      </c>
      <c r="AC695" s="24">
        <f t="shared" ca="1" si="21"/>
        <v>236.35824598379259</v>
      </c>
      <c r="AD695" s="25" t="str">
        <f t="shared" ca="1" si="22"/>
        <v>&gt;60 dias</v>
      </c>
      <c r="AE695" s="25">
        <f>MONTH(Tabela1[[#This Row],[Criado em]])</f>
        <v>8</v>
      </c>
      <c r="AF695" s="25">
        <f>YEAR(Tabela1[[#This Row],[Criado em]])</f>
        <v>2025</v>
      </c>
      <c r="AG695" s="25">
        <f>COUNTIFS(Tabela1[Mês],Tabela1[[#This Row],[Mês]])</f>
        <v>146</v>
      </c>
      <c r="AH695" s="25">
        <f>COUNTIFS(Tabela1[Mês],Tabela1[[#This Row],[Mês]],Tabela1[Fase atual],"Recebido")</f>
        <v>115</v>
      </c>
      <c r="AI695" s="26">
        <f>Tabela1[[#This Row],[Recebido_ Mes]]/Tabela1[[#This Row],[Total_Mes]]</f>
        <v>0.78767123287671237</v>
      </c>
      <c r="AJ695" s="19">
        <f>COUNTIFS(Tabela1[Fase atual],"Recebido",Tabela1[Mês],Tabela1[[#This Row],[Mês]],Tabela1[Ano],Tabela1[[#This Row],[Ano]])/COUNTIF(Tabela1[Mês],Tabela1[[#This Row],[Mês]])</f>
        <v>0.78767123287671237</v>
      </c>
      <c r="AK695" s="20">
        <f>100%</f>
        <v>1</v>
      </c>
    </row>
    <row r="696" spans="1:37" ht="18" customHeight="1" x14ac:dyDescent="0.25">
      <c r="A696">
        <v>1176235684</v>
      </c>
      <c r="B696" t="s">
        <v>1385</v>
      </c>
      <c r="C696" t="s">
        <v>1386</v>
      </c>
      <c r="D696" t="s">
        <v>37</v>
      </c>
      <c r="E696" t="s">
        <v>31</v>
      </c>
      <c r="F696" s="2">
        <v>45852.850920405093</v>
      </c>
      <c r="AC696" s="24">
        <f t="shared" ca="1" si="21"/>
        <v>281.14907959490665</v>
      </c>
      <c r="AD696" s="25" t="str">
        <f t="shared" ca="1" si="22"/>
        <v>&gt;60 dias</v>
      </c>
      <c r="AE696" s="25">
        <f>MONTH(Tabela1[[#This Row],[Criado em]])</f>
        <v>7</v>
      </c>
      <c r="AF696" s="25">
        <f>YEAR(Tabela1[[#This Row],[Criado em]])</f>
        <v>2025</v>
      </c>
      <c r="AG696" s="25">
        <f>COUNTIFS(Tabela1[Mês],Tabela1[[#This Row],[Mês]])</f>
        <v>177</v>
      </c>
      <c r="AH696" s="25">
        <f>COUNTIFS(Tabela1[Mês],Tabela1[[#This Row],[Mês]],Tabela1[Fase atual],"Recebido")</f>
        <v>130</v>
      </c>
      <c r="AI696" s="26">
        <f>Tabela1[[#This Row],[Recebido_ Mes]]/Tabela1[[#This Row],[Total_Mes]]</f>
        <v>0.7344632768361582</v>
      </c>
      <c r="AJ696" s="19">
        <f>COUNTIFS(Tabela1[Fase atual],"Recebido",Tabela1[Mês],Tabela1[[#This Row],[Mês]],Tabela1[Ano],Tabela1[[#This Row],[Ano]])/COUNTIF(Tabela1[Mês],Tabela1[[#This Row],[Mês]])</f>
        <v>0.7344632768361582</v>
      </c>
      <c r="AK696" s="20">
        <f>100%</f>
        <v>1</v>
      </c>
    </row>
    <row r="697" spans="1:37" ht="18" customHeight="1" x14ac:dyDescent="0.25">
      <c r="A697">
        <v>1295186590</v>
      </c>
      <c r="B697" t="s">
        <v>326</v>
      </c>
      <c r="C697" t="s">
        <v>327</v>
      </c>
      <c r="D697" t="s">
        <v>40</v>
      </c>
      <c r="E697" t="s">
        <v>31</v>
      </c>
      <c r="F697" s="2">
        <v>46062.59672958334</v>
      </c>
      <c r="AC697" s="24">
        <f t="shared" ca="1" si="21"/>
        <v>71.403270416660234</v>
      </c>
      <c r="AD697" s="25" t="str">
        <f t="shared" ca="1" si="22"/>
        <v>&gt;60 dias</v>
      </c>
      <c r="AE697" s="25">
        <f>MONTH(Tabela1[[#This Row],[Criado em]])</f>
        <v>2</v>
      </c>
      <c r="AF697" s="25">
        <f>YEAR(Tabela1[[#This Row],[Criado em]])</f>
        <v>2026</v>
      </c>
      <c r="AG697" s="25">
        <f>COUNTIFS(Tabela1[Mês],Tabela1[[#This Row],[Mês]])</f>
        <v>197</v>
      </c>
      <c r="AH697" s="25">
        <f>COUNTIFS(Tabela1[Mês],Tabela1[[#This Row],[Mês]],Tabela1[Fase atual],"Recebido")</f>
        <v>124</v>
      </c>
      <c r="AI697" s="26">
        <f>Tabela1[[#This Row],[Recebido_ Mes]]/Tabela1[[#This Row],[Total_Mes]]</f>
        <v>0.62944162436548223</v>
      </c>
      <c r="AJ697" s="19">
        <f>COUNTIFS(Tabela1[Fase atual],"Recebido",Tabela1[Mês],Tabela1[[#This Row],[Mês]],Tabela1[Ano],Tabela1[[#This Row],[Ano]])/COUNTIF(Tabela1[Mês],Tabela1[[#This Row],[Mês]])</f>
        <v>0.62944162436548223</v>
      </c>
      <c r="AK697" s="20">
        <f>100%</f>
        <v>1</v>
      </c>
    </row>
    <row r="698" spans="1:37" ht="18" customHeight="1" x14ac:dyDescent="0.25">
      <c r="A698">
        <v>1175244050</v>
      </c>
      <c r="B698" t="s">
        <v>1387</v>
      </c>
      <c r="C698" t="s">
        <v>1388</v>
      </c>
      <c r="D698" t="s">
        <v>37</v>
      </c>
      <c r="E698" t="s">
        <v>31</v>
      </c>
      <c r="F698" s="2">
        <v>45850.642932256953</v>
      </c>
      <c r="AC698" s="24">
        <f t="shared" ca="1" si="21"/>
        <v>283.35706774304708</v>
      </c>
      <c r="AD698" s="25" t="str">
        <f t="shared" ca="1" si="22"/>
        <v>&gt;60 dias</v>
      </c>
      <c r="AE698" s="25">
        <f>MONTH(Tabela1[[#This Row],[Criado em]])</f>
        <v>7</v>
      </c>
      <c r="AF698" s="25">
        <f>YEAR(Tabela1[[#This Row],[Criado em]])</f>
        <v>2025</v>
      </c>
      <c r="AG698" s="25">
        <f>COUNTIFS(Tabela1[Mês],Tabela1[[#This Row],[Mês]])</f>
        <v>177</v>
      </c>
      <c r="AH698" s="25">
        <f>COUNTIFS(Tabela1[Mês],Tabela1[[#This Row],[Mês]],Tabela1[Fase atual],"Recebido")</f>
        <v>130</v>
      </c>
      <c r="AI698" s="26">
        <f>Tabela1[[#This Row],[Recebido_ Mes]]/Tabela1[[#This Row],[Total_Mes]]</f>
        <v>0.7344632768361582</v>
      </c>
      <c r="AJ698" s="19">
        <f>COUNTIFS(Tabela1[Fase atual],"Recebido",Tabela1[Mês],Tabela1[[#This Row],[Mês]],Tabela1[Ano],Tabela1[[#This Row],[Ano]])/COUNTIF(Tabela1[Mês],Tabela1[[#This Row],[Mês]])</f>
        <v>0.7344632768361582</v>
      </c>
      <c r="AK698" s="20">
        <f>100%</f>
        <v>1</v>
      </c>
    </row>
    <row r="699" spans="1:37" ht="18" customHeight="1" x14ac:dyDescent="0.25">
      <c r="A699">
        <v>1213259820</v>
      </c>
      <c r="B699" t="s">
        <v>1389</v>
      </c>
      <c r="C699" t="s">
        <v>1390</v>
      </c>
      <c r="D699" t="s">
        <v>37</v>
      </c>
      <c r="E699" t="s">
        <v>31</v>
      </c>
      <c r="F699" s="2">
        <v>45912.64410957176</v>
      </c>
      <c r="AC699" s="24">
        <f t="shared" ca="1" si="21"/>
        <v>221.35589042823995</v>
      </c>
      <c r="AD699" s="25" t="str">
        <f t="shared" ca="1" si="22"/>
        <v>&gt;60 dias</v>
      </c>
      <c r="AE699" s="25">
        <f>MONTH(Tabela1[[#This Row],[Criado em]])</f>
        <v>9</v>
      </c>
      <c r="AF699" s="25">
        <f>YEAR(Tabela1[[#This Row],[Criado em]])</f>
        <v>2025</v>
      </c>
      <c r="AG699" s="25">
        <f>COUNTIFS(Tabela1[Mês],Tabela1[[#This Row],[Mês]])</f>
        <v>197</v>
      </c>
      <c r="AH699" s="25">
        <f>COUNTIFS(Tabela1[Mês],Tabela1[[#This Row],[Mês]],Tabela1[Fase atual],"Recebido")</f>
        <v>152</v>
      </c>
      <c r="AI699" s="26">
        <f>Tabela1[[#This Row],[Recebido_ Mes]]/Tabela1[[#This Row],[Total_Mes]]</f>
        <v>0.77157360406091369</v>
      </c>
      <c r="AJ699" s="19">
        <f>COUNTIFS(Tabela1[Fase atual],"Recebido",Tabela1[Mês],Tabela1[[#This Row],[Mês]],Tabela1[Ano],Tabela1[[#This Row],[Ano]])/COUNTIF(Tabela1[Mês],Tabela1[[#This Row],[Mês]])</f>
        <v>0.77157360406091369</v>
      </c>
      <c r="AK699" s="20">
        <f>100%</f>
        <v>1</v>
      </c>
    </row>
    <row r="700" spans="1:37" ht="18" customHeight="1" x14ac:dyDescent="0.25">
      <c r="A700">
        <v>1230591569</v>
      </c>
      <c r="B700" t="s">
        <v>1391</v>
      </c>
      <c r="C700" t="s">
        <v>1392</v>
      </c>
      <c r="D700" t="s">
        <v>37</v>
      </c>
      <c r="E700" t="s">
        <v>31</v>
      </c>
      <c r="F700" s="2">
        <v>45938.851184340281</v>
      </c>
      <c r="AC700" s="24">
        <f t="shared" ca="1" si="21"/>
        <v>195.14881565971882</v>
      </c>
      <c r="AD700" s="25" t="str">
        <f t="shared" ca="1" si="22"/>
        <v>&gt;60 dias</v>
      </c>
      <c r="AE700" s="25">
        <f>MONTH(Tabela1[[#This Row],[Criado em]])</f>
        <v>10</v>
      </c>
      <c r="AF700" s="25">
        <f>YEAR(Tabela1[[#This Row],[Criado em]])</f>
        <v>2025</v>
      </c>
      <c r="AG700" s="25">
        <f>COUNTIFS(Tabela1[Mês],Tabela1[[#This Row],[Mês]])</f>
        <v>196</v>
      </c>
      <c r="AH700" s="25">
        <f>COUNTIFS(Tabela1[Mês],Tabela1[[#This Row],[Mês]],Tabela1[Fase atual],"Recebido")</f>
        <v>138</v>
      </c>
      <c r="AI700" s="26">
        <f>Tabela1[[#This Row],[Recebido_ Mes]]/Tabela1[[#This Row],[Total_Mes]]</f>
        <v>0.70408163265306123</v>
      </c>
      <c r="AJ700" s="19">
        <f>COUNTIFS(Tabela1[Fase atual],"Recebido",Tabela1[Mês],Tabela1[[#This Row],[Mês]],Tabela1[Ano],Tabela1[[#This Row],[Ano]])/COUNTIF(Tabela1[Mês],Tabela1[[#This Row],[Mês]])</f>
        <v>0.70408163265306123</v>
      </c>
      <c r="AK700" s="20">
        <f>100%</f>
        <v>1</v>
      </c>
    </row>
    <row r="701" spans="1:37" ht="18" customHeight="1" x14ac:dyDescent="0.25">
      <c r="A701">
        <v>1262166250</v>
      </c>
      <c r="B701" t="s">
        <v>1391</v>
      </c>
      <c r="C701" t="s">
        <v>1392</v>
      </c>
      <c r="D701" t="s">
        <v>37</v>
      </c>
      <c r="E701" t="s">
        <v>31</v>
      </c>
      <c r="F701" s="2">
        <v>45992.920823680557</v>
      </c>
      <c r="AC701" s="24">
        <f t="shared" ca="1" si="21"/>
        <v>141.07917631944292</v>
      </c>
      <c r="AD701" s="25" t="str">
        <f t="shared" ca="1" si="22"/>
        <v>&gt;60 dias</v>
      </c>
      <c r="AE701" s="25">
        <f>MONTH(Tabela1[[#This Row],[Criado em]])</f>
        <v>12</v>
      </c>
      <c r="AF701" s="25">
        <f>YEAR(Tabela1[[#This Row],[Criado em]])</f>
        <v>2025</v>
      </c>
      <c r="AG701" s="25">
        <f>COUNTIFS(Tabela1[Mês],Tabela1[[#This Row],[Mês]])</f>
        <v>207</v>
      </c>
      <c r="AH701" s="25">
        <f>COUNTIFS(Tabela1[Mês],Tabela1[[#This Row],[Mês]],Tabela1[Fase atual],"Recebido")</f>
        <v>155</v>
      </c>
      <c r="AI701" s="26">
        <f>Tabela1[[#This Row],[Recebido_ Mes]]/Tabela1[[#This Row],[Total_Mes]]</f>
        <v>0.74879227053140096</v>
      </c>
      <c r="AJ701" s="19">
        <f>COUNTIFS(Tabela1[Fase atual],"Recebido",Tabela1[Mês],Tabela1[[#This Row],[Mês]],Tabela1[Ano],Tabela1[[#This Row],[Ano]])/COUNTIF(Tabela1[Mês],Tabela1[[#This Row],[Mês]])</f>
        <v>0.74879227053140096</v>
      </c>
      <c r="AK701" s="20">
        <f>100%</f>
        <v>1</v>
      </c>
    </row>
    <row r="702" spans="1:37" ht="18" customHeight="1" x14ac:dyDescent="0.25">
      <c r="A702">
        <v>1234611343</v>
      </c>
      <c r="B702" t="s">
        <v>1391</v>
      </c>
      <c r="C702" t="s">
        <v>1392</v>
      </c>
      <c r="D702" t="s">
        <v>37</v>
      </c>
      <c r="E702" t="s">
        <v>31</v>
      </c>
      <c r="F702" s="2">
        <v>45943.919332627323</v>
      </c>
      <c r="AC702" s="24">
        <f t="shared" ca="1" si="21"/>
        <v>190.08066737267654</v>
      </c>
      <c r="AD702" s="25" t="str">
        <f t="shared" ca="1" si="22"/>
        <v>&gt;60 dias</v>
      </c>
      <c r="AE702" s="25">
        <f>MONTH(Tabela1[[#This Row],[Criado em]])</f>
        <v>10</v>
      </c>
      <c r="AF702" s="25">
        <f>YEAR(Tabela1[[#This Row],[Criado em]])</f>
        <v>2025</v>
      </c>
      <c r="AG702" s="25">
        <f>COUNTIFS(Tabela1[Mês],Tabela1[[#This Row],[Mês]])</f>
        <v>196</v>
      </c>
      <c r="AH702" s="25">
        <f>COUNTIFS(Tabela1[Mês],Tabela1[[#This Row],[Mês]],Tabela1[Fase atual],"Recebido")</f>
        <v>138</v>
      </c>
      <c r="AI702" s="26">
        <f>Tabela1[[#This Row],[Recebido_ Mes]]/Tabela1[[#This Row],[Total_Mes]]</f>
        <v>0.70408163265306123</v>
      </c>
      <c r="AJ702" s="19">
        <f>COUNTIFS(Tabela1[Fase atual],"Recebido",Tabela1[Mês],Tabela1[[#This Row],[Mês]],Tabela1[Ano],Tabela1[[#This Row],[Ano]])/COUNTIF(Tabela1[Mês],Tabela1[[#This Row],[Mês]])</f>
        <v>0.70408163265306123</v>
      </c>
      <c r="AK702" s="20">
        <f>100%</f>
        <v>1</v>
      </c>
    </row>
    <row r="703" spans="1:37" ht="18" customHeight="1" x14ac:dyDescent="0.25">
      <c r="A703">
        <v>1226265042</v>
      </c>
      <c r="B703" t="s">
        <v>1391</v>
      </c>
      <c r="C703" t="s">
        <v>1392</v>
      </c>
      <c r="D703" t="s">
        <v>37</v>
      </c>
      <c r="E703" t="s">
        <v>31</v>
      </c>
      <c r="F703" s="2">
        <v>45932.850586064807</v>
      </c>
      <c r="AC703" s="24">
        <f t="shared" ca="1" si="21"/>
        <v>201.14941393519257</v>
      </c>
      <c r="AD703" s="25" t="str">
        <f t="shared" ca="1" si="22"/>
        <v>&gt;60 dias</v>
      </c>
      <c r="AE703" s="25">
        <f>MONTH(Tabela1[[#This Row],[Criado em]])</f>
        <v>10</v>
      </c>
      <c r="AF703" s="25">
        <f>YEAR(Tabela1[[#This Row],[Criado em]])</f>
        <v>2025</v>
      </c>
      <c r="AG703" s="25">
        <f>COUNTIFS(Tabela1[Mês],Tabela1[[#This Row],[Mês]])</f>
        <v>196</v>
      </c>
      <c r="AH703" s="25">
        <f>COUNTIFS(Tabela1[Mês],Tabela1[[#This Row],[Mês]],Tabela1[Fase atual],"Recebido")</f>
        <v>138</v>
      </c>
      <c r="AI703" s="26">
        <f>Tabela1[[#This Row],[Recebido_ Mes]]/Tabela1[[#This Row],[Total_Mes]]</f>
        <v>0.70408163265306123</v>
      </c>
      <c r="AJ703" s="19">
        <f>COUNTIFS(Tabela1[Fase atual],"Recebido",Tabela1[Mês],Tabela1[[#This Row],[Mês]],Tabela1[Ano],Tabela1[[#This Row],[Ano]])/COUNTIF(Tabela1[Mês],Tabela1[[#This Row],[Mês]])</f>
        <v>0.70408163265306123</v>
      </c>
      <c r="AK703" s="20">
        <f>100%</f>
        <v>1</v>
      </c>
    </row>
    <row r="704" spans="1:37" ht="18" customHeight="1" x14ac:dyDescent="0.25">
      <c r="A704">
        <v>1242498155</v>
      </c>
      <c r="B704" t="s">
        <v>1391</v>
      </c>
      <c r="C704" t="s">
        <v>1393</v>
      </c>
      <c r="D704" t="s">
        <v>784</v>
      </c>
      <c r="E704" t="s">
        <v>31</v>
      </c>
      <c r="F704" s="2">
        <v>45953.794445833337</v>
      </c>
      <c r="AC704" s="24">
        <f t="shared" ca="1" si="21"/>
        <v>180.20555416666321</v>
      </c>
      <c r="AD704" s="25" t="str">
        <f t="shared" ca="1" si="22"/>
        <v>&gt;60 dias</v>
      </c>
      <c r="AE704" s="25">
        <f>MONTH(Tabela1[[#This Row],[Criado em]])</f>
        <v>10</v>
      </c>
      <c r="AF704" s="25">
        <f>YEAR(Tabela1[[#This Row],[Criado em]])</f>
        <v>2025</v>
      </c>
      <c r="AG704" s="25">
        <f>COUNTIFS(Tabela1[Mês],Tabela1[[#This Row],[Mês]])</f>
        <v>196</v>
      </c>
      <c r="AH704" s="25">
        <f>COUNTIFS(Tabela1[Mês],Tabela1[[#This Row],[Mês]],Tabela1[Fase atual],"Recebido")</f>
        <v>138</v>
      </c>
      <c r="AI704" s="26">
        <f>Tabela1[[#This Row],[Recebido_ Mes]]/Tabela1[[#This Row],[Total_Mes]]</f>
        <v>0.70408163265306123</v>
      </c>
      <c r="AJ704" s="19">
        <f>COUNTIFS(Tabela1[Fase atual],"Recebido",Tabela1[Mês],Tabela1[[#This Row],[Mês]],Tabela1[Ano],Tabela1[[#This Row],[Ano]])/COUNTIF(Tabela1[Mês],Tabela1[[#This Row],[Mês]])</f>
        <v>0.70408163265306123</v>
      </c>
      <c r="AK704" s="20">
        <f>100%</f>
        <v>1</v>
      </c>
    </row>
    <row r="705" spans="1:37" ht="18" customHeight="1" x14ac:dyDescent="0.25">
      <c r="A705">
        <v>1208156331</v>
      </c>
      <c r="B705" t="s">
        <v>1394</v>
      </c>
      <c r="C705" t="s">
        <v>1395</v>
      </c>
      <c r="D705" t="s">
        <v>37</v>
      </c>
      <c r="E705" t="s">
        <v>31</v>
      </c>
      <c r="F705" s="2">
        <v>45904.643472314812</v>
      </c>
      <c r="AC705" s="24">
        <f t="shared" ca="1" si="21"/>
        <v>229.35652768518776</v>
      </c>
      <c r="AD705" s="25" t="str">
        <f t="shared" ca="1" si="22"/>
        <v>&gt;60 dias</v>
      </c>
      <c r="AE705" s="25">
        <f>MONTH(Tabela1[[#This Row],[Criado em]])</f>
        <v>9</v>
      </c>
      <c r="AF705" s="25">
        <f>YEAR(Tabela1[[#This Row],[Criado em]])</f>
        <v>2025</v>
      </c>
      <c r="AG705" s="25">
        <f>COUNTIFS(Tabela1[Mês],Tabela1[[#This Row],[Mês]])</f>
        <v>197</v>
      </c>
      <c r="AH705" s="25">
        <f>COUNTIFS(Tabela1[Mês],Tabela1[[#This Row],[Mês]],Tabela1[Fase atual],"Recebido")</f>
        <v>152</v>
      </c>
      <c r="AI705" s="26">
        <f>Tabela1[[#This Row],[Recebido_ Mes]]/Tabela1[[#This Row],[Total_Mes]]</f>
        <v>0.77157360406091369</v>
      </c>
      <c r="AJ705" s="19">
        <f>COUNTIFS(Tabela1[Fase atual],"Recebido",Tabela1[Mês],Tabela1[[#This Row],[Mês]],Tabela1[Ano],Tabela1[[#This Row],[Ano]])/COUNTIF(Tabela1[Mês],Tabela1[[#This Row],[Mês]])</f>
        <v>0.77157360406091369</v>
      </c>
      <c r="AK705" s="20">
        <f>100%</f>
        <v>1</v>
      </c>
    </row>
    <row r="706" spans="1:37" ht="18" customHeight="1" x14ac:dyDescent="0.25">
      <c r="A706">
        <v>1186588163</v>
      </c>
      <c r="B706" t="s">
        <v>1396</v>
      </c>
      <c r="C706" t="s">
        <v>1397</v>
      </c>
      <c r="D706" t="s">
        <v>37</v>
      </c>
      <c r="E706" t="s">
        <v>31</v>
      </c>
      <c r="F706" s="2">
        <v>45869.85064271991</v>
      </c>
      <c r="AC706" s="24">
        <f t="shared" ca="1" si="21"/>
        <v>264.14935728009004</v>
      </c>
      <c r="AD706" s="25" t="str">
        <f t="shared" ca="1" si="22"/>
        <v>&gt;60 dias</v>
      </c>
      <c r="AE706" s="25">
        <f>MONTH(Tabela1[[#This Row],[Criado em]])</f>
        <v>7</v>
      </c>
      <c r="AF706" s="25">
        <f>YEAR(Tabela1[[#This Row],[Criado em]])</f>
        <v>2025</v>
      </c>
      <c r="AG706" s="25">
        <f>COUNTIFS(Tabela1[Mês],Tabela1[[#This Row],[Mês]])</f>
        <v>177</v>
      </c>
      <c r="AH706" s="25">
        <f>COUNTIFS(Tabela1[Mês],Tabela1[[#This Row],[Mês]],Tabela1[Fase atual],"Recebido")</f>
        <v>130</v>
      </c>
      <c r="AI706" s="26">
        <f>Tabela1[[#This Row],[Recebido_ Mes]]/Tabela1[[#This Row],[Total_Mes]]</f>
        <v>0.7344632768361582</v>
      </c>
      <c r="AJ706" s="19">
        <f>COUNTIFS(Tabela1[Fase atual],"Recebido",Tabela1[Mês],Tabela1[[#This Row],[Mês]],Tabela1[Ano],Tabela1[[#This Row],[Ano]])/COUNTIF(Tabela1[Mês],Tabela1[[#This Row],[Mês]])</f>
        <v>0.7344632768361582</v>
      </c>
      <c r="AK706" s="20">
        <f>100%</f>
        <v>1</v>
      </c>
    </row>
    <row r="707" spans="1:37" ht="18" customHeight="1" x14ac:dyDescent="0.25">
      <c r="A707">
        <v>1262025974</v>
      </c>
      <c r="B707" t="s">
        <v>1154</v>
      </c>
      <c r="C707" t="s">
        <v>1398</v>
      </c>
      <c r="D707" t="s">
        <v>40</v>
      </c>
      <c r="E707" t="s">
        <v>31</v>
      </c>
      <c r="F707" s="2">
        <v>45992.794144212967</v>
      </c>
      <c r="AC707" s="24">
        <f t="shared" ref="AC707:AC770" ca="1" si="23">TODAY() - F707</f>
        <v>141.20585578703322</v>
      </c>
      <c r="AD707" s="25" t="str">
        <f t="shared" ref="AD707:AD770" ca="1" si="24">IF(AC707&lt;=14,"0-14 dias",
IF(AC707&lt;=19,"15-19 dias",
IF(AC707&lt;=24,"20-24 dias",
IF(AC707&lt;=30,"25-30 dias",
IF(AC707&lt;=60,"31-60 dias",
"&gt;60 dias")))))</f>
        <v>&gt;60 dias</v>
      </c>
      <c r="AE707" s="25">
        <f>MONTH(Tabela1[[#This Row],[Criado em]])</f>
        <v>12</v>
      </c>
      <c r="AF707" s="25">
        <f>YEAR(Tabela1[[#This Row],[Criado em]])</f>
        <v>2025</v>
      </c>
      <c r="AG707" s="25">
        <f>COUNTIFS(Tabela1[Mês],Tabela1[[#This Row],[Mês]])</f>
        <v>207</v>
      </c>
      <c r="AH707" s="25">
        <f>COUNTIFS(Tabela1[Mês],Tabela1[[#This Row],[Mês]],Tabela1[Fase atual],"Recebido")</f>
        <v>155</v>
      </c>
      <c r="AI707" s="26">
        <f>Tabela1[[#This Row],[Recebido_ Mes]]/Tabela1[[#This Row],[Total_Mes]]</f>
        <v>0.74879227053140096</v>
      </c>
      <c r="AJ707" s="19">
        <f>COUNTIFS(Tabela1[Fase atual],"Recebido",Tabela1[Mês],Tabela1[[#This Row],[Mês]],Tabela1[Ano],Tabela1[[#This Row],[Ano]])/COUNTIF(Tabela1[Mês],Tabela1[[#This Row],[Mês]])</f>
        <v>0.74879227053140096</v>
      </c>
      <c r="AK707" s="20">
        <f>100%</f>
        <v>1</v>
      </c>
    </row>
    <row r="708" spans="1:37" ht="18" customHeight="1" x14ac:dyDescent="0.25">
      <c r="A708">
        <v>1176888119</v>
      </c>
      <c r="B708" t="s">
        <v>1399</v>
      </c>
      <c r="C708" t="s">
        <v>1400</v>
      </c>
      <c r="D708" t="s">
        <v>40</v>
      </c>
      <c r="E708" t="s">
        <v>31</v>
      </c>
      <c r="F708" s="2">
        <v>45853.867397326387</v>
      </c>
      <c r="AC708" s="24">
        <f t="shared" ca="1" si="23"/>
        <v>280.13260267361329</v>
      </c>
      <c r="AD708" s="25" t="str">
        <f t="shared" ca="1" si="24"/>
        <v>&gt;60 dias</v>
      </c>
      <c r="AE708" s="25">
        <f>MONTH(Tabela1[[#This Row],[Criado em]])</f>
        <v>7</v>
      </c>
      <c r="AF708" s="25">
        <f>YEAR(Tabela1[[#This Row],[Criado em]])</f>
        <v>2025</v>
      </c>
      <c r="AG708" s="25">
        <f>COUNTIFS(Tabela1[Mês],Tabela1[[#This Row],[Mês]])</f>
        <v>177</v>
      </c>
      <c r="AH708" s="25">
        <f>COUNTIFS(Tabela1[Mês],Tabela1[[#This Row],[Mês]],Tabela1[Fase atual],"Recebido")</f>
        <v>130</v>
      </c>
      <c r="AI708" s="26">
        <f>Tabela1[[#This Row],[Recebido_ Mes]]/Tabela1[[#This Row],[Total_Mes]]</f>
        <v>0.7344632768361582</v>
      </c>
      <c r="AJ708" s="19">
        <f>COUNTIFS(Tabela1[Fase atual],"Recebido",Tabela1[Mês],Tabela1[[#This Row],[Mês]],Tabela1[Ano],Tabela1[[#This Row],[Ano]])/COUNTIF(Tabela1[Mês],Tabela1[[#This Row],[Mês]])</f>
        <v>0.7344632768361582</v>
      </c>
      <c r="AK708" s="20">
        <f>100%</f>
        <v>1</v>
      </c>
    </row>
    <row r="709" spans="1:37" ht="18" customHeight="1" x14ac:dyDescent="0.25">
      <c r="A709">
        <v>1174282841</v>
      </c>
      <c r="B709" t="s">
        <v>1154</v>
      </c>
      <c r="C709" t="s">
        <v>1401</v>
      </c>
      <c r="D709" t="s">
        <v>37</v>
      </c>
      <c r="E709" t="s">
        <v>31</v>
      </c>
      <c r="F709" s="2">
        <v>45848.851034363433</v>
      </c>
      <c r="AC709" s="24">
        <f t="shared" ca="1" si="23"/>
        <v>285.14896563656657</v>
      </c>
      <c r="AD709" s="25" t="str">
        <f t="shared" ca="1" si="24"/>
        <v>&gt;60 dias</v>
      </c>
      <c r="AE709" s="25">
        <f>MONTH(Tabela1[[#This Row],[Criado em]])</f>
        <v>7</v>
      </c>
      <c r="AF709" s="25">
        <f>YEAR(Tabela1[[#This Row],[Criado em]])</f>
        <v>2025</v>
      </c>
      <c r="AG709" s="25">
        <f>COUNTIFS(Tabela1[Mês],Tabela1[[#This Row],[Mês]])</f>
        <v>177</v>
      </c>
      <c r="AH709" s="25">
        <f>COUNTIFS(Tabela1[Mês],Tabela1[[#This Row],[Mês]],Tabela1[Fase atual],"Recebido")</f>
        <v>130</v>
      </c>
      <c r="AI709" s="26">
        <f>Tabela1[[#This Row],[Recebido_ Mes]]/Tabela1[[#This Row],[Total_Mes]]</f>
        <v>0.7344632768361582</v>
      </c>
      <c r="AJ709" s="19">
        <f>COUNTIFS(Tabela1[Fase atual],"Recebido",Tabela1[Mês],Tabela1[[#This Row],[Mês]],Tabela1[Ano],Tabela1[[#This Row],[Ano]])/COUNTIF(Tabela1[Mês],Tabela1[[#This Row],[Mês]])</f>
        <v>0.7344632768361582</v>
      </c>
      <c r="AK709" s="20">
        <f>100%</f>
        <v>1</v>
      </c>
    </row>
    <row r="710" spans="1:37" ht="18" customHeight="1" x14ac:dyDescent="0.25">
      <c r="A710">
        <v>1253289055</v>
      </c>
      <c r="B710" t="s">
        <v>1402</v>
      </c>
      <c r="C710" t="s">
        <v>1403</v>
      </c>
      <c r="D710" t="s">
        <v>40</v>
      </c>
      <c r="E710" t="s">
        <v>31</v>
      </c>
      <c r="F710" s="2">
        <v>45972.626901967596</v>
      </c>
      <c r="AC710" s="24">
        <f t="shared" ca="1" si="23"/>
        <v>161.3730980324035</v>
      </c>
      <c r="AD710" s="25" t="str">
        <f t="shared" ca="1" si="24"/>
        <v>&gt;60 dias</v>
      </c>
      <c r="AE710" s="25">
        <f>MONTH(Tabela1[[#This Row],[Criado em]])</f>
        <v>11</v>
      </c>
      <c r="AF710" s="25">
        <f>YEAR(Tabela1[[#This Row],[Criado em]])</f>
        <v>2025</v>
      </c>
      <c r="AG710" s="25">
        <f>COUNTIFS(Tabela1[Mês],Tabela1[[#This Row],[Mês]])</f>
        <v>130</v>
      </c>
      <c r="AH710" s="25">
        <f>COUNTIFS(Tabela1[Mês],Tabela1[[#This Row],[Mês]],Tabela1[Fase atual],"Recebido")</f>
        <v>100</v>
      </c>
      <c r="AI710" s="26">
        <f>Tabela1[[#This Row],[Recebido_ Mes]]/Tabela1[[#This Row],[Total_Mes]]</f>
        <v>0.76923076923076927</v>
      </c>
      <c r="AJ710" s="19">
        <f>COUNTIFS(Tabela1[Fase atual],"Recebido",Tabela1[Mês],Tabela1[[#This Row],[Mês]],Tabela1[Ano],Tabela1[[#This Row],[Ano]])/COUNTIF(Tabela1[Mês],Tabela1[[#This Row],[Mês]])</f>
        <v>0.76923076923076927</v>
      </c>
      <c r="AK710" s="20">
        <f>100%</f>
        <v>1</v>
      </c>
    </row>
    <row r="711" spans="1:37" ht="18" customHeight="1" x14ac:dyDescent="0.25">
      <c r="A711">
        <v>1304125467</v>
      </c>
      <c r="B711" t="s">
        <v>692</v>
      </c>
      <c r="C711" t="s">
        <v>693</v>
      </c>
      <c r="D711" t="s">
        <v>40</v>
      </c>
      <c r="E711" t="s">
        <v>31</v>
      </c>
      <c r="F711" s="2">
        <v>46078.793732673606</v>
      </c>
      <c r="AC711" s="24">
        <f t="shared" ca="1" si="23"/>
        <v>55.206267326393572</v>
      </c>
      <c r="AD711" s="25" t="str">
        <f t="shared" ca="1" si="24"/>
        <v>31-60 dias</v>
      </c>
      <c r="AE711" s="25">
        <f>MONTH(Tabela1[[#This Row],[Criado em]])</f>
        <v>2</v>
      </c>
      <c r="AF711" s="25">
        <f>YEAR(Tabela1[[#This Row],[Criado em]])</f>
        <v>2026</v>
      </c>
      <c r="AG711" s="25">
        <f>COUNTIFS(Tabela1[Mês],Tabela1[[#This Row],[Mês]])</f>
        <v>197</v>
      </c>
      <c r="AH711" s="25">
        <f>COUNTIFS(Tabela1[Mês],Tabela1[[#This Row],[Mês]],Tabela1[Fase atual],"Recebido")</f>
        <v>124</v>
      </c>
      <c r="AI711" s="26">
        <f>Tabela1[[#This Row],[Recebido_ Mes]]/Tabela1[[#This Row],[Total_Mes]]</f>
        <v>0.62944162436548223</v>
      </c>
      <c r="AJ711" s="19">
        <f>COUNTIFS(Tabela1[Fase atual],"Recebido",Tabela1[Mês],Tabela1[[#This Row],[Mês]],Tabela1[Ano],Tabela1[[#This Row],[Ano]])/COUNTIF(Tabela1[Mês],Tabela1[[#This Row],[Mês]])</f>
        <v>0.62944162436548223</v>
      </c>
      <c r="AK711" s="20">
        <f>100%</f>
        <v>1</v>
      </c>
    </row>
    <row r="712" spans="1:37" ht="18" customHeight="1" x14ac:dyDescent="0.25">
      <c r="A712">
        <v>1226111674</v>
      </c>
      <c r="B712" t="s">
        <v>1404</v>
      </c>
      <c r="C712" t="s">
        <v>1405</v>
      </c>
      <c r="D712" t="s">
        <v>37</v>
      </c>
      <c r="E712" t="s">
        <v>31</v>
      </c>
      <c r="F712" s="2">
        <v>45932.75055582176</v>
      </c>
      <c r="AC712" s="24">
        <f t="shared" ca="1" si="23"/>
        <v>201.24944417824008</v>
      </c>
      <c r="AD712" s="25" t="str">
        <f t="shared" ca="1" si="24"/>
        <v>&gt;60 dias</v>
      </c>
      <c r="AE712" s="25">
        <f>MONTH(Tabela1[[#This Row],[Criado em]])</f>
        <v>10</v>
      </c>
      <c r="AF712" s="25">
        <f>YEAR(Tabela1[[#This Row],[Criado em]])</f>
        <v>2025</v>
      </c>
      <c r="AG712" s="25">
        <f>COUNTIFS(Tabela1[Mês],Tabela1[[#This Row],[Mês]])</f>
        <v>196</v>
      </c>
      <c r="AH712" s="25">
        <f>COUNTIFS(Tabela1[Mês],Tabela1[[#This Row],[Mês]],Tabela1[Fase atual],"Recebido")</f>
        <v>138</v>
      </c>
      <c r="AI712" s="26">
        <f>Tabela1[[#This Row],[Recebido_ Mes]]/Tabela1[[#This Row],[Total_Mes]]</f>
        <v>0.70408163265306123</v>
      </c>
      <c r="AJ712" s="19">
        <f>COUNTIFS(Tabela1[Fase atual],"Recebido",Tabela1[Mês],Tabela1[[#This Row],[Mês]],Tabela1[Ano],Tabela1[[#This Row],[Ano]])/COUNTIF(Tabela1[Mês],Tabela1[[#This Row],[Mês]])</f>
        <v>0.70408163265306123</v>
      </c>
      <c r="AK712" s="20">
        <f>100%</f>
        <v>1</v>
      </c>
    </row>
    <row r="713" spans="1:37" ht="18" customHeight="1" x14ac:dyDescent="0.25">
      <c r="A713">
        <v>1240065155</v>
      </c>
      <c r="B713" t="s">
        <v>1406</v>
      </c>
      <c r="C713" t="s">
        <v>1407</v>
      </c>
      <c r="D713" t="s">
        <v>37</v>
      </c>
      <c r="E713" t="s">
        <v>31</v>
      </c>
      <c r="F713" s="2">
        <v>45950.832852164363</v>
      </c>
      <c r="AC713" s="24">
        <f t="shared" ca="1" si="23"/>
        <v>183.16714783563657</v>
      </c>
      <c r="AD713" s="25" t="str">
        <f t="shared" ca="1" si="24"/>
        <v>&gt;60 dias</v>
      </c>
      <c r="AE713" s="25">
        <f>MONTH(Tabela1[[#This Row],[Criado em]])</f>
        <v>10</v>
      </c>
      <c r="AF713" s="25">
        <f>YEAR(Tabela1[[#This Row],[Criado em]])</f>
        <v>2025</v>
      </c>
      <c r="AG713" s="25">
        <f>COUNTIFS(Tabela1[Mês],Tabela1[[#This Row],[Mês]])</f>
        <v>196</v>
      </c>
      <c r="AH713" s="25">
        <f>COUNTIFS(Tabela1[Mês],Tabela1[[#This Row],[Mês]],Tabela1[Fase atual],"Recebido")</f>
        <v>138</v>
      </c>
      <c r="AI713" s="26">
        <f>Tabela1[[#This Row],[Recebido_ Mes]]/Tabela1[[#This Row],[Total_Mes]]</f>
        <v>0.70408163265306123</v>
      </c>
      <c r="AJ713" s="19">
        <f>COUNTIFS(Tabela1[Fase atual],"Recebido",Tabela1[Mês],Tabela1[[#This Row],[Mês]],Tabela1[Ano],Tabela1[[#This Row],[Ano]])/COUNTIF(Tabela1[Mês],Tabela1[[#This Row],[Mês]])</f>
        <v>0.70408163265306123</v>
      </c>
      <c r="AK713" s="20">
        <f>100%</f>
        <v>1</v>
      </c>
    </row>
    <row r="714" spans="1:37" ht="18" customHeight="1" x14ac:dyDescent="0.25">
      <c r="A714">
        <v>1255853696</v>
      </c>
      <c r="B714" t="s">
        <v>1408</v>
      </c>
      <c r="C714" t="s">
        <v>1409</v>
      </c>
      <c r="D714" t="s">
        <v>37</v>
      </c>
      <c r="E714" t="s">
        <v>31</v>
      </c>
      <c r="F714" s="2">
        <v>45978.788629664363</v>
      </c>
      <c r="AC714" s="24">
        <f t="shared" ca="1" si="23"/>
        <v>155.21137033563718</v>
      </c>
      <c r="AD714" s="25" t="str">
        <f t="shared" ca="1" si="24"/>
        <v>&gt;60 dias</v>
      </c>
      <c r="AE714" s="25">
        <f>MONTH(Tabela1[[#This Row],[Criado em]])</f>
        <v>11</v>
      </c>
      <c r="AF714" s="25">
        <f>YEAR(Tabela1[[#This Row],[Criado em]])</f>
        <v>2025</v>
      </c>
      <c r="AG714" s="25">
        <f>COUNTIFS(Tabela1[Mês],Tabela1[[#This Row],[Mês]])</f>
        <v>130</v>
      </c>
      <c r="AH714" s="25">
        <f>COUNTIFS(Tabela1[Mês],Tabela1[[#This Row],[Mês]],Tabela1[Fase atual],"Recebido")</f>
        <v>100</v>
      </c>
      <c r="AI714" s="26">
        <f>Tabela1[[#This Row],[Recebido_ Mes]]/Tabela1[[#This Row],[Total_Mes]]</f>
        <v>0.76923076923076927</v>
      </c>
      <c r="AJ714" s="19">
        <f>COUNTIFS(Tabela1[Fase atual],"Recebido",Tabela1[Mês],Tabela1[[#This Row],[Mês]],Tabela1[Ano],Tabela1[[#This Row],[Ano]])/COUNTIF(Tabela1[Mês],Tabela1[[#This Row],[Mês]])</f>
        <v>0.76923076923076927</v>
      </c>
      <c r="AK714" s="20">
        <f>100%</f>
        <v>1</v>
      </c>
    </row>
    <row r="715" spans="1:37" ht="18" customHeight="1" x14ac:dyDescent="0.25">
      <c r="A715">
        <v>1270760142</v>
      </c>
      <c r="B715" t="s">
        <v>1408</v>
      </c>
      <c r="C715" t="s">
        <v>1410</v>
      </c>
      <c r="D715" t="s">
        <v>37</v>
      </c>
      <c r="E715" t="s">
        <v>31</v>
      </c>
      <c r="F715" s="2">
        <v>46010.796670613418</v>
      </c>
      <c r="AC715" s="24">
        <f t="shared" ca="1" si="23"/>
        <v>123.20332938658248</v>
      </c>
      <c r="AD715" s="25" t="str">
        <f t="shared" ca="1" si="24"/>
        <v>&gt;60 dias</v>
      </c>
      <c r="AE715" s="25">
        <f>MONTH(Tabela1[[#This Row],[Criado em]])</f>
        <v>12</v>
      </c>
      <c r="AF715" s="25">
        <f>YEAR(Tabela1[[#This Row],[Criado em]])</f>
        <v>2025</v>
      </c>
      <c r="AG715" s="25">
        <f>COUNTIFS(Tabela1[Mês],Tabela1[[#This Row],[Mês]])</f>
        <v>207</v>
      </c>
      <c r="AH715" s="25">
        <f>COUNTIFS(Tabela1[Mês],Tabela1[[#This Row],[Mês]],Tabela1[Fase atual],"Recebido")</f>
        <v>155</v>
      </c>
      <c r="AI715" s="26">
        <f>Tabela1[[#This Row],[Recebido_ Mes]]/Tabela1[[#This Row],[Total_Mes]]</f>
        <v>0.74879227053140096</v>
      </c>
      <c r="AJ715" s="19">
        <f>COUNTIFS(Tabela1[Fase atual],"Recebido",Tabela1[Mês],Tabela1[[#This Row],[Mês]],Tabela1[Ano],Tabela1[[#This Row],[Ano]])/COUNTIF(Tabela1[Mês],Tabela1[[#This Row],[Mês]])</f>
        <v>0.74879227053140096</v>
      </c>
      <c r="AK715" s="20">
        <f>100%</f>
        <v>1</v>
      </c>
    </row>
    <row r="716" spans="1:37" ht="18" customHeight="1" x14ac:dyDescent="0.25">
      <c r="A716">
        <v>1286393100</v>
      </c>
      <c r="B716" t="s">
        <v>328</v>
      </c>
      <c r="C716" t="s">
        <v>329</v>
      </c>
      <c r="D716" t="s">
        <v>40</v>
      </c>
      <c r="E716" t="s">
        <v>31</v>
      </c>
      <c r="F716" s="2">
        <v>46045.544747476859</v>
      </c>
      <c r="AC716" s="24">
        <f t="shared" ca="1" si="23"/>
        <v>88.455252523141098</v>
      </c>
      <c r="AD716" s="25" t="str">
        <f t="shared" ca="1" si="24"/>
        <v>&gt;60 dias</v>
      </c>
      <c r="AE716" s="25">
        <f>MONTH(Tabela1[[#This Row],[Criado em]])</f>
        <v>1</v>
      </c>
      <c r="AF716" s="25">
        <f>YEAR(Tabela1[[#This Row],[Criado em]])</f>
        <v>2026</v>
      </c>
      <c r="AG716" s="25">
        <f>COUNTIFS(Tabela1[Mês],Tabela1[[#This Row],[Mês]])</f>
        <v>222</v>
      </c>
      <c r="AH716" s="25">
        <f>COUNTIFS(Tabela1[Mês],Tabela1[[#This Row],[Mês]],Tabela1[Fase atual],"Recebido")</f>
        <v>174</v>
      </c>
      <c r="AI716" s="26">
        <f>Tabela1[[#This Row],[Recebido_ Mes]]/Tabela1[[#This Row],[Total_Mes]]</f>
        <v>0.78378378378378377</v>
      </c>
      <c r="AJ716" s="19">
        <f>COUNTIFS(Tabela1[Fase atual],"Recebido",Tabela1[Mês],Tabela1[[#This Row],[Mês]],Tabela1[Ano],Tabela1[[#This Row],[Ano]])/COUNTIF(Tabela1[Mês],Tabela1[[#This Row],[Mês]])</f>
        <v>0.78378378378378377</v>
      </c>
      <c r="AK716" s="20">
        <f>100%</f>
        <v>1</v>
      </c>
    </row>
    <row r="717" spans="1:37" ht="18" customHeight="1" x14ac:dyDescent="0.25">
      <c r="A717">
        <v>1252741406</v>
      </c>
      <c r="B717" t="s">
        <v>1411</v>
      </c>
      <c r="C717" t="s">
        <v>1412</v>
      </c>
      <c r="D717" t="s">
        <v>37</v>
      </c>
      <c r="E717" t="s">
        <v>31</v>
      </c>
      <c r="F717" s="2">
        <v>45971.626900613417</v>
      </c>
      <c r="AC717" s="24">
        <f t="shared" ca="1" si="23"/>
        <v>162.37309938658291</v>
      </c>
      <c r="AD717" s="25" t="str">
        <f t="shared" ca="1" si="24"/>
        <v>&gt;60 dias</v>
      </c>
      <c r="AE717" s="25">
        <f>MONTH(Tabela1[[#This Row],[Criado em]])</f>
        <v>11</v>
      </c>
      <c r="AF717" s="25">
        <f>YEAR(Tabela1[[#This Row],[Criado em]])</f>
        <v>2025</v>
      </c>
      <c r="AG717" s="25">
        <f>COUNTIFS(Tabela1[Mês],Tabela1[[#This Row],[Mês]])</f>
        <v>130</v>
      </c>
      <c r="AH717" s="25">
        <f>COUNTIFS(Tabela1[Mês],Tabela1[[#This Row],[Mês]],Tabela1[Fase atual],"Recebido")</f>
        <v>100</v>
      </c>
      <c r="AI717" s="26">
        <f>Tabela1[[#This Row],[Recebido_ Mes]]/Tabela1[[#This Row],[Total_Mes]]</f>
        <v>0.76923076923076927</v>
      </c>
      <c r="AJ717" s="19">
        <f>COUNTIFS(Tabela1[Fase atual],"Recebido",Tabela1[Mês],Tabela1[[#This Row],[Mês]],Tabela1[Ano],Tabela1[[#This Row],[Ano]])/COUNTIF(Tabela1[Mês],Tabela1[[#This Row],[Mês]])</f>
        <v>0.76923076923076927</v>
      </c>
      <c r="AK717" s="20">
        <f>100%</f>
        <v>1</v>
      </c>
    </row>
    <row r="718" spans="1:37" ht="18" customHeight="1" x14ac:dyDescent="0.25">
      <c r="A718">
        <v>1279300836</v>
      </c>
      <c r="B718" t="s">
        <v>330</v>
      </c>
      <c r="C718" t="s">
        <v>331</v>
      </c>
      <c r="D718" t="s">
        <v>37</v>
      </c>
      <c r="E718" t="s">
        <v>31</v>
      </c>
      <c r="F718" s="2">
        <v>46031.522537083343</v>
      </c>
      <c r="AC718" s="24">
        <f t="shared" ca="1" si="23"/>
        <v>102.4774629166568</v>
      </c>
      <c r="AD718" s="25" t="str">
        <f t="shared" ca="1" si="24"/>
        <v>&gt;60 dias</v>
      </c>
      <c r="AE718" s="25">
        <f>MONTH(Tabela1[[#This Row],[Criado em]])</f>
        <v>1</v>
      </c>
      <c r="AF718" s="25">
        <f>YEAR(Tabela1[[#This Row],[Criado em]])</f>
        <v>2026</v>
      </c>
      <c r="AG718" s="25">
        <f>COUNTIFS(Tabela1[Mês],Tabela1[[#This Row],[Mês]])</f>
        <v>222</v>
      </c>
      <c r="AH718" s="25">
        <f>COUNTIFS(Tabela1[Mês],Tabela1[[#This Row],[Mês]],Tabela1[Fase atual],"Recebido")</f>
        <v>174</v>
      </c>
      <c r="AI718" s="26">
        <f>Tabela1[[#This Row],[Recebido_ Mes]]/Tabela1[[#This Row],[Total_Mes]]</f>
        <v>0.78378378378378377</v>
      </c>
      <c r="AJ718" s="19">
        <f>COUNTIFS(Tabela1[Fase atual],"Recebido",Tabela1[Mês],Tabela1[[#This Row],[Mês]],Tabela1[Ano],Tabela1[[#This Row],[Ano]])/COUNTIF(Tabela1[Mês],Tabela1[[#This Row],[Mês]])</f>
        <v>0.78378378378378377</v>
      </c>
      <c r="AK718" s="20">
        <f>100%</f>
        <v>1</v>
      </c>
    </row>
    <row r="719" spans="1:37" ht="18" customHeight="1" x14ac:dyDescent="0.25">
      <c r="A719">
        <v>1265301693</v>
      </c>
      <c r="B719" t="s">
        <v>330</v>
      </c>
      <c r="C719" t="s">
        <v>1413</v>
      </c>
      <c r="D719" t="s">
        <v>37</v>
      </c>
      <c r="E719" t="s">
        <v>31</v>
      </c>
      <c r="F719" s="2">
        <v>45999.546360914363</v>
      </c>
      <c r="AC719" s="24">
        <f t="shared" ca="1" si="23"/>
        <v>134.45363908563741</v>
      </c>
      <c r="AD719" s="25" t="str">
        <f t="shared" ca="1" si="24"/>
        <v>&gt;60 dias</v>
      </c>
      <c r="AE719" s="25">
        <f>MONTH(Tabela1[[#This Row],[Criado em]])</f>
        <v>12</v>
      </c>
      <c r="AF719" s="25">
        <f>YEAR(Tabela1[[#This Row],[Criado em]])</f>
        <v>2025</v>
      </c>
      <c r="AG719" s="25">
        <f>COUNTIFS(Tabela1[Mês],Tabela1[[#This Row],[Mês]])</f>
        <v>207</v>
      </c>
      <c r="AH719" s="25">
        <f>COUNTIFS(Tabela1[Mês],Tabela1[[#This Row],[Mês]],Tabela1[Fase atual],"Recebido")</f>
        <v>155</v>
      </c>
      <c r="AI719" s="26">
        <f>Tabela1[[#This Row],[Recebido_ Mes]]/Tabela1[[#This Row],[Total_Mes]]</f>
        <v>0.74879227053140096</v>
      </c>
      <c r="AJ719" s="19">
        <f>COUNTIFS(Tabela1[Fase atual],"Recebido",Tabela1[Mês],Tabela1[[#This Row],[Mês]],Tabela1[Ano],Tabela1[[#This Row],[Ano]])/COUNTIF(Tabela1[Mês],Tabela1[[#This Row],[Mês]])</f>
        <v>0.74879227053140096</v>
      </c>
      <c r="AK719" s="20">
        <f>100%</f>
        <v>1</v>
      </c>
    </row>
    <row r="720" spans="1:37" ht="18" customHeight="1" x14ac:dyDescent="0.25">
      <c r="A720">
        <v>1188380659</v>
      </c>
      <c r="B720" t="s">
        <v>495</v>
      </c>
      <c r="C720" t="s">
        <v>1414</v>
      </c>
      <c r="D720" t="s">
        <v>40</v>
      </c>
      <c r="E720" t="s">
        <v>31</v>
      </c>
      <c r="F720" s="2">
        <v>45873.851284722223</v>
      </c>
      <c r="AC720" s="24">
        <f t="shared" ca="1" si="23"/>
        <v>260.14871527777723</v>
      </c>
      <c r="AD720" s="25" t="str">
        <f t="shared" ca="1" si="24"/>
        <v>&gt;60 dias</v>
      </c>
      <c r="AE720" s="25">
        <f>MONTH(Tabela1[[#This Row],[Criado em]])</f>
        <v>8</v>
      </c>
      <c r="AF720" s="25">
        <f>YEAR(Tabela1[[#This Row],[Criado em]])</f>
        <v>2025</v>
      </c>
      <c r="AG720" s="25">
        <f>COUNTIFS(Tabela1[Mês],Tabela1[[#This Row],[Mês]])</f>
        <v>146</v>
      </c>
      <c r="AH720" s="25">
        <f>COUNTIFS(Tabela1[Mês],Tabela1[[#This Row],[Mês]],Tabela1[Fase atual],"Recebido")</f>
        <v>115</v>
      </c>
      <c r="AI720" s="26">
        <f>Tabela1[[#This Row],[Recebido_ Mes]]/Tabela1[[#This Row],[Total_Mes]]</f>
        <v>0.78767123287671237</v>
      </c>
      <c r="AJ720" s="19">
        <f>COUNTIFS(Tabela1[Fase atual],"Recebido",Tabela1[Mês],Tabela1[[#This Row],[Mês]],Tabela1[Ano],Tabela1[[#This Row],[Ano]])/COUNTIF(Tabela1[Mês],Tabela1[[#This Row],[Mês]])</f>
        <v>0.78767123287671237</v>
      </c>
      <c r="AK720" s="20">
        <f>100%</f>
        <v>1</v>
      </c>
    </row>
    <row r="721" spans="1:37" ht="18" customHeight="1" x14ac:dyDescent="0.25">
      <c r="A721">
        <v>1265627688</v>
      </c>
      <c r="B721" t="s">
        <v>1415</v>
      </c>
      <c r="C721" t="s">
        <v>1416</v>
      </c>
      <c r="D721" t="s">
        <v>37</v>
      </c>
      <c r="E721" t="s">
        <v>31</v>
      </c>
      <c r="F721" s="2">
        <v>45999.9223437037</v>
      </c>
      <c r="AC721" s="24">
        <f t="shared" ca="1" si="23"/>
        <v>134.07765629630012</v>
      </c>
      <c r="AD721" s="25" t="str">
        <f t="shared" ca="1" si="24"/>
        <v>&gt;60 dias</v>
      </c>
      <c r="AE721" s="25">
        <f>MONTH(Tabela1[[#This Row],[Criado em]])</f>
        <v>12</v>
      </c>
      <c r="AF721" s="25">
        <f>YEAR(Tabela1[[#This Row],[Criado em]])</f>
        <v>2025</v>
      </c>
      <c r="AG721" s="25">
        <f>COUNTIFS(Tabela1[Mês],Tabela1[[#This Row],[Mês]])</f>
        <v>207</v>
      </c>
      <c r="AH721" s="25">
        <f>COUNTIFS(Tabela1[Mês],Tabela1[[#This Row],[Mês]],Tabela1[Fase atual],"Recebido")</f>
        <v>155</v>
      </c>
      <c r="AI721" s="26">
        <f>Tabela1[[#This Row],[Recebido_ Mes]]/Tabela1[[#This Row],[Total_Mes]]</f>
        <v>0.74879227053140096</v>
      </c>
      <c r="AJ721" s="19">
        <f>COUNTIFS(Tabela1[Fase atual],"Recebido",Tabela1[Mês],Tabela1[[#This Row],[Mês]],Tabela1[Ano],Tabela1[[#This Row],[Ano]])/COUNTIF(Tabela1[Mês],Tabela1[[#This Row],[Mês]])</f>
        <v>0.74879227053140096</v>
      </c>
      <c r="AK721" s="20">
        <f>100%</f>
        <v>1</v>
      </c>
    </row>
    <row r="722" spans="1:37" ht="18" customHeight="1" x14ac:dyDescent="0.25">
      <c r="A722">
        <v>1246331660</v>
      </c>
      <c r="B722" t="s">
        <v>1417</v>
      </c>
      <c r="C722" t="s">
        <v>1418</v>
      </c>
      <c r="D722" t="s">
        <v>37</v>
      </c>
      <c r="E722" t="s">
        <v>31</v>
      </c>
      <c r="F722" s="2">
        <v>45958.794312025457</v>
      </c>
      <c r="AC722" s="24">
        <f t="shared" ca="1" si="23"/>
        <v>175.20568797454325</v>
      </c>
      <c r="AD722" s="25" t="str">
        <f t="shared" ca="1" si="24"/>
        <v>&gt;60 dias</v>
      </c>
      <c r="AE722" s="25">
        <f>MONTH(Tabela1[[#This Row],[Criado em]])</f>
        <v>10</v>
      </c>
      <c r="AF722" s="25">
        <f>YEAR(Tabela1[[#This Row],[Criado em]])</f>
        <v>2025</v>
      </c>
      <c r="AG722" s="25">
        <f>COUNTIFS(Tabela1[Mês],Tabela1[[#This Row],[Mês]])</f>
        <v>196</v>
      </c>
      <c r="AH722" s="25">
        <f>COUNTIFS(Tabela1[Mês],Tabela1[[#This Row],[Mês]],Tabela1[Fase atual],"Recebido")</f>
        <v>138</v>
      </c>
      <c r="AI722" s="26">
        <f>Tabela1[[#This Row],[Recebido_ Mes]]/Tabela1[[#This Row],[Total_Mes]]</f>
        <v>0.70408163265306123</v>
      </c>
      <c r="AJ722" s="19">
        <f>COUNTIFS(Tabela1[Fase atual],"Recebido",Tabela1[Mês],Tabela1[[#This Row],[Mês]],Tabela1[Ano],Tabela1[[#This Row],[Ano]])/COUNTIF(Tabela1[Mês],Tabela1[[#This Row],[Mês]])</f>
        <v>0.70408163265306123</v>
      </c>
      <c r="AK722" s="20">
        <f>100%</f>
        <v>1</v>
      </c>
    </row>
    <row r="723" spans="1:37" ht="18" customHeight="1" x14ac:dyDescent="0.25">
      <c r="A723">
        <v>1264639151</v>
      </c>
      <c r="B723" t="s">
        <v>381</v>
      </c>
      <c r="C723" t="s">
        <v>2232</v>
      </c>
      <c r="D723" t="s">
        <v>43</v>
      </c>
      <c r="E723" t="s">
        <v>31</v>
      </c>
      <c r="F723" s="2">
        <v>45996.630934201392</v>
      </c>
      <c r="AC723" s="24">
        <f t="shared" ca="1" si="23"/>
        <v>137.36906579860806</v>
      </c>
      <c r="AD723" s="25" t="str">
        <f t="shared" ca="1" si="24"/>
        <v>&gt;60 dias</v>
      </c>
      <c r="AE723" s="25">
        <f>MONTH(Tabela1[[#This Row],[Criado em]])</f>
        <v>12</v>
      </c>
      <c r="AF723" s="25">
        <f>YEAR(Tabela1[[#This Row],[Criado em]])</f>
        <v>2025</v>
      </c>
      <c r="AG723" s="25">
        <f>COUNTIFS(Tabela1[Mês],Tabela1[[#This Row],[Mês]])</f>
        <v>207</v>
      </c>
      <c r="AH723" s="25">
        <f>COUNTIFS(Tabela1[Mês],Tabela1[[#This Row],[Mês]],Tabela1[Fase atual],"Recebido")</f>
        <v>155</v>
      </c>
      <c r="AI723" s="26">
        <f>Tabela1[[#This Row],[Recebido_ Mes]]/Tabela1[[#This Row],[Total_Mes]]</f>
        <v>0.74879227053140096</v>
      </c>
      <c r="AJ723" s="19">
        <f>COUNTIFS(Tabela1[Fase atual],"Recebido",Tabela1[Mês],Tabela1[[#This Row],[Mês]],Tabela1[Ano],Tabela1[[#This Row],[Ano]])/COUNTIF(Tabela1[Mês],Tabela1[[#This Row],[Mês]])</f>
        <v>0.74879227053140096</v>
      </c>
      <c r="AK723" s="20">
        <f>100%</f>
        <v>1</v>
      </c>
    </row>
    <row r="724" spans="1:37" ht="18" customHeight="1" x14ac:dyDescent="0.25">
      <c r="A724">
        <v>1270483521</v>
      </c>
      <c r="B724" t="s">
        <v>1419</v>
      </c>
      <c r="C724" t="s">
        <v>1420</v>
      </c>
      <c r="D724" t="s">
        <v>37</v>
      </c>
      <c r="E724" t="s">
        <v>31</v>
      </c>
      <c r="F724" s="2">
        <v>46010.55909476852</v>
      </c>
      <c r="AC724" s="24">
        <f t="shared" ca="1" si="23"/>
        <v>123.44090523148043</v>
      </c>
      <c r="AD724" s="25" t="str">
        <f t="shared" ca="1" si="24"/>
        <v>&gt;60 dias</v>
      </c>
      <c r="AE724" s="25">
        <f>MONTH(Tabela1[[#This Row],[Criado em]])</f>
        <v>12</v>
      </c>
      <c r="AF724" s="25">
        <f>YEAR(Tabela1[[#This Row],[Criado em]])</f>
        <v>2025</v>
      </c>
      <c r="AG724" s="25">
        <f>COUNTIFS(Tabela1[Mês],Tabela1[[#This Row],[Mês]])</f>
        <v>207</v>
      </c>
      <c r="AH724" s="25">
        <f>COUNTIFS(Tabela1[Mês],Tabela1[[#This Row],[Mês]],Tabela1[Fase atual],"Recebido")</f>
        <v>155</v>
      </c>
      <c r="AI724" s="26">
        <f>Tabela1[[#This Row],[Recebido_ Mes]]/Tabela1[[#This Row],[Total_Mes]]</f>
        <v>0.74879227053140096</v>
      </c>
      <c r="AJ724" s="19">
        <f>COUNTIFS(Tabela1[Fase atual],"Recebido",Tabela1[Mês],Tabela1[[#This Row],[Mês]],Tabela1[Ano],Tabela1[[#This Row],[Ano]])/COUNTIF(Tabela1[Mês],Tabela1[[#This Row],[Mês]])</f>
        <v>0.74879227053140096</v>
      </c>
      <c r="AK724" s="20">
        <f>100%</f>
        <v>1</v>
      </c>
    </row>
    <row r="725" spans="1:37" ht="18" customHeight="1" x14ac:dyDescent="0.25">
      <c r="A725">
        <v>1254921396</v>
      </c>
      <c r="B725" t="s">
        <v>1421</v>
      </c>
      <c r="C725" t="s">
        <v>1422</v>
      </c>
      <c r="D725" t="s">
        <v>37</v>
      </c>
      <c r="E725" t="s">
        <v>31</v>
      </c>
      <c r="F725" s="2">
        <v>45975.628536087963</v>
      </c>
      <c r="AC725" s="24">
        <f t="shared" ca="1" si="23"/>
        <v>158.37146391203714</v>
      </c>
      <c r="AD725" s="25" t="str">
        <f t="shared" ca="1" si="24"/>
        <v>&gt;60 dias</v>
      </c>
      <c r="AE725" s="25">
        <f>MONTH(Tabela1[[#This Row],[Criado em]])</f>
        <v>11</v>
      </c>
      <c r="AF725" s="25">
        <f>YEAR(Tabela1[[#This Row],[Criado em]])</f>
        <v>2025</v>
      </c>
      <c r="AG725" s="25">
        <f>COUNTIFS(Tabela1[Mês],Tabela1[[#This Row],[Mês]])</f>
        <v>130</v>
      </c>
      <c r="AH725" s="25">
        <f>COUNTIFS(Tabela1[Mês],Tabela1[[#This Row],[Mês]],Tabela1[Fase atual],"Recebido")</f>
        <v>100</v>
      </c>
      <c r="AI725" s="26">
        <f>Tabela1[[#This Row],[Recebido_ Mes]]/Tabela1[[#This Row],[Total_Mes]]</f>
        <v>0.76923076923076927</v>
      </c>
      <c r="AJ725" s="19">
        <f>COUNTIFS(Tabela1[Fase atual],"Recebido",Tabela1[Mês],Tabela1[[#This Row],[Mês]],Tabela1[Ano],Tabela1[[#This Row],[Ano]])/COUNTIF(Tabela1[Mês],Tabela1[[#This Row],[Mês]])</f>
        <v>0.76923076923076927</v>
      </c>
      <c r="AK725" s="20">
        <f>100%</f>
        <v>1</v>
      </c>
    </row>
    <row r="726" spans="1:37" ht="18" customHeight="1" x14ac:dyDescent="0.25">
      <c r="A726">
        <v>1216056989</v>
      </c>
      <c r="B726" t="s">
        <v>1423</v>
      </c>
      <c r="C726" t="s">
        <v>1424</v>
      </c>
      <c r="D726" t="s">
        <v>37</v>
      </c>
      <c r="E726" t="s">
        <v>31</v>
      </c>
      <c r="F726" s="2">
        <v>45917.741714965283</v>
      </c>
      <c r="AC726" s="24">
        <f t="shared" ca="1" si="23"/>
        <v>216.25828503471712</v>
      </c>
      <c r="AD726" s="25" t="str">
        <f t="shared" ca="1" si="24"/>
        <v>&gt;60 dias</v>
      </c>
      <c r="AE726" s="25">
        <f>MONTH(Tabela1[[#This Row],[Criado em]])</f>
        <v>9</v>
      </c>
      <c r="AF726" s="25">
        <f>YEAR(Tabela1[[#This Row],[Criado em]])</f>
        <v>2025</v>
      </c>
      <c r="AG726" s="25">
        <f>COUNTIFS(Tabela1[Mês],Tabela1[[#This Row],[Mês]])</f>
        <v>197</v>
      </c>
      <c r="AH726" s="25">
        <f>COUNTIFS(Tabela1[Mês],Tabela1[[#This Row],[Mês]],Tabela1[Fase atual],"Recebido")</f>
        <v>152</v>
      </c>
      <c r="AI726" s="26">
        <f>Tabela1[[#This Row],[Recebido_ Mes]]/Tabela1[[#This Row],[Total_Mes]]</f>
        <v>0.77157360406091369</v>
      </c>
      <c r="AJ726" s="19">
        <f>COUNTIFS(Tabela1[Fase atual],"Recebido",Tabela1[Mês],Tabela1[[#This Row],[Mês]],Tabela1[Ano],Tabela1[[#This Row],[Ano]])/COUNTIF(Tabela1[Mês],Tabela1[[#This Row],[Mês]])</f>
        <v>0.77157360406091369</v>
      </c>
      <c r="AK726" s="20">
        <f>100%</f>
        <v>1</v>
      </c>
    </row>
    <row r="727" spans="1:37" ht="18" customHeight="1" x14ac:dyDescent="0.25">
      <c r="A727">
        <v>1243425792</v>
      </c>
      <c r="B727" t="s">
        <v>1425</v>
      </c>
      <c r="C727" t="s">
        <v>1426</v>
      </c>
      <c r="D727" t="s">
        <v>37</v>
      </c>
      <c r="E727" t="s">
        <v>31</v>
      </c>
      <c r="F727" s="2">
        <v>45954.795013877323</v>
      </c>
      <c r="AC727" s="24">
        <f t="shared" ca="1" si="23"/>
        <v>179.20498612267693</v>
      </c>
      <c r="AD727" s="25" t="str">
        <f t="shared" ca="1" si="24"/>
        <v>&gt;60 dias</v>
      </c>
      <c r="AE727" s="25">
        <f>MONTH(Tabela1[[#This Row],[Criado em]])</f>
        <v>10</v>
      </c>
      <c r="AF727" s="25">
        <f>YEAR(Tabela1[[#This Row],[Criado em]])</f>
        <v>2025</v>
      </c>
      <c r="AG727" s="25">
        <f>COUNTIFS(Tabela1[Mês],Tabela1[[#This Row],[Mês]])</f>
        <v>196</v>
      </c>
      <c r="AH727" s="25">
        <f>COUNTIFS(Tabela1[Mês],Tabela1[[#This Row],[Mês]],Tabela1[Fase atual],"Recebido")</f>
        <v>138</v>
      </c>
      <c r="AI727" s="26">
        <f>Tabela1[[#This Row],[Recebido_ Mes]]/Tabela1[[#This Row],[Total_Mes]]</f>
        <v>0.70408163265306123</v>
      </c>
      <c r="AJ727" s="19">
        <f>COUNTIFS(Tabela1[Fase atual],"Recebido",Tabela1[Mês],Tabela1[[#This Row],[Mês]],Tabela1[Ano],Tabela1[[#This Row],[Ano]])/COUNTIF(Tabela1[Mês],Tabela1[[#This Row],[Mês]])</f>
        <v>0.70408163265306123</v>
      </c>
      <c r="AK727" s="20">
        <f>100%</f>
        <v>1</v>
      </c>
    </row>
    <row r="728" spans="1:37" ht="18" customHeight="1" x14ac:dyDescent="0.25">
      <c r="A728">
        <v>1308392031</v>
      </c>
      <c r="B728" t="s">
        <v>2233</v>
      </c>
      <c r="C728" t="s">
        <v>2234</v>
      </c>
      <c r="D728" t="s">
        <v>2179</v>
      </c>
      <c r="E728" t="s">
        <v>31</v>
      </c>
      <c r="F728" s="2">
        <v>46084.795763275462</v>
      </c>
      <c r="AC728" s="24">
        <f t="shared" ca="1" si="23"/>
        <v>49.204236724537623</v>
      </c>
      <c r="AD728" s="25" t="str">
        <f t="shared" ca="1" si="24"/>
        <v>31-60 dias</v>
      </c>
      <c r="AE728" s="25">
        <f>MONTH(Tabela1[[#This Row],[Criado em]])</f>
        <v>3</v>
      </c>
      <c r="AF728" s="25">
        <f>YEAR(Tabela1[[#This Row],[Criado em]])</f>
        <v>2026</v>
      </c>
      <c r="AG728" s="25">
        <f>COUNTIFS(Tabela1[Mês],Tabela1[[#This Row],[Mês]])</f>
        <v>62</v>
      </c>
      <c r="AH728" s="25">
        <f>COUNTIFS(Tabela1[Mês],Tabela1[[#This Row],[Mês]],Tabela1[Fase atual],"Recebido")</f>
        <v>13</v>
      </c>
      <c r="AI728" s="26">
        <f>Tabela1[[#This Row],[Recebido_ Mes]]/Tabela1[[#This Row],[Total_Mes]]</f>
        <v>0.20967741935483872</v>
      </c>
      <c r="AJ728" s="19">
        <f>COUNTIFS(Tabela1[Fase atual],"Recebido",Tabela1[Mês],Tabela1[[#This Row],[Mês]],Tabela1[Ano],Tabela1[[#This Row],[Ano]])/COUNTIF(Tabela1[Mês],Tabela1[[#This Row],[Mês]])</f>
        <v>0.20967741935483872</v>
      </c>
      <c r="AK728" s="20">
        <f>100%</f>
        <v>1</v>
      </c>
    </row>
    <row r="729" spans="1:37" ht="18" customHeight="1" x14ac:dyDescent="0.25">
      <c r="A729">
        <v>1235450939</v>
      </c>
      <c r="B729" t="s">
        <v>1427</v>
      </c>
      <c r="C729" t="s">
        <v>1428</v>
      </c>
      <c r="D729" t="s">
        <v>37</v>
      </c>
      <c r="E729" t="s">
        <v>31</v>
      </c>
      <c r="F729" s="2">
        <v>45944.794813194443</v>
      </c>
      <c r="AC729" s="24">
        <f t="shared" ca="1" si="23"/>
        <v>189.20518680555688</v>
      </c>
      <c r="AD729" s="25" t="str">
        <f t="shared" ca="1" si="24"/>
        <v>&gt;60 dias</v>
      </c>
      <c r="AE729" s="25">
        <f>MONTH(Tabela1[[#This Row],[Criado em]])</f>
        <v>10</v>
      </c>
      <c r="AF729" s="25">
        <f>YEAR(Tabela1[[#This Row],[Criado em]])</f>
        <v>2025</v>
      </c>
      <c r="AG729" s="25">
        <f>COUNTIFS(Tabela1[Mês],Tabela1[[#This Row],[Mês]])</f>
        <v>196</v>
      </c>
      <c r="AH729" s="25">
        <f>COUNTIFS(Tabela1[Mês],Tabela1[[#This Row],[Mês]],Tabela1[Fase atual],"Recebido")</f>
        <v>138</v>
      </c>
      <c r="AI729" s="26">
        <f>Tabela1[[#This Row],[Recebido_ Mes]]/Tabela1[[#This Row],[Total_Mes]]</f>
        <v>0.70408163265306123</v>
      </c>
      <c r="AJ729" s="19">
        <f>COUNTIFS(Tabela1[Fase atual],"Recebido",Tabela1[Mês],Tabela1[[#This Row],[Mês]],Tabela1[Ano],Tabela1[[#This Row],[Ano]])/COUNTIF(Tabela1[Mês],Tabela1[[#This Row],[Mês]])</f>
        <v>0.70408163265306123</v>
      </c>
      <c r="AK729" s="20">
        <f>100%</f>
        <v>1</v>
      </c>
    </row>
    <row r="730" spans="1:37" ht="18" customHeight="1" x14ac:dyDescent="0.25">
      <c r="A730">
        <v>1269238277</v>
      </c>
      <c r="B730" t="s">
        <v>339</v>
      </c>
      <c r="C730" t="s">
        <v>1429</v>
      </c>
      <c r="D730" t="s">
        <v>37</v>
      </c>
      <c r="E730" t="s">
        <v>31</v>
      </c>
      <c r="F730" s="2">
        <v>46007.920172812497</v>
      </c>
      <c r="AC730" s="24">
        <f t="shared" ca="1" si="23"/>
        <v>126.07982718750281</v>
      </c>
      <c r="AD730" s="25" t="str">
        <f t="shared" ca="1" si="24"/>
        <v>&gt;60 dias</v>
      </c>
      <c r="AE730" s="25">
        <f>MONTH(Tabela1[[#This Row],[Criado em]])</f>
        <v>12</v>
      </c>
      <c r="AF730" s="25">
        <f>YEAR(Tabela1[[#This Row],[Criado em]])</f>
        <v>2025</v>
      </c>
      <c r="AG730" s="25">
        <f>COUNTIFS(Tabela1[Mês],Tabela1[[#This Row],[Mês]])</f>
        <v>207</v>
      </c>
      <c r="AH730" s="25">
        <f>COUNTIFS(Tabela1[Mês],Tabela1[[#This Row],[Mês]],Tabela1[Fase atual],"Recebido")</f>
        <v>155</v>
      </c>
      <c r="AI730" s="26">
        <f>Tabela1[[#This Row],[Recebido_ Mes]]/Tabela1[[#This Row],[Total_Mes]]</f>
        <v>0.74879227053140096</v>
      </c>
      <c r="AJ730" s="19">
        <f>COUNTIFS(Tabela1[Fase atual],"Recebido",Tabela1[Mês],Tabela1[[#This Row],[Mês]],Tabela1[Ano],Tabela1[[#This Row],[Ano]])/COUNTIF(Tabela1[Mês],Tabela1[[#This Row],[Mês]])</f>
        <v>0.74879227053140096</v>
      </c>
      <c r="AK730" s="20">
        <f>100%</f>
        <v>1</v>
      </c>
    </row>
    <row r="731" spans="1:37" ht="18" customHeight="1" x14ac:dyDescent="0.25">
      <c r="A731">
        <v>1216119154</v>
      </c>
      <c r="B731" t="s">
        <v>339</v>
      </c>
      <c r="C731" t="s">
        <v>1430</v>
      </c>
      <c r="D731" t="s">
        <v>40</v>
      </c>
      <c r="E731" t="s">
        <v>31</v>
      </c>
      <c r="F731" s="2">
        <v>45917.794445127307</v>
      </c>
      <c r="AC731" s="24">
        <f t="shared" ca="1" si="23"/>
        <v>216.20555487269303</v>
      </c>
      <c r="AD731" s="25" t="str">
        <f t="shared" ca="1" si="24"/>
        <v>&gt;60 dias</v>
      </c>
      <c r="AE731" s="25">
        <f>MONTH(Tabela1[[#This Row],[Criado em]])</f>
        <v>9</v>
      </c>
      <c r="AF731" s="25">
        <f>YEAR(Tabela1[[#This Row],[Criado em]])</f>
        <v>2025</v>
      </c>
      <c r="AG731" s="25">
        <f>COUNTIFS(Tabela1[Mês],Tabela1[[#This Row],[Mês]])</f>
        <v>197</v>
      </c>
      <c r="AH731" s="25">
        <f>COUNTIFS(Tabela1[Mês],Tabela1[[#This Row],[Mês]],Tabela1[Fase atual],"Recebido")</f>
        <v>152</v>
      </c>
      <c r="AI731" s="26">
        <f>Tabela1[[#This Row],[Recebido_ Mes]]/Tabela1[[#This Row],[Total_Mes]]</f>
        <v>0.77157360406091369</v>
      </c>
      <c r="AJ731" s="19">
        <f>COUNTIFS(Tabela1[Fase atual],"Recebido",Tabela1[Mês],Tabela1[[#This Row],[Mês]],Tabela1[Ano],Tabela1[[#This Row],[Ano]])/COUNTIF(Tabela1[Mês],Tabela1[[#This Row],[Mês]])</f>
        <v>0.77157360406091369</v>
      </c>
      <c r="AK731" s="20">
        <f>100%</f>
        <v>1</v>
      </c>
    </row>
    <row r="732" spans="1:37" ht="18" customHeight="1" x14ac:dyDescent="0.25">
      <c r="A732">
        <v>1216120276</v>
      </c>
      <c r="B732" t="s">
        <v>339</v>
      </c>
      <c r="C732" t="s">
        <v>1431</v>
      </c>
      <c r="D732" t="s">
        <v>202</v>
      </c>
      <c r="E732" t="s">
        <v>31</v>
      </c>
      <c r="F732" s="2">
        <v>45917.795289282411</v>
      </c>
      <c r="AC732" s="24">
        <f t="shared" ca="1" si="23"/>
        <v>216.20471071758948</v>
      </c>
      <c r="AD732" s="25" t="str">
        <f t="shared" ca="1" si="24"/>
        <v>&gt;60 dias</v>
      </c>
      <c r="AE732" s="25">
        <f>MONTH(Tabela1[[#This Row],[Criado em]])</f>
        <v>9</v>
      </c>
      <c r="AF732" s="25">
        <f>YEAR(Tabela1[[#This Row],[Criado em]])</f>
        <v>2025</v>
      </c>
      <c r="AG732" s="25">
        <f>COUNTIFS(Tabela1[Mês],Tabela1[[#This Row],[Mês]])</f>
        <v>197</v>
      </c>
      <c r="AH732" s="25">
        <f>COUNTIFS(Tabela1[Mês],Tabela1[[#This Row],[Mês]],Tabela1[Fase atual],"Recebido")</f>
        <v>152</v>
      </c>
      <c r="AI732" s="26">
        <f>Tabela1[[#This Row],[Recebido_ Mes]]/Tabela1[[#This Row],[Total_Mes]]</f>
        <v>0.77157360406091369</v>
      </c>
      <c r="AJ732" s="19">
        <f>COUNTIFS(Tabela1[Fase atual],"Recebido",Tabela1[Mês],Tabela1[[#This Row],[Mês]],Tabela1[Ano],Tabela1[[#This Row],[Ano]])/COUNTIF(Tabela1[Mês],Tabela1[[#This Row],[Mês]])</f>
        <v>0.77157360406091369</v>
      </c>
      <c r="AK732" s="20">
        <f>100%</f>
        <v>1</v>
      </c>
    </row>
    <row r="733" spans="1:37" ht="18" customHeight="1" x14ac:dyDescent="0.25">
      <c r="A733">
        <v>1169857328</v>
      </c>
      <c r="B733" t="s">
        <v>339</v>
      </c>
      <c r="C733" t="s">
        <v>1432</v>
      </c>
      <c r="D733" t="s">
        <v>202</v>
      </c>
      <c r="E733" t="s">
        <v>31</v>
      </c>
      <c r="F733" s="2">
        <v>45839.851068171287</v>
      </c>
      <c r="AC733" s="24">
        <f t="shared" ca="1" si="23"/>
        <v>294.1489318287131</v>
      </c>
      <c r="AD733" s="25" t="str">
        <f t="shared" ca="1" si="24"/>
        <v>&gt;60 dias</v>
      </c>
      <c r="AE733" s="25">
        <f>MONTH(Tabela1[[#This Row],[Criado em]])</f>
        <v>7</v>
      </c>
      <c r="AF733" s="25">
        <f>YEAR(Tabela1[[#This Row],[Criado em]])</f>
        <v>2025</v>
      </c>
      <c r="AG733" s="25">
        <f>COUNTIFS(Tabela1[Mês],Tabela1[[#This Row],[Mês]])</f>
        <v>177</v>
      </c>
      <c r="AH733" s="25">
        <f>COUNTIFS(Tabela1[Mês],Tabela1[[#This Row],[Mês]],Tabela1[Fase atual],"Recebido")</f>
        <v>130</v>
      </c>
      <c r="AI733" s="26">
        <f>Tabela1[[#This Row],[Recebido_ Mes]]/Tabela1[[#This Row],[Total_Mes]]</f>
        <v>0.7344632768361582</v>
      </c>
      <c r="AJ733" s="19">
        <f>COUNTIFS(Tabela1[Fase atual],"Recebido",Tabela1[Mês],Tabela1[[#This Row],[Mês]],Tabela1[Ano],Tabela1[[#This Row],[Ano]])/COUNTIF(Tabela1[Mês],Tabela1[[#This Row],[Mês]])</f>
        <v>0.7344632768361582</v>
      </c>
      <c r="AK733" s="20">
        <f>100%</f>
        <v>1</v>
      </c>
    </row>
    <row r="734" spans="1:37" ht="18" customHeight="1" x14ac:dyDescent="0.25">
      <c r="A734">
        <v>1181276036</v>
      </c>
      <c r="B734" t="s">
        <v>1433</v>
      </c>
      <c r="C734" t="s">
        <v>1434</v>
      </c>
      <c r="D734" t="s">
        <v>40</v>
      </c>
      <c r="E734" t="s">
        <v>31</v>
      </c>
      <c r="F734" s="2">
        <v>45860.851586817123</v>
      </c>
      <c r="AC734" s="24">
        <f t="shared" ca="1" si="23"/>
        <v>273.14841318287654</v>
      </c>
      <c r="AD734" s="25" t="str">
        <f t="shared" ca="1" si="24"/>
        <v>&gt;60 dias</v>
      </c>
      <c r="AE734" s="25">
        <f>MONTH(Tabela1[[#This Row],[Criado em]])</f>
        <v>7</v>
      </c>
      <c r="AF734" s="25">
        <f>YEAR(Tabela1[[#This Row],[Criado em]])</f>
        <v>2025</v>
      </c>
      <c r="AG734" s="25">
        <f>COUNTIFS(Tabela1[Mês],Tabela1[[#This Row],[Mês]])</f>
        <v>177</v>
      </c>
      <c r="AH734" s="25">
        <f>COUNTIFS(Tabela1[Mês],Tabela1[[#This Row],[Mês]],Tabela1[Fase atual],"Recebido")</f>
        <v>130</v>
      </c>
      <c r="AI734" s="26">
        <f>Tabela1[[#This Row],[Recebido_ Mes]]/Tabela1[[#This Row],[Total_Mes]]</f>
        <v>0.7344632768361582</v>
      </c>
      <c r="AJ734" s="19">
        <f>COUNTIFS(Tabela1[Fase atual],"Recebido",Tabela1[Mês],Tabela1[[#This Row],[Mês]],Tabela1[Ano],Tabela1[[#This Row],[Ano]])/COUNTIF(Tabela1[Mês],Tabela1[[#This Row],[Mês]])</f>
        <v>0.7344632768361582</v>
      </c>
      <c r="AK734" s="20">
        <f>100%</f>
        <v>1</v>
      </c>
    </row>
    <row r="735" spans="1:37" ht="18" customHeight="1" x14ac:dyDescent="0.25">
      <c r="A735">
        <v>1186004475</v>
      </c>
      <c r="B735" t="s">
        <v>1433</v>
      </c>
      <c r="C735" t="s">
        <v>1435</v>
      </c>
      <c r="D735" t="s">
        <v>784</v>
      </c>
      <c r="E735" t="s">
        <v>31</v>
      </c>
      <c r="F735" s="2">
        <v>45868.850730023143</v>
      </c>
      <c r="AC735" s="24">
        <f t="shared" ca="1" si="23"/>
        <v>265.14926997685689</v>
      </c>
      <c r="AD735" s="25" t="str">
        <f t="shared" ca="1" si="24"/>
        <v>&gt;60 dias</v>
      </c>
      <c r="AE735" s="25">
        <f>MONTH(Tabela1[[#This Row],[Criado em]])</f>
        <v>7</v>
      </c>
      <c r="AF735" s="25">
        <f>YEAR(Tabela1[[#This Row],[Criado em]])</f>
        <v>2025</v>
      </c>
      <c r="AG735" s="25">
        <f>COUNTIFS(Tabela1[Mês],Tabela1[[#This Row],[Mês]])</f>
        <v>177</v>
      </c>
      <c r="AH735" s="25">
        <f>COUNTIFS(Tabela1[Mês],Tabela1[[#This Row],[Mês]],Tabela1[Fase atual],"Recebido")</f>
        <v>130</v>
      </c>
      <c r="AI735" s="26">
        <f>Tabela1[[#This Row],[Recebido_ Mes]]/Tabela1[[#This Row],[Total_Mes]]</f>
        <v>0.7344632768361582</v>
      </c>
      <c r="AJ735" s="19">
        <f>COUNTIFS(Tabela1[Fase atual],"Recebido",Tabela1[Mês],Tabela1[[#This Row],[Mês]],Tabela1[Ano],Tabela1[[#This Row],[Ano]])/COUNTIF(Tabela1[Mês],Tabela1[[#This Row],[Mês]])</f>
        <v>0.7344632768361582</v>
      </c>
      <c r="AK735" s="20">
        <f>100%</f>
        <v>1</v>
      </c>
    </row>
    <row r="736" spans="1:37" ht="18" customHeight="1" x14ac:dyDescent="0.25">
      <c r="A736">
        <v>1177542550</v>
      </c>
      <c r="B736" t="s">
        <v>1436</v>
      </c>
      <c r="C736" t="s">
        <v>1437</v>
      </c>
      <c r="D736" t="s">
        <v>40</v>
      </c>
      <c r="E736" t="s">
        <v>31</v>
      </c>
      <c r="F736" s="2">
        <v>45854.85090193287</v>
      </c>
      <c r="AC736" s="24">
        <f t="shared" ca="1" si="23"/>
        <v>279.14909806712967</v>
      </c>
      <c r="AD736" s="25" t="str">
        <f t="shared" ca="1" si="24"/>
        <v>&gt;60 dias</v>
      </c>
      <c r="AE736" s="25">
        <f>MONTH(Tabela1[[#This Row],[Criado em]])</f>
        <v>7</v>
      </c>
      <c r="AF736" s="25">
        <f>YEAR(Tabela1[[#This Row],[Criado em]])</f>
        <v>2025</v>
      </c>
      <c r="AG736" s="25">
        <f>COUNTIFS(Tabela1[Mês],Tabela1[[#This Row],[Mês]])</f>
        <v>177</v>
      </c>
      <c r="AH736" s="25">
        <f>COUNTIFS(Tabela1[Mês],Tabela1[[#This Row],[Mês]],Tabela1[Fase atual],"Recebido")</f>
        <v>130</v>
      </c>
      <c r="AI736" s="26">
        <f>Tabela1[[#This Row],[Recebido_ Mes]]/Tabela1[[#This Row],[Total_Mes]]</f>
        <v>0.7344632768361582</v>
      </c>
      <c r="AJ736" s="19">
        <f>COUNTIFS(Tabela1[Fase atual],"Recebido",Tabela1[Mês],Tabela1[[#This Row],[Mês]],Tabela1[Ano],Tabela1[[#This Row],[Ano]])/COUNTIF(Tabela1[Mês],Tabela1[[#This Row],[Mês]])</f>
        <v>0.7344632768361582</v>
      </c>
      <c r="AK736" s="20">
        <f>100%</f>
        <v>1</v>
      </c>
    </row>
    <row r="737" spans="1:37" ht="18" customHeight="1" x14ac:dyDescent="0.25">
      <c r="A737">
        <v>1274229140</v>
      </c>
      <c r="B737" t="s">
        <v>1438</v>
      </c>
      <c r="C737" t="s">
        <v>1439</v>
      </c>
      <c r="D737" t="s">
        <v>37</v>
      </c>
      <c r="E737" t="s">
        <v>31</v>
      </c>
      <c r="F737" s="2">
        <v>46020.54557765046</v>
      </c>
      <c r="AC737" s="24">
        <f t="shared" ca="1" si="23"/>
        <v>113.45442234953953</v>
      </c>
      <c r="AD737" s="25" t="str">
        <f t="shared" ca="1" si="24"/>
        <v>&gt;60 dias</v>
      </c>
      <c r="AE737" s="25">
        <f>MONTH(Tabela1[[#This Row],[Criado em]])</f>
        <v>12</v>
      </c>
      <c r="AF737" s="25">
        <f>YEAR(Tabela1[[#This Row],[Criado em]])</f>
        <v>2025</v>
      </c>
      <c r="AG737" s="25">
        <f>COUNTIFS(Tabela1[Mês],Tabela1[[#This Row],[Mês]])</f>
        <v>207</v>
      </c>
      <c r="AH737" s="25">
        <f>COUNTIFS(Tabela1[Mês],Tabela1[[#This Row],[Mês]],Tabela1[Fase atual],"Recebido")</f>
        <v>155</v>
      </c>
      <c r="AI737" s="26">
        <f>Tabela1[[#This Row],[Recebido_ Mes]]/Tabela1[[#This Row],[Total_Mes]]</f>
        <v>0.74879227053140096</v>
      </c>
      <c r="AJ737" s="19">
        <f>COUNTIFS(Tabela1[Fase atual],"Recebido",Tabela1[Mês],Tabela1[[#This Row],[Mês]],Tabela1[Ano],Tabela1[[#This Row],[Ano]])/COUNTIF(Tabela1[Mês],Tabela1[[#This Row],[Mês]])</f>
        <v>0.74879227053140096</v>
      </c>
      <c r="AK737" s="20">
        <f>100%</f>
        <v>1</v>
      </c>
    </row>
    <row r="738" spans="1:37" ht="18" customHeight="1" x14ac:dyDescent="0.25">
      <c r="A738">
        <v>1193297616</v>
      </c>
      <c r="B738" t="s">
        <v>1064</v>
      </c>
      <c r="C738" t="s">
        <v>1440</v>
      </c>
      <c r="D738" t="s">
        <v>37</v>
      </c>
      <c r="E738" t="s">
        <v>31</v>
      </c>
      <c r="F738" s="2">
        <v>45880.850670914348</v>
      </c>
      <c r="AC738" s="24">
        <f t="shared" ca="1" si="23"/>
        <v>253.14932908565243</v>
      </c>
      <c r="AD738" s="25" t="str">
        <f t="shared" ca="1" si="24"/>
        <v>&gt;60 dias</v>
      </c>
      <c r="AE738" s="25">
        <f>MONTH(Tabela1[[#This Row],[Criado em]])</f>
        <v>8</v>
      </c>
      <c r="AF738" s="25">
        <f>YEAR(Tabela1[[#This Row],[Criado em]])</f>
        <v>2025</v>
      </c>
      <c r="AG738" s="25">
        <f>COUNTIFS(Tabela1[Mês],Tabela1[[#This Row],[Mês]])</f>
        <v>146</v>
      </c>
      <c r="AH738" s="25">
        <f>COUNTIFS(Tabela1[Mês],Tabela1[[#This Row],[Mês]],Tabela1[Fase atual],"Recebido")</f>
        <v>115</v>
      </c>
      <c r="AI738" s="26">
        <f>Tabela1[[#This Row],[Recebido_ Mes]]/Tabela1[[#This Row],[Total_Mes]]</f>
        <v>0.78767123287671237</v>
      </c>
      <c r="AJ738" s="19">
        <f>COUNTIFS(Tabela1[Fase atual],"Recebido",Tabela1[Mês],Tabela1[[#This Row],[Mês]],Tabela1[Ano],Tabela1[[#This Row],[Ano]])/COUNTIF(Tabela1[Mês],Tabela1[[#This Row],[Mês]])</f>
        <v>0.78767123287671237</v>
      </c>
      <c r="AK738" s="20">
        <f>100%</f>
        <v>1</v>
      </c>
    </row>
    <row r="739" spans="1:37" ht="18" customHeight="1" x14ac:dyDescent="0.25">
      <c r="A739">
        <v>1193298067</v>
      </c>
      <c r="B739" t="s">
        <v>665</v>
      </c>
      <c r="C739" t="s">
        <v>1440</v>
      </c>
      <c r="D739" t="s">
        <v>37</v>
      </c>
      <c r="E739" t="s">
        <v>31</v>
      </c>
      <c r="F739" s="2">
        <v>45880.851403969908</v>
      </c>
      <c r="AC739" s="24">
        <f t="shared" ca="1" si="23"/>
        <v>253.14859603009245</v>
      </c>
      <c r="AD739" s="25" t="str">
        <f t="shared" ca="1" si="24"/>
        <v>&gt;60 dias</v>
      </c>
      <c r="AE739" s="25">
        <f>MONTH(Tabela1[[#This Row],[Criado em]])</f>
        <v>8</v>
      </c>
      <c r="AF739" s="25">
        <f>YEAR(Tabela1[[#This Row],[Criado em]])</f>
        <v>2025</v>
      </c>
      <c r="AG739" s="25">
        <f>COUNTIFS(Tabela1[Mês],Tabela1[[#This Row],[Mês]])</f>
        <v>146</v>
      </c>
      <c r="AH739" s="25">
        <f>COUNTIFS(Tabela1[Mês],Tabela1[[#This Row],[Mês]],Tabela1[Fase atual],"Recebido")</f>
        <v>115</v>
      </c>
      <c r="AI739" s="26">
        <f>Tabela1[[#This Row],[Recebido_ Mes]]/Tabela1[[#This Row],[Total_Mes]]</f>
        <v>0.78767123287671237</v>
      </c>
      <c r="AJ739" s="19">
        <f>COUNTIFS(Tabela1[Fase atual],"Recebido",Tabela1[Mês],Tabela1[[#This Row],[Mês]],Tabela1[Ano],Tabela1[[#This Row],[Ano]])/COUNTIF(Tabela1[Mês],Tabela1[[#This Row],[Mês]])</f>
        <v>0.78767123287671237</v>
      </c>
      <c r="AK739" s="20">
        <f>100%</f>
        <v>1</v>
      </c>
    </row>
    <row r="740" spans="1:37" ht="18" customHeight="1" x14ac:dyDescent="0.25">
      <c r="A740">
        <v>1222240885</v>
      </c>
      <c r="B740" t="s">
        <v>1064</v>
      </c>
      <c r="C740" t="s">
        <v>1441</v>
      </c>
      <c r="D740" t="s">
        <v>784</v>
      </c>
      <c r="E740" t="s">
        <v>31</v>
      </c>
      <c r="F740" s="2">
        <v>45926.851892847219</v>
      </c>
      <c r="AC740" s="24">
        <f t="shared" ca="1" si="23"/>
        <v>207.14810715278145</v>
      </c>
      <c r="AD740" s="25" t="str">
        <f t="shared" ca="1" si="24"/>
        <v>&gt;60 dias</v>
      </c>
      <c r="AE740" s="25">
        <f>MONTH(Tabela1[[#This Row],[Criado em]])</f>
        <v>9</v>
      </c>
      <c r="AF740" s="25">
        <f>YEAR(Tabela1[[#This Row],[Criado em]])</f>
        <v>2025</v>
      </c>
      <c r="AG740" s="25">
        <f>COUNTIFS(Tabela1[Mês],Tabela1[[#This Row],[Mês]])</f>
        <v>197</v>
      </c>
      <c r="AH740" s="25">
        <f>COUNTIFS(Tabela1[Mês],Tabela1[[#This Row],[Mês]],Tabela1[Fase atual],"Recebido")</f>
        <v>152</v>
      </c>
      <c r="AI740" s="26">
        <f>Tabela1[[#This Row],[Recebido_ Mes]]/Tabela1[[#This Row],[Total_Mes]]</f>
        <v>0.77157360406091369</v>
      </c>
      <c r="AJ740" s="19">
        <f>COUNTIFS(Tabela1[Fase atual],"Recebido",Tabela1[Mês],Tabela1[[#This Row],[Mês]],Tabela1[Ano],Tabela1[[#This Row],[Ano]])/COUNTIF(Tabela1[Mês],Tabela1[[#This Row],[Mês]])</f>
        <v>0.77157360406091369</v>
      </c>
      <c r="AK740" s="20">
        <f>100%</f>
        <v>1</v>
      </c>
    </row>
    <row r="741" spans="1:37" ht="18" customHeight="1" x14ac:dyDescent="0.25">
      <c r="A741">
        <v>1278273944</v>
      </c>
      <c r="B741" t="s">
        <v>272</v>
      </c>
      <c r="C741" t="s">
        <v>332</v>
      </c>
      <c r="D741" t="s">
        <v>37</v>
      </c>
      <c r="E741" t="s">
        <v>31</v>
      </c>
      <c r="F741" s="2">
        <v>46029.704286793982</v>
      </c>
      <c r="AC741" s="24">
        <f t="shared" ca="1" si="23"/>
        <v>104.29571320601826</v>
      </c>
      <c r="AD741" s="25" t="str">
        <f t="shared" ca="1" si="24"/>
        <v>&gt;60 dias</v>
      </c>
      <c r="AE741" s="25">
        <f>MONTH(Tabela1[[#This Row],[Criado em]])</f>
        <v>1</v>
      </c>
      <c r="AF741" s="25">
        <f>YEAR(Tabela1[[#This Row],[Criado em]])</f>
        <v>2026</v>
      </c>
      <c r="AG741" s="25">
        <f>COUNTIFS(Tabela1[Mês],Tabela1[[#This Row],[Mês]])</f>
        <v>222</v>
      </c>
      <c r="AH741" s="25">
        <f>COUNTIFS(Tabela1[Mês],Tabela1[[#This Row],[Mês]],Tabela1[Fase atual],"Recebido")</f>
        <v>174</v>
      </c>
      <c r="AI741" s="26">
        <f>Tabela1[[#This Row],[Recebido_ Mes]]/Tabela1[[#This Row],[Total_Mes]]</f>
        <v>0.78378378378378377</v>
      </c>
      <c r="AJ741" s="19">
        <f>COUNTIFS(Tabela1[Fase atual],"Recebido",Tabela1[Mês],Tabela1[[#This Row],[Mês]],Tabela1[Ano],Tabela1[[#This Row],[Ano]])/COUNTIF(Tabela1[Mês],Tabela1[[#This Row],[Mês]])</f>
        <v>0.78378378378378377</v>
      </c>
      <c r="AK741" s="20">
        <f>100%</f>
        <v>1</v>
      </c>
    </row>
    <row r="742" spans="1:37" ht="18" customHeight="1" x14ac:dyDescent="0.25">
      <c r="A742">
        <v>1292646302</v>
      </c>
      <c r="B742" t="s">
        <v>272</v>
      </c>
      <c r="C742" t="s">
        <v>333</v>
      </c>
      <c r="D742" t="s">
        <v>37</v>
      </c>
      <c r="E742" t="s">
        <v>31</v>
      </c>
      <c r="F742" s="2">
        <v>46056.796204212973</v>
      </c>
      <c r="AC742" s="24">
        <f t="shared" ca="1" si="23"/>
        <v>77.203795787027047</v>
      </c>
      <c r="AD742" s="25" t="str">
        <f t="shared" ca="1" si="24"/>
        <v>&gt;60 dias</v>
      </c>
      <c r="AE742" s="25">
        <f>MONTH(Tabela1[[#This Row],[Criado em]])</f>
        <v>2</v>
      </c>
      <c r="AF742" s="25">
        <f>YEAR(Tabela1[[#This Row],[Criado em]])</f>
        <v>2026</v>
      </c>
      <c r="AG742" s="25">
        <f>COUNTIFS(Tabela1[Mês],Tabela1[[#This Row],[Mês]])</f>
        <v>197</v>
      </c>
      <c r="AH742" s="25">
        <f>COUNTIFS(Tabela1[Mês],Tabela1[[#This Row],[Mês]],Tabela1[Fase atual],"Recebido")</f>
        <v>124</v>
      </c>
      <c r="AI742" s="26">
        <f>Tabela1[[#This Row],[Recebido_ Mes]]/Tabela1[[#This Row],[Total_Mes]]</f>
        <v>0.62944162436548223</v>
      </c>
      <c r="AJ742" s="19">
        <f>COUNTIFS(Tabela1[Fase atual],"Recebido",Tabela1[Mês],Tabela1[[#This Row],[Mês]],Tabela1[Ano],Tabela1[[#This Row],[Ano]])/COUNTIF(Tabela1[Mês],Tabela1[[#This Row],[Mês]])</f>
        <v>0.62944162436548223</v>
      </c>
      <c r="AK742" s="20">
        <f>100%</f>
        <v>1</v>
      </c>
    </row>
    <row r="743" spans="1:37" ht="18" customHeight="1" x14ac:dyDescent="0.25">
      <c r="A743">
        <v>1247040236</v>
      </c>
      <c r="B743" t="s">
        <v>1442</v>
      </c>
      <c r="C743" t="s">
        <v>1443</v>
      </c>
      <c r="D743" t="s">
        <v>37</v>
      </c>
      <c r="E743" t="s">
        <v>31</v>
      </c>
      <c r="F743" s="2">
        <v>45959.794271504623</v>
      </c>
      <c r="AC743" s="24">
        <f t="shared" ca="1" si="23"/>
        <v>174.20572849537712</v>
      </c>
      <c r="AD743" s="25" t="str">
        <f t="shared" ca="1" si="24"/>
        <v>&gt;60 dias</v>
      </c>
      <c r="AE743" s="25">
        <f>MONTH(Tabela1[[#This Row],[Criado em]])</f>
        <v>10</v>
      </c>
      <c r="AF743" s="25">
        <f>YEAR(Tabela1[[#This Row],[Criado em]])</f>
        <v>2025</v>
      </c>
      <c r="AG743" s="25">
        <f>COUNTIFS(Tabela1[Mês],Tabela1[[#This Row],[Mês]])</f>
        <v>196</v>
      </c>
      <c r="AH743" s="25">
        <f>COUNTIFS(Tabela1[Mês],Tabela1[[#This Row],[Mês]],Tabela1[Fase atual],"Recebido")</f>
        <v>138</v>
      </c>
      <c r="AI743" s="26">
        <f>Tabela1[[#This Row],[Recebido_ Mes]]/Tabela1[[#This Row],[Total_Mes]]</f>
        <v>0.70408163265306123</v>
      </c>
      <c r="AJ743" s="19">
        <f>COUNTIFS(Tabela1[Fase atual],"Recebido",Tabela1[Mês],Tabela1[[#This Row],[Mês]],Tabela1[Ano],Tabela1[[#This Row],[Ano]])/COUNTIF(Tabela1[Mês],Tabela1[[#This Row],[Mês]])</f>
        <v>0.70408163265306123</v>
      </c>
      <c r="AK743" s="20">
        <f>100%</f>
        <v>1</v>
      </c>
    </row>
    <row r="744" spans="1:37" ht="18" customHeight="1" x14ac:dyDescent="0.25">
      <c r="A744">
        <v>1277138920</v>
      </c>
      <c r="C744" t="s">
        <v>334</v>
      </c>
      <c r="D744" t="s">
        <v>37</v>
      </c>
      <c r="E744" t="s">
        <v>31</v>
      </c>
      <c r="F744" s="2">
        <v>46028.433907118058</v>
      </c>
      <c r="AC744" s="24">
        <f t="shared" ca="1" si="23"/>
        <v>105.56609288194159</v>
      </c>
      <c r="AD744" s="25" t="str">
        <f t="shared" ca="1" si="24"/>
        <v>&gt;60 dias</v>
      </c>
      <c r="AE744" s="25">
        <f>MONTH(Tabela1[[#This Row],[Criado em]])</f>
        <v>1</v>
      </c>
      <c r="AF744" s="25">
        <f>YEAR(Tabela1[[#This Row],[Criado em]])</f>
        <v>2026</v>
      </c>
      <c r="AG744" s="25">
        <f>COUNTIFS(Tabela1[Mês],Tabela1[[#This Row],[Mês]])</f>
        <v>222</v>
      </c>
      <c r="AH744" s="25">
        <f>COUNTIFS(Tabela1[Mês],Tabela1[[#This Row],[Mês]],Tabela1[Fase atual],"Recebido")</f>
        <v>174</v>
      </c>
      <c r="AI744" s="26">
        <f>Tabela1[[#This Row],[Recebido_ Mes]]/Tabela1[[#This Row],[Total_Mes]]</f>
        <v>0.78378378378378377</v>
      </c>
      <c r="AJ744" s="19">
        <f>COUNTIFS(Tabela1[Fase atual],"Recebido",Tabela1[Mês],Tabela1[[#This Row],[Mês]],Tabela1[Ano],Tabela1[[#This Row],[Ano]])/COUNTIF(Tabela1[Mês],Tabela1[[#This Row],[Mês]])</f>
        <v>0.78378378378378377</v>
      </c>
      <c r="AK744" s="20">
        <f>100%</f>
        <v>1</v>
      </c>
    </row>
    <row r="745" spans="1:37" ht="18" customHeight="1" x14ac:dyDescent="0.25">
      <c r="A745">
        <v>1232077317</v>
      </c>
      <c r="B745" t="s">
        <v>1444</v>
      </c>
      <c r="C745" t="s">
        <v>1445</v>
      </c>
      <c r="D745" t="s">
        <v>37</v>
      </c>
      <c r="E745" t="s">
        <v>31</v>
      </c>
      <c r="F745" s="2">
        <v>45940.643654837957</v>
      </c>
      <c r="AC745" s="24">
        <f t="shared" ca="1" si="23"/>
        <v>193.356345162043</v>
      </c>
      <c r="AD745" s="25" t="str">
        <f t="shared" ca="1" si="24"/>
        <v>&gt;60 dias</v>
      </c>
      <c r="AE745" s="25">
        <f>MONTH(Tabela1[[#This Row],[Criado em]])</f>
        <v>10</v>
      </c>
      <c r="AF745" s="25">
        <f>YEAR(Tabela1[[#This Row],[Criado em]])</f>
        <v>2025</v>
      </c>
      <c r="AG745" s="25">
        <f>COUNTIFS(Tabela1[Mês],Tabela1[[#This Row],[Mês]])</f>
        <v>196</v>
      </c>
      <c r="AH745" s="25">
        <f>COUNTIFS(Tabela1[Mês],Tabela1[[#This Row],[Mês]],Tabela1[Fase atual],"Recebido")</f>
        <v>138</v>
      </c>
      <c r="AI745" s="26">
        <f>Tabela1[[#This Row],[Recebido_ Mes]]/Tabela1[[#This Row],[Total_Mes]]</f>
        <v>0.70408163265306123</v>
      </c>
      <c r="AJ745" s="19">
        <f>COUNTIFS(Tabela1[Fase atual],"Recebido",Tabela1[Mês],Tabela1[[#This Row],[Mês]],Tabela1[Ano],Tabela1[[#This Row],[Ano]])/COUNTIF(Tabela1[Mês],Tabela1[[#This Row],[Mês]])</f>
        <v>0.70408163265306123</v>
      </c>
      <c r="AK745" s="20">
        <f>100%</f>
        <v>1</v>
      </c>
    </row>
    <row r="746" spans="1:37" ht="18" customHeight="1" x14ac:dyDescent="0.25">
      <c r="A746">
        <v>1240864621</v>
      </c>
      <c r="B746" t="s">
        <v>1444</v>
      </c>
      <c r="C746" t="s">
        <v>1446</v>
      </c>
      <c r="D746" t="s">
        <v>784</v>
      </c>
      <c r="E746" t="s">
        <v>31</v>
      </c>
      <c r="F746" s="2">
        <v>45951.920260636572</v>
      </c>
      <c r="AC746" s="24">
        <f t="shared" ca="1" si="23"/>
        <v>182.07973936342751</v>
      </c>
      <c r="AD746" s="25" t="str">
        <f t="shared" ca="1" si="24"/>
        <v>&gt;60 dias</v>
      </c>
      <c r="AE746" s="25">
        <f>MONTH(Tabela1[[#This Row],[Criado em]])</f>
        <v>10</v>
      </c>
      <c r="AF746" s="25">
        <f>YEAR(Tabela1[[#This Row],[Criado em]])</f>
        <v>2025</v>
      </c>
      <c r="AG746" s="25">
        <f>COUNTIFS(Tabela1[Mês],Tabela1[[#This Row],[Mês]])</f>
        <v>196</v>
      </c>
      <c r="AH746" s="25">
        <f>COUNTIFS(Tabela1[Mês],Tabela1[[#This Row],[Mês]],Tabela1[Fase atual],"Recebido")</f>
        <v>138</v>
      </c>
      <c r="AI746" s="26">
        <f>Tabela1[[#This Row],[Recebido_ Mes]]/Tabela1[[#This Row],[Total_Mes]]</f>
        <v>0.70408163265306123</v>
      </c>
      <c r="AJ746" s="19">
        <f>COUNTIFS(Tabela1[Fase atual],"Recebido",Tabela1[Mês],Tabela1[[#This Row],[Mês]],Tabela1[Ano],Tabela1[[#This Row],[Ano]])/COUNTIF(Tabela1[Mês],Tabela1[[#This Row],[Mês]])</f>
        <v>0.70408163265306123</v>
      </c>
      <c r="AK746" s="20">
        <f>100%</f>
        <v>1</v>
      </c>
    </row>
    <row r="747" spans="1:37" ht="18" customHeight="1" x14ac:dyDescent="0.25">
      <c r="A747">
        <v>1191610747</v>
      </c>
      <c r="B747" t="s">
        <v>1447</v>
      </c>
      <c r="C747" t="s">
        <v>1448</v>
      </c>
      <c r="D747" t="s">
        <v>37</v>
      </c>
      <c r="E747" t="s">
        <v>31</v>
      </c>
      <c r="F747" s="2">
        <v>45877.851236064816</v>
      </c>
      <c r="AC747" s="24">
        <f t="shared" ca="1" si="23"/>
        <v>256.14876393518352</v>
      </c>
      <c r="AD747" s="25" t="str">
        <f t="shared" ca="1" si="24"/>
        <v>&gt;60 dias</v>
      </c>
      <c r="AE747" s="25">
        <f>MONTH(Tabela1[[#This Row],[Criado em]])</f>
        <v>8</v>
      </c>
      <c r="AF747" s="25">
        <f>YEAR(Tabela1[[#This Row],[Criado em]])</f>
        <v>2025</v>
      </c>
      <c r="AG747" s="25">
        <f>COUNTIFS(Tabela1[Mês],Tabela1[[#This Row],[Mês]])</f>
        <v>146</v>
      </c>
      <c r="AH747" s="25">
        <f>COUNTIFS(Tabela1[Mês],Tabela1[[#This Row],[Mês]],Tabela1[Fase atual],"Recebido")</f>
        <v>115</v>
      </c>
      <c r="AI747" s="26">
        <f>Tabela1[[#This Row],[Recebido_ Mes]]/Tabela1[[#This Row],[Total_Mes]]</f>
        <v>0.78767123287671237</v>
      </c>
      <c r="AJ747" s="19">
        <f>COUNTIFS(Tabela1[Fase atual],"Recebido",Tabela1[Mês],Tabela1[[#This Row],[Mês]],Tabela1[Ano],Tabela1[[#This Row],[Ano]])/COUNTIF(Tabela1[Mês],Tabela1[[#This Row],[Mês]])</f>
        <v>0.78767123287671237</v>
      </c>
      <c r="AK747" s="20">
        <f>100%</f>
        <v>1</v>
      </c>
    </row>
    <row r="748" spans="1:37" ht="18" customHeight="1" x14ac:dyDescent="0.25">
      <c r="A748">
        <v>1189846101</v>
      </c>
      <c r="B748" t="s">
        <v>1447</v>
      </c>
      <c r="C748" t="s">
        <v>1449</v>
      </c>
      <c r="D748" t="s">
        <v>37</v>
      </c>
      <c r="E748" t="s">
        <v>31</v>
      </c>
      <c r="F748" s="2">
        <v>45875.851483530088</v>
      </c>
      <c r="AC748" s="24">
        <f t="shared" ca="1" si="23"/>
        <v>258.14851646991156</v>
      </c>
      <c r="AD748" s="25" t="str">
        <f t="shared" ca="1" si="24"/>
        <v>&gt;60 dias</v>
      </c>
      <c r="AE748" s="25">
        <f>MONTH(Tabela1[[#This Row],[Criado em]])</f>
        <v>8</v>
      </c>
      <c r="AF748" s="25">
        <f>YEAR(Tabela1[[#This Row],[Criado em]])</f>
        <v>2025</v>
      </c>
      <c r="AG748" s="25">
        <f>COUNTIFS(Tabela1[Mês],Tabela1[[#This Row],[Mês]])</f>
        <v>146</v>
      </c>
      <c r="AH748" s="25">
        <f>COUNTIFS(Tabela1[Mês],Tabela1[[#This Row],[Mês]],Tabela1[Fase atual],"Recebido")</f>
        <v>115</v>
      </c>
      <c r="AI748" s="26">
        <f>Tabela1[[#This Row],[Recebido_ Mes]]/Tabela1[[#This Row],[Total_Mes]]</f>
        <v>0.78767123287671237</v>
      </c>
      <c r="AJ748" s="19">
        <f>COUNTIFS(Tabela1[Fase atual],"Recebido",Tabela1[Mês],Tabela1[[#This Row],[Mês]],Tabela1[Ano],Tabela1[[#This Row],[Ano]])/COUNTIF(Tabela1[Mês],Tabela1[[#This Row],[Mês]])</f>
        <v>0.78767123287671237</v>
      </c>
      <c r="AK748" s="20">
        <f>100%</f>
        <v>1</v>
      </c>
    </row>
    <row r="749" spans="1:37" ht="18" customHeight="1" x14ac:dyDescent="0.25">
      <c r="A749">
        <v>1269990564</v>
      </c>
      <c r="B749" t="s">
        <v>1450</v>
      </c>
      <c r="C749" t="s">
        <v>1451</v>
      </c>
      <c r="D749" t="s">
        <v>40</v>
      </c>
      <c r="E749" t="s">
        <v>31</v>
      </c>
      <c r="F749" s="2">
        <v>46009.629531851853</v>
      </c>
      <c r="AC749" s="24">
        <f t="shared" ca="1" si="23"/>
        <v>124.37046814814676</v>
      </c>
      <c r="AD749" s="25" t="str">
        <f t="shared" ca="1" si="24"/>
        <v>&gt;60 dias</v>
      </c>
      <c r="AE749" s="25">
        <f>MONTH(Tabela1[[#This Row],[Criado em]])</f>
        <v>12</v>
      </c>
      <c r="AF749" s="25">
        <f>YEAR(Tabela1[[#This Row],[Criado em]])</f>
        <v>2025</v>
      </c>
      <c r="AG749" s="25">
        <f>COUNTIFS(Tabela1[Mês],Tabela1[[#This Row],[Mês]])</f>
        <v>207</v>
      </c>
      <c r="AH749" s="25">
        <f>COUNTIFS(Tabela1[Mês],Tabela1[[#This Row],[Mês]],Tabela1[Fase atual],"Recebido")</f>
        <v>155</v>
      </c>
      <c r="AI749" s="26">
        <f>Tabela1[[#This Row],[Recebido_ Mes]]/Tabela1[[#This Row],[Total_Mes]]</f>
        <v>0.74879227053140096</v>
      </c>
      <c r="AJ749" s="19">
        <f>COUNTIFS(Tabela1[Fase atual],"Recebido",Tabela1[Mês],Tabela1[[#This Row],[Mês]],Tabela1[Ano],Tabela1[[#This Row],[Ano]])/COUNTIF(Tabela1[Mês],Tabela1[[#This Row],[Mês]])</f>
        <v>0.74879227053140096</v>
      </c>
      <c r="AK749" s="20">
        <f>100%</f>
        <v>1</v>
      </c>
    </row>
    <row r="750" spans="1:37" ht="18" customHeight="1" x14ac:dyDescent="0.25">
      <c r="A750">
        <v>1180443363</v>
      </c>
      <c r="B750" t="s">
        <v>661</v>
      </c>
      <c r="C750" t="s">
        <v>1452</v>
      </c>
      <c r="D750" t="s">
        <v>40</v>
      </c>
      <c r="E750" t="s">
        <v>31</v>
      </c>
      <c r="F750" s="2">
        <v>45859.851983287037</v>
      </c>
      <c r="AC750" s="24">
        <f t="shared" ca="1" si="23"/>
        <v>274.148016712963</v>
      </c>
      <c r="AD750" s="25" t="str">
        <f t="shared" ca="1" si="24"/>
        <v>&gt;60 dias</v>
      </c>
      <c r="AE750" s="25">
        <f>MONTH(Tabela1[[#This Row],[Criado em]])</f>
        <v>7</v>
      </c>
      <c r="AF750" s="25">
        <f>YEAR(Tabela1[[#This Row],[Criado em]])</f>
        <v>2025</v>
      </c>
      <c r="AG750" s="25">
        <f>COUNTIFS(Tabela1[Mês],Tabela1[[#This Row],[Mês]])</f>
        <v>177</v>
      </c>
      <c r="AH750" s="25">
        <f>COUNTIFS(Tabela1[Mês],Tabela1[[#This Row],[Mês]],Tabela1[Fase atual],"Recebido")</f>
        <v>130</v>
      </c>
      <c r="AI750" s="26">
        <f>Tabela1[[#This Row],[Recebido_ Mes]]/Tabela1[[#This Row],[Total_Mes]]</f>
        <v>0.7344632768361582</v>
      </c>
      <c r="AJ750" s="19">
        <f>COUNTIFS(Tabela1[Fase atual],"Recebido",Tabela1[Mês],Tabela1[[#This Row],[Mês]],Tabela1[Ano],Tabela1[[#This Row],[Ano]])/COUNTIF(Tabela1[Mês],Tabela1[[#This Row],[Mês]])</f>
        <v>0.7344632768361582</v>
      </c>
      <c r="AK750" s="20">
        <f>100%</f>
        <v>1</v>
      </c>
    </row>
    <row r="751" spans="1:37" ht="18" customHeight="1" x14ac:dyDescent="0.25">
      <c r="A751">
        <v>1254122340</v>
      </c>
      <c r="B751" t="s">
        <v>1453</v>
      </c>
      <c r="C751" t="s">
        <v>1454</v>
      </c>
      <c r="D751" t="s">
        <v>37</v>
      </c>
      <c r="E751" t="s">
        <v>31</v>
      </c>
      <c r="F751" s="2">
        <v>45973.920451678227</v>
      </c>
      <c r="AC751" s="24">
        <f t="shared" ca="1" si="23"/>
        <v>160.07954832177347</v>
      </c>
      <c r="AD751" s="25" t="str">
        <f t="shared" ca="1" si="24"/>
        <v>&gt;60 dias</v>
      </c>
      <c r="AE751" s="25">
        <f>MONTH(Tabela1[[#This Row],[Criado em]])</f>
        <v>11</v>
      </c>
      <c r="AF751" s="25">
        <f>YEAR(Tabela1[[#This Row],[Criado em]])</f>
        <v>2025</v>
      </c>
      <c r="AG751" s="25">
        <f>COUNTIFS(Tabela1[Mês],Tabela1[[#This Row],[Mês]])</f>
        <v>130</v>
      </c>
      <c r="AH751" s="25">
        <f>COUNTIFS(Tabela1[Mês],Tabela1[[#This Row],[Mês]],Tabela1[Fase atual],"Recebido")</f>
        <v>100</v>
      </c>
      <c r="AI751" s="26">
        <f>Tabela1[[#This Row],[Recebido_ Mes]]/Tabela1[[#This Row],[Total_Mes]]</f>
        <v>0.76923076923076927</v>
      </c>
      <c r="AJ751" s="19">
        <f>COUNTIFS(Tabela1[Fase atual],"Recebido",Tabela1[Mês],Tabela1[[#This Row],[Mês]],Tabela1[Ano],Tabela1[[#This Row],[Ano]])/COUNTIF(Tabela1[Mês],Tabela1[[#This Row],[Mês]])</f>
        <v>0.76923076923076927</v>
      </c>
      <c r="AK751" s="20">
        <f>100%</f>
        <v>1</v>
      </c>
    </row>
    <row r="752" spans="1:37" ht="18" customHeight="1" x14ac:dyDescent="0.25">
      <c r="A752">
        <v>1293443184</v>
      </c>
      <c r="B752" t="s">
        <v>335</v>
      </c>
      <c r="C752" t="s">
        <v>336</v>
      </c>
      <c r="D752" t="s">
        <v>37</v>
      </c>
      <c r="E752" t="s">
        <v>31</v>
      </c>
      <c r="F752" s="2">
        <v>46057.919406655099</v>
      </c>
      <c r="AC752" s="24">
        <f t="shared" ca="1" si="23"/>
        <v>76.08059334490099</v>
      </c>
      <c r="AD752" s="25" t="str">
        <f t="shared" ca="1" si="24"/>
        <v>&gt;60 dias</v>
      </c>
      <c r="AE752" s="25">
        <f>MONTH(Tabela1[[#This Row],[Criado em]])</f>
        <v>2</v>
      </c>
      <c r="AF752" s="25">
        <f>YEAR(Tabela1[[#This Row],[Criado em]])</f>
        <v>2026</v>
      </c>
      <c r="AG752" s="25">
        <f>COUNTIFS(Tabela1[Mês],Tabela1[[#This Row],[Mês]])</f>
        <v>197</v>
      </c>
      <c r="AH752" s="25">
        <f>COUNTIFS(Tabela1[Mês],Tabela1[[#This Row],[Mês]],Tabela1[Fase atual],"Recebido")</f>
        <v>124</v>
      </c>
      <c r="AI752" s="26">
        <f>Tabela1[[#This Row],[Recebido_ Mes]]/Tabela1[[#This Row],[Total_Mes]]</f>
        <v>0.62944162436548223</v>
      </c>
      <c r="AJ752" s="19">
        <f>COUNTIFS(Tabela1[Fase atual],"Recebido",Tabela1[Mês],Tabela1[[#This Row],[Mês]],Tabela1[Ano],Tabela1[[#This Row],[Ano]])/COUNTIF(Tabela1[Mês],Tabela1[[#This Row],[Mês]])</f>
        <v>0.62944162436548223</v>
      </c>
      <c r="AK752" s="20">
        <f>100%</f>
        <v>1</v>
      </c>
    </row>
    <row r="753" spans="1:37" ht="18" customHeight="1" x14ac:dyDescent="0.25">
      <c r="A753">
        <v>1303931893</v>
      </c>
      <c r="B753" t="s">
        <v>337</v>
      </c>
      <c r="C753" t="s">
        <v>338</v>
      </c>
      <c r="D753" t="s">
        <v>37</v>
      </c>
      <c r="E753" t="s">
        <v>31</v>
      </c>
      <c r="F753" s="2">
        <v>46078.632610231478</v>
      </c>
      <c r="AC753" s="24">
        <f t="shared" ca="1" si="23"/>
        <v>55.367389768522116</v>
      </c>
      <c r="AD753" s="25" t="str">
        <f t="shared" ca="1" si="24"/>
        <v>31-60 dias</v>
      </c>
      <c r="AE753" s="25">
        <f>MONTH(Tabela1[[#This Row],[Criado em]])</f>
        <v>2</v>
      </c>
      <c r="AF753" s="25">
        <f>YEAR(Tabela1[[#This Row],[Criado em]])</f>
        <v>2026</v>
      </c>
      <c r="AG753" s="25">
        <f>COUNTIFS(Tabela1[Mês],Tabela1[[#This Row],[Mês]])</f>
        <v>197</v>
      </c>
      <c r="AH753" s="25">
        <f>COUNTIFS(Tabela1[Mês],Tabela1[[#This Row],[Mês]],Tabela1[Fase atual],"Recebido")</f>
        <v>124</v>
      </c>
      <c r="AI753" s="26">
        <f>Tabela1[[#This Row],[Recebido_ Mes]]/Tabela1[[#This Row],[Total_Mes]]</f>
        <v>0.62944162436548223</v>
      </c>
      <c r="AJ753" s="19">
        <f>COUNTIFS(Tabela1[Fase atual],"Recebido",Tabela1[Mês],Tabela1[[#This Row],[Mês]],Tabela1[Ano],Tabela1[[#This Row],[Ano]])/COUNTIF(Tabela1[Mês],Tabela1[[#This Row],[Mês]])</f>
        <v>0.62944162436548223</v>
      </c>
      <c r="AK753" s="20">
        <f>100%</f>
        <v>1</v>
      </c>
    </row>
    <row r="754" spans="1:37" ht="18" customHeight="1" x14ac:dyDescent="0.25">
      <c r="A754">
        <v>1180443775</v>
      </c>
      <c r="B754" t="s">
        <v>1455</v>
      </c>
      <c r="C754" t="s">
        <v>1456</v>
      </c>
      <c r="D754" t="s">
        <v>37</v>
      </c>
      <c r="E754" t="s">
        <v>31</v>
      </c>
      <c r="F754" s="2">
        <v>45859.852375243063</v>
      </c>
      <c r="AC754" s="24">
        <f t="shared" ca="1" si="23"/>
        <v>274.14762475693715</v>
      </c>
      <c r="AD754" s="25" t="str">
        <f t="shared" ca="1" si="24"/>
        <v>&gt;60 dias</v>
      </c>
      <c r="AE754" s="25">
        <f>MONTH(Tabela1[[#This Row],[Criado em]])</f>
        <v>7</v>
      </c>
      <c r="AF754" s="25">
        <f>YEAR(Tabela1[[#This Row],[Criado em]])</f>
        <v>2025</v>
      </c>
      <c r="AG754" s="25">
        <f>COUNTIFS(Tabela1[Mês],Tabela1[[#This Row],[Mês]])</f>
        <v>177</v>
      </c>
      <c r="AH754" s="25">
        <f>COUNTIFS(Tabela1[Mês],Tabela1[[#This Row],[Mês]],Tabela1[Fase atual],"Recebido")</f>
        <v>130</v>
      </c>
      <c r="AI754" s="26">
        <f>Tabela1[[#This Row],[Recebido_ Mes]]/Tabela1[[#This Row],[Total_Mes]]</f>
        <v>0.7344632768361582</v>
      </c>
      <c r="AJ754" s="19">
        <f>COUNTIFS(Tabela1[Fase atual],"Recebido",Tabela1[Mês],Tabela1[[#This Row],[Mês]],Tabela1[Ano],Tabela1[[#This Row],[Ano]])/COUNTIF(Tabela1[Mês],Tabela1[[#This Row],[Mês]])</f>
        <v>0.7344632768361582</v>
      </c>
      <c r="AK754" s="20">
        <f>100%</f>
        <v>1</v>
      </c>
    </row>
    <row r="755" spans="1:37" ht="18" customHeight="1" x14ac:dyDescent="0.25">
      <c r="A755">
        <v>1254850465</v>
      </c>
      <c r="B755" t="s">
        <v>339</v>
      </c>
      <c r="C755" t="s">
        <v>1457</v>
      </c>
      <c r="D755" t="s">
        <v>40</v>
      </c>
      <c r="E755" t="s">
        <v>31</v>
      </c>
      <c r="F755" s="2">
        <v>45975.545246041671</v>
      </c>
      <c r="AC755" s="24">
        <f t="shared" ca="1" si="23"/>
        <v>158.45475395832909</v>
      </c>
      <c r="AD755" s="25" t="str">
        <f t="shared" ca="1" si="24"/>
        <v>&gt;60 dias</v>
      </c>
      <c r="AE755" s="25">
        <f>MONTH(Tabela1[[#This Row],[Criado em]])</f>
        <v>11</v>
      </c>
      <c r="AF755" s="25">
        <f>YEAR(Tabela1[[#This Row],[Criado em]])</f>
        <v>2025</v>
      </c>
      <c r="AG755" s="25">
        <f>COUNTIFS(Tabela1[Mês],Tabela1[[#This Row],[Mês]])</f>
        <v>130</v>
      </c>
      <c r="AH755" s="25">
        <f>COUNTIFS(Tabela1[Mês],Tabela1[[#This Row],[Mês]],Tabela1[Fase atual],"Recebido")</f>
        <v>100</v>
      </c>
      <c r="AI755" s="26">
        <f>Tabela1[[#This Row],[Recebido_ Mes]]/Tabela1[[#This Row],[Total_Mes]]</f>
        <v>0.76923076923076927</v>
      </c>
      <c r="AJ755" s="19">
        <f>COUNTIFS(Tabela1[Fase atual],"Recebido",Tabela1[Mês],Tabela1[[#This Row],[Mês]],Tabela1[Ano],Tabela1[[#This Row],[Ano]])/COUNTIF(Tabela1[Mês],Tabela1[[#This Row],[Mês]])</f>
        <v>0.76923076923076927</v>
      </c>
      <c r="AK755" s="20">
        <f>100%</f>
        <v>1</v>
      </c>
    </row>
    <row r="756" spans="1:37" ht="18" customHeight="1" x14ac:dyDescent="0.25">
      <c r="A756">
        <v>1278219482</v>
      </c>
      <c r="B756" t="s">
        <v>339</v>
      </c>
      <c r="C756" t="s">
        <v>340</v>
      </c>
      <c r="D756" t="s">
        <v>40</v>
      </c>
      <c r="E756" t="s">
        <v>31</v>
      </c>
      <c r="F756" s="2">
        <v>46029.627614606477</v>
      </c>
      <c r="AC756" s="24">
        <f t="shared" ca="1" si="23"/>
        <v>104.37238539352256</v>
      </c>
      <c r="AD756" s="25" t="str">
        <f t="shared" ca="1" si="24"/>
        <v>&gt;60 dias</v>
      </c>
      <c r="AE756" s="25">
        <f>MONTH(Tabela1[[#This Row],[Criado em]])</f>
        <v>1</v>
      </c>
      <c r="AF756" s="25">
        <f>YEAR(Tabela1[[#This Row],[Criado em]])</f>
        <v>2026</v>
      </c>
      <c r="AG756" s="25">
        <f>COUNTIFS(Tabela1[Mês],Tabela1[[#This Row],[Mês]])</f>
        <v>222</v>
      </c>
      <c r="AH756" s="25">
        <f>COUNTIFS(Tabela1[Mês],Tabela1[[#This Row],[Mês]],Tabela1[Fase atual],"Recebido")</f>
        <v>174</v>
      </c>
      <c r="AI756" s="26">
        <f>Tabela1[[#This Row],[Recebido_ Mes]]/Tabela1[[#This Row],[Total_Mes]]</f>
        <v>0.78378378378378377</v>
      </c>
      <c r="AJ756" s="19">
        <f>COUNTIFS(Tabela1[Fase atual],"Recebido",Tabela1[Mês],Tabela1[[#This Row],[Mês]],Tabela1[Ano],Tabela1[[#This Row],[Ano]])/COUNTIF(Tabela1[Mês],Tabela1[[#This Row],[Mês]])</f>
        <v>0.78378378378378377</v>
      </c>
      <c r="AK756" s="20">
        <f>100%</f>
        <v>1</v>
      </c>
    </row>
    <row r="757" spans="1:37" ht="18" customHeight="1" x14ac:dyDescent="0.25">
      <c r="A757">
        <v>1292646969</v>
      </c>
      <c r="B757" t="s">
        <v>341</v>
      </c>
      <c r="C757" t="s">
        <v>342</v>
      </c>
      <c r="D757" t="s">
        <v>37</v>
      </c>
      <c r="E757" t="s">
        <v>31</v>
      </c>
      <c r="F757" s="2">
        <v>46056.796661574073</v>
      </c>
      <c r="AC757" s="24">
        <f t="shared" ca="1" si="23"/>
        <v>77.203338425926631</v>
      </c>
      <c r="AD757" s="25" t="str">
        <f t="shared" ca="1" si="24"/>
        <v>&gt;60 dias</v>
      </c>
      <c r="AE757" s="25">
        <f>MONTH(Tabela1[[#This Row],[Criado em]])</f>
        <v>2</v>
      </c>
      <c r="AF757" s="25">
        <f>YEAR(Tabela1[[#This Row],[Criado em]])</f>
        <v>2026</v>
      </c>
      <c r="AG757" s="25">
        <f>COUNTIFS(Tabela1[Mês],Tabela1[[#This Row],[Mês]])</f>
        <v>197</v>
      </c>
      <c r="AH757" s="25">
        <f>COUNTIFS(Tabela1[Mês],Tabela1[[#This Row],[Mês]],Tabela1[Fase atual],"Recebido")</f>
        <v>124</v>
      </c>
      <c r="AI757" s="26">
        <f>Tabela1[[#This Row],[Recebido_ Mes]]/Tabela1[[#This Row],[Total_Mes]]</f>
        <v>0.62944162436548223</v>
      </c>
      <c r="AJ757" s="19">
        <f>COUNTIFS(Tabela1[Fase atual],"Recebido",Tabela1[Mês],Tabela1[[#This Row],[Mês]],Tabela1[Ano],Tabela1[[#This Row],[Ano]])/COUNTIF(Tabela1[Mês],Tabela1[[#This Row],[Mês]])</f>
        <v>0.62944162436548223</v>
      </c>
      <c r="AK757" s="20">
        <f>100%</f>
        <v>1</v>
      </c>
    </row>
    <row r="758" spans="1:37" ht="18" customHeight="1" x14ac:dyDescent="0.25">
      <c r="A758">
        <v>1279609152</v>
      </c>
      <c r="B758" t="s">
        <v>341</v>
      </c>
      <c r="C758" t="s">
        <v>342</v>
      </c>
      <c r="D758" t="s">
        <v>37</v>
      </c>
      <c r="E758" t="s">
        <v>31</v>
      </c>
      <c r="F758" s="2">
        <v>46031.794810081017</v>
      </c>
      <c r="AC758" s="24">
        <f t="shared" ca="1" si="23"/>
        <v>102.2051899189828</v>
      </c>
      <c r="AD758" s="25" t="str">
        <f t="shared" ca="1" si="24"/>
        <v>&gt;60 dias</v>
      </c>
      <c r="AE758" s="25">
        <f>MONTH(Tabela1[[#This Row],[Criado em]])</f>
        <v>1</v>
      </c>
      <c r="AF758" s="25">
        <f>YEAR(Tabela1[[#This Row],[Criado em]])</f>
        <v>2026</v>
      </c>
      <c r="AG758" s="25">
        <f>COUNTIFS(Tabela1[Mês],Tabela1[[#This Row],[Mês]])</f>
        <v>222</v>
      </c>
      <c r="AH758" s="25">
        <f>COUNTIFS(Tabela1[Mês],Tabela1[[#This Row],[Mês]],Tabela1[Fase atual],"Recebido")</f>
        <v>174</v>
      </c>
      <c r="AI758" s="26">
        <f>Tabela1[[#This Row],[Recebido_ Mes]]/Tabela1[[#This Row],[Total_Mes]]</f>
        <v>0.78378378378378377</v>
      </c>
      <c r="AJ758" s="19">
        <f>COUNTIFS(Tabela1[Fase atual],"Recebido",Tabela1[Mês],Tabela1[[#This Row],[Mês]],Tabela1[Ano],Tabela1[[#This Row],[Ano]])/COUNTIF(Tabela1[Mês],Tabela1[[#This Row],[Mês]])</f>
        <v>0.78378378378378377</v>
      </c>
      <c r="AK758" s="20">
        <f>100%</f>
        <v>1</v>
      </c>
    </row>
    <row r="759" spans="1:37" ht="18" customHeight="1" x14ac:dyDescent="0.25">
      <c r="A759">
        <v>1208428173</v>
      </c>
      <c r="B759" t="s">
        <v>1458</v>
      </c>
      <c r="C759" t="s">
        <v>1459</v>
      </c>
      <c r="D759" t="s">
        <v>37</v>
      </c>
      <c r="E759" t="s">
        <v>31</v>
      </c>
      <c r="F759" s="2">
        <v>45904.852180798611</v>
      </c>
      <c r="AC759" s="24">
        <f t="shared" ca="1" si="23"/>
        <v>229.14781920138921</v>
      </c>
      <c r="AD759" s="25" t="str">
        <f t="shared" ca="1" si="24"/>
        <v>&gt;60 dias</v>
      </c>
      <c r="AE759" s="25">
        <f>MONTH(Tabela1[[#This Row],[Criado em]])</f>
        <v>9</v>
      </c>
      <c r="AF759" s="25">
        <f>YEAR(Tabela1[[#This Row],[Criado em]])</f>
        <v>2025</v>
      </c>
      <c r="AG759" s="25">
        <f>COUNTIFS(Tabela1[Mês],Tabela1[[#This Row],[Mês]])</f>
        <v>197</v>
      </c>
      <c r="AH759" s="25">
        <f>COUNTIFS(Tabela1[Mês],Tabela1[[#This Row],[Mês]],Tabela1[Fase atual],"Recebido")</f>
        <v>152</v>
      </c>
      <c r="AI759" s="26">
        <f>Tabela1[[#This Row],[Recebido_ Mes]]/Tabela1[[#This Row],[Total_Mes]]</f>
        <v>0.77157360406091369</v>
      </c>
      <c r="AJ759" s="19">
        <f>COUNTIFS(Tabela1[Fase atual],"Recebido",Tabela1[Mês],Tabela1[[#This Row],[Mês]],Tabela1[Ano],Tabela1[[#This Row],[Ano]])/COUNTIF(Tabela1[Mês],Tabela1[[#This Row],[Mês]])</f>
        <v>0.77157360406091369</v>
      </c>
      <c r="AK759" s="20">
        <f>100%</f>
        <v>1</v>
      </c>
    </row>
    <row r="760" spans="1:37" ht="18" customHeight="1" x14ac:dyDescent="0.25">
      <c r="A760">
        <v>1231461989</v>
      </c>
      <c r="B760" t="s">
        <v>1458</v>
      </c>
      <c r="C760" t="s">
        <v>1460</v>
      </c>
      <c r="D760" t="s">
        <v>784</v>
      </c>
      <c r="E760" t="s">
        <v>31</v>
      </c>
      <c r="F760" s="2">
        <v>45939.851557210648</v>
      </c>
      <c r="AC760" s="24">
        <f t="shared" ca="1" si="23"/>
        <v>194.14844278935198</v>
      </c>
      <c r="AD760" s="25" t="str">
        <f t="shared" ca="1" si="24"/>
        <v>&gt;60 dias</v>
      </c>
      <c r="AE760" s="25">
        <f>MONTH(Tabela1[[#This Row],[Criado em]])</f>
        <v>10</v>
      </c>
      <c r="AF760" s="25">
        <f>YEAR(Tabela1[[#This Row],[Criado em]])</f>
        <v>2025</v>
      </c>
      <c r="AG760" s="25">
        <f>COUNTIFS(Tabela1[Mês],Tabela1[[#This Row],[Mês]])</f>
        <v>196</v>
      </c>
      <c r="AH760" s="25">
        <f>COUNTIFS(Tabela1[Mês],Tabela1[[#This Row],[Mês]],Tabela1[Fase atual],"Recebido")</f>
        <v>138</v>
      </c>
      <c r="AI760" s="26">
        <f>Tabela1[[#This Row],[Recebido_ Mes]]/Tabela1[[#This Row],[Total_Mes]]</f>
        <v>0.70408163265306123</v>
      </c>
      <c r="AJ760" s="19">
        <f>COUNTIFS(Tabela1[Fase atual],"Recebido",Tabela1[Mês],Tabela1[[#This Row],[Mês]],Tabela1[Ano],Tabela1[[#This Row],[Ano]])/COUNTIF(Tabela1[Mês],Tabela1[[#This Row],[Mês]])</f>
        <v>0.70408163265306123</v>
      </c>
      <c r="AK760" s="20">
        <f>100%</f>
        <v>1</v>
      </c>
    </row>
    <row r="761" spans="1:37" ht="18" customHeight="1" x14ac:dyDescent="0.25">
      <c r="A761">
        <v>1291113545</v>
      </c>
      <c r="B761" t="s">
        <v>343</v>
      </c>
      <c r="C761" t="s">
        <v>344</v>
      </c>
      <c r="D761" t="s">
        <v>37</v>
      </c>
      <c r="E761" t="s">
        <v>31</v>
      </c>
      <c r="F761" s="2">
        <v>46052.797158171292</v>
      </c>
      <c r="AC761" s="24">
        <f t="shared" ca="1" si="23"/>
        <v>81.202841828708188</v>
      </c>
      <c r="AD761" s="25" t="str">
        <f t="shared" ca="1" si="24"/>
        <v>&gt;60 dias</v>
      </c>
      <c r="AE761" s="25">
        <f>MONTH(Tabela1[[#This Row],[Criado em]])</f>
        <v>1</v>
      </c>
      <c r="AF761" s="25">
        <f>YEAR(Tabela1[[#This Row],[Criado em]])</f>
        <v>2026</v>
      </c>
      <c r="AG761" s="25">
        <f>COUNTIFS(Tabela1[Mês],Tabela1[[#This Row],[Mês]])</f>
        <v>222</v>
      </c>
      <c r="AH761" s="25">
        <f>COUNTIFS(Tabela1[Mês],Tabela1[[#This Row],[Mês]],Tabela1[Fase atual],"Recebido")</f>
        <v>174</v>
      </c>
      <c r="AI761" s="26">
        <f>Tabela1[[#This Row],[Recebido_ Mes]]/Tabela1[[#This Row],[Total_Mes]]</f>
        <v>0.78378378378378377</v>
      </c>
      <c r="AJ761" s="19">
        <f>COUNTIFS(Tabela1[Fase atual],"Recebido",Tabela1[Mês],Tabela1[[#This Row],[Mês]],Tabela1[Ano],Tabela1[[#This Row],[Ano]])/COUNTIF(Tabela1[Mês],Tabela1[[#This Row],[Mês]])</f>
        <v>0.78378378378378377</v>
      </c>
      <c r="AK761" s="20">
        <f>100%</f>
        <v>1</v>
      </c>
    </row>
    <row r="762" spans="1:37" ht="18" customHeight="1" x14ac:dyDescent="0.25">
      <c r="A762">
        <v>1308389789</v>
      </c>
      <c r="B762" t="s">
        <v>222</v>
      </c>
      <c r="C762" t="s">
        <v>2235</v>
      </c>
      <c r="D762" t="s">
        <v>2179</v>
      </c>
      <c r="E762" t="s">
        <v>31</v>
      </c>
      <c r="F762" s="2">
        <v>46084.794346817129</v>
      </c>
      <c r="AC762" s="24">
        <f t="shared" ca="1" si="23"/>
        <v>49.205653182871174</v>
      </c>
      <c r="AD762" s="25" t="str">
        <f t="shared" ca="1" si="24"/>
        <v>31-60 dias</v>
      </c>
      <c r="AE762" s="25">
        <f>MONTH(Tabela1[[#This Row],[Criado em]])</f>
        <v>3</v>
      </c>
      <c r="AF762" s="25">
        <f>YEAR(Tabela1[[#This Row],[Criado em]])</f>
        <v>2026</v>
      </c>
      <c r="AG762" s="25">
        <f>COUNTIFS(Tabela1[Mês],Tabela1[[#This Row],[Mês]])</f>
        <v>62</v>
      </c>
      <c r="AH762" s="25">
        <f>COUNTIFS(Tabela1[Mês],Tabela1[[#This Row],[Mês]],Tabela1[Fase atual],"Recebido")</f>
        <v>13</v>
      </c>
      <c r="AI762" s="26">
        <f>Tabela1[[#This Row],[Recebido_ Mes]]/Tabela1[[#This Row],[Total_Mes]]</f>
        <v>0.20967741935483872</v>
      </c>
      <c r="AJ762" s="19">
        <f>COUNTIFS(Tabela1[Fase atual],"Recebido",Tabela1[Mês],Tabela1[[#This Row],[Mês]],Tabela1[Ano],Tabela1[[#This Row],[Ano]])/COUNTIF(Tabela1[Mês],Tabela1[[#This Row],[Mês]])</f>
        <v>0.20967741935483872</v>
      </c>
      <c r="AK762" s="20">
        <f>100%</f>
        <v>1</v>
      </c>
    </row>
    <row r="763" spans="1:37" ht="18" customHeight="1" x14ac:dyDescent="0.25">
      <c r="A763">
        <v>1258870880</v>
      </c>
      <c r="B763" t="s">
        <v>1461</v>
      </c>
      <c r="C763" t="s">
        <v>1462</v>
      </c>
      <c r="D763" t="s">
        <v>37</v>
      </c>
      <c r="E763" t="s">
        <v>31</v>
      </c>
      <c r="F763" s="2">
        <v>45985.796292210653</v>
      </c>
      <c r="AC763" s="24">
        <f t="shared" ca="1" si="23"/>
        <v>148.20370778934739</v>
      </c>
      <c r="AD763" s="25" t="str">
        <f t="shared" ca="1" si="24"/>
        <v>&gt;60 dias</v>
      </c>
      <c r="AE763" s="25">
        <f>MONTH(Tabela1[[#This Row],[Criado em]])</f>
        <v>11</v>
      </c>
      <c r="AF763" s="25">
        <f>YEAR(Tabela1[[#This Row],[Criado em]])</f>
        <v>2025</v>
      </c>
      <c r="AG763" s="25">
        <f>COUNTIFS(Tabela1[Mês],Tabela1[[#This Row],[Mês]])</f>
        <v>130</v>
      </c>
      <c r="AH763" s="25">
        <f>COUNTIFS(Tabela1[Mês],Tabela1[[#This Row],[Mês]],Tabela1[Fase atual],"Recebido")</f>
        <v>100</v>
      </c>
      <c r="AI763" s="26">
        <f>Tabela1[[#This Row],[Recebido_ Mes]]/Tabela1[[#This Row],[Total_Mes]]</f>
        <v>0.76923076923076927</v>
      </c>
      <c r="AJ763" s="19">
        <f>COUNTIFS(Tabela1[Fase atual],"Recebido",Tabela1[Mês],Tabela1[[#This Row],[Mês]],Tabela1[Ano],Tabela1[[#This Row],[Ano]])/COUNTIF(Tabela1[Mês],Tabela1[[#This Row],[Mês]])</f>
        <v>0.76923076923076927</v>
      </c>
      <c r="AK763" s="20">
        <f>100%</f>
        <v>1</v>
      </c>
    </row>
    <row r="764" spans="1:37" ht="18" customHeight="1" x14ac:dyDescent="0.25">
      <c r="A764">
        <v>1221524075</v>
      </c>
      <c r="B764" t="s">
        <v>1463</v>
      </c>
      <c r="C764" t="s">
        <v>1464</v>
      </c>
      <c r="D764" t="s">
        <v>37</v>
      </c>
      <c r="E764" t="s">
        <v>31</v>
      </c>
      <c r="F764" s="2">
        <v>45925.852718414353</v>
      </c>
      <c r="AC764" s="24">
        <f t="shared" ca="1" si="23"/>
        <v>208.14728158564685</v>
      </c>
      <c r="AD764" s="25" t="str">
        <f t="shared" ca="1" si="24"/>
        <v>&gt;60 dias</v>
      </c>
      <c r="AE764" s="25">
        <f>MONTH(Tabela1[[#This Row],[Criado em]])</f>
        <v>9</v>
      </c>
      <c r="AF764" s="25">
        <f>YEAR(Tabela1[[#This Row],[Criado em]])</f>
        <v>2025</v>
      </c>
      <c r="AG764" s="25">
        <f>COUNTIFS(Tabela1[Mês],Tabela1[[#This Row],[Mês]])</f>
        <v>197</v>
      </c>
      <c r="AH764" s="25">
        <f>COUNTIFS(Tabela1[Mês],Tabela1[[#This Row],[Mês]],Tabela1[Fase atual],"Recebido")</f>
        <v>152</v>
      </c>
      <c r="AI764" s="26">
        <f>Tabela1[[#This Row],[Recebido_ Mes]]/Tabela1[[#This Row],[Total_Mes]]</f>
        <v>0.77157360406091369</v>
      </c>
      <c r="AJ764" s="19">
        <f>COUNTIFS(Tabela1[Fase atual],"Recebido",Tabela1[Mês],Tabela1[[#This Row],[Mês]],Tabela1[Ano],Tabela1[[#This Row],[Ano]])/COUNTIF(Tabela1[Mês],Tabela1[[#This Row],[Mês]])</f>
        <v>0.77157360406091369</v>
      </c>
      <c r="AK764" s="20">
        <f>100%</f>
        <v>1</v>
      </c>
    </row>
    <row r="765" spans="1:37" ht="18" customHeight="1" x14ac:dyDescent="0.25">
      <c r="A765">
        <v>1204766779</v>
      </c>
      <c r="B765" t="s">
        <v>1465</v>
      </c>
      <c r="C765" t="s">
        <v>1466</v>
      </c>
      <c r="D765" t="s">
        <v>37</v>
      </c>
      <c r="E765" t="s">
        <v>31</v>
      </c>
      <c r="F765" s="2">
        <v>45898.851434340279</v>
      </c>
      <c r="AC765" s="24">
        <f t="shared" ca="1" si="23"/>
        <v>235.1485656597215</v>
      </c>
      <c r="AD765" s="25" t="str">
        <f t="shared" ca="1" si="24"/>
        <v>&gt;60 dias</v>
      </c>
      <c r="AE765" s="25">
        <f>MONTH(Tabela1[[#This Row],[Criado em]])</f>
        <v>8</v>
      </c>
      <c r="AF765" s="25">
        <f>YEAR(Tabela1[[#This Row],[Criado em]])</f>
        <v>2025</v>
      </c>
      <c r="AG765" s="25">
        <f>COUNTIFS(Tabela1[Mês],Tabela1[[#This Row],[Mês]])</f>
        <v>146</v>
      </c>
      <c r="AH765" s="25">
        <f>COUNTIFS(Tabela1[Mês],Tabela1[[#This Row],[Mês]],Tabela1[Fase atual],"Recebido")</f>
        <v>115</v>
      </c>
      <c r="AI765" s="26">
        <f>Tabela1[[#This Row],[Recebido_ Mes]]/Tabela1[[#This Row],[Total_Mes]]</f>
        <v>0.78767123287671237</v>
      </c>
      <c r="AJ765" s="19">
        <f>COUNTIFS(Tabela1[Fase atual],"Recebido",Tabela1[Mês],Tabela1[[#This Row],[Mês]],Tabela1[Ano],Tabela1[[#This Row],[Ano]])/COUNTIF(Tabela1[Mês],Tabela1[[#This Row],[Mês]])</f>
        <v>0.78767123287671237</v>
      </c>
      <c r="AK765" s="20">
        <f>100%</f>
        <v>1</v>
      </c>
    </row>
    <row r="766" spans="1:37" ht="18" customHeight="1" x14ac:dyDescent="0.25">
      <c r="A766">
        <v>1270486498</v>
      </c>
      <c r="B766" t="s">
        <v>1467</v>
      </c>
      <c r="C766" t="s">
        <v>1468</v>
      </c>
      <c r="D766" t="s">
        <v>37</v>
      </c>
      <c r="E766" t="s">
        <v>31</v>
      </c>
      <c r="F766" s="2">
        <v>46010.561957106482</v>
      </c>
      <c r="AC766" s="24">
        <f t="shared" ca="1" si="23"/>
        <v>123.43804289351829</v>
      </c>
      <c r="AD766" s="25" t="str">
        <f t="shared" ca="1" si="24"/>
        <v>&gt;60 dias</v>
      </c>
      <c r="AE766" s="25">
        <f>MONTH(Tabela1[[#This Row],[Criado em]])</f>
        <v>12</v>
      </c>
      <c r="AF766" s="25">
        <f>YEAR(Tabela1[[#This Row],[Criado em]])</f>
        <v>2025</v>
      </c>
      <c r="AG766" s="25">
        <f>COUNTIFS(Tabela1[Mês],Tabela1[[#This Row],[Mês]])</f>
        <v>207</v>
      </c>
      <c r="AH766" s="25">
        <f>COUNTIFS(Tabela1[Mês],Tabela1[[#This Row],[Mês]],Tabela1[Fase atual],"Recebido")</f>
        <v>155</v>
      </c>
      <c r="AI766" s="26">
        <f>Tabela1[[#This Row],[Recebido_ Mes]]/Tabela1[[#This Row],[Total_Mes]]</f>
        <v>0.74879227053140096</v>
      </c>
      <c r="AJ766" s="19">
        <f>COUNTIFS(Tabela1[Fase atual],"Recebido",Tabela1[Mês],Tabela1[[#This Row],[Mês]],Tabela1[Ano],Tabela1[[#This Row],[Ano]])/COUNTIF(Tabela1[Mês],Tabela1[[#This Row],[Mês]])</f>
        <v>0.74879227053140096</v>
      </c>
      <c r="AK766" s="20">
        <f>100%</f>
        <v>1</v>
      </c>
    </row>
    <row r="767" spans="1:37" ht="18" customHeight="1" x14ac:dyDescent="0.25">
      <c r="A767">
        <v>1274988886</v>
      </c>
      <c r="B767" t="s">
        <v>1469</v>
      </c>
      <c r="C767" t="s">
        <v>1470</v>
      </c>
      <c r="D767" t="s">
        <v>37</v>
      </c>
      <c r="E767" t="s">
        <v>31</v>
      </c>
      <c r="F767" s="2">
        <v>46021.797288240741</v>
      </c>
      <c r="AC767" s="24">
        <f t="shared" ca="1" si="23"/>
        <v>112.20271175925882</v>
      </c>
      <c r="AD767" s="25" t="str">
        <f t="shared" ca="1" si="24"/>
        <v>&gt;60 dias</v>
      </c>
      <c r="AE767" s="25">
        <f>MONTH(Tabela1[[#This Row],[Criado em]])</f>
        <v>12</v>
      </c>
      <c r="AF767" s="25">
        <f>YEAR(Tabela1[[#This Row],[Criado em]])</f>
        <v>2025</v>
      </c>
      <c r="AG767" s="25">
        <f>COUNTIFS(Tabela1[Mês],Tabela1[[#This Row],[Mês]])</f>
        <v>207</v>
      </c>
      <c r="AH767" s="25">
        <f>COUNTIFS(Tabela1[Mês],Tabela1[[#This Row],[Mês]],Tabela1[Fase atual],"Recebido")</f>
        <v>155</v>
      </c>
      <c r="AI767" s="26">
        <f>Tabela1[[#This Row],[Recebido_ Mes]]/Tabela1[[#This Row],[Total_Mes]]</f>
        <v>0.74879227053140096</v>
      </c>
      <c r="AJ767" s="19">
        <f>COUNTIFS(Tabela1[Fase atual],"Recebido",Tabela1[Mês],Tabela1[[#This Row],[Mês]],Tabela1[Ano],Tabela1[[#This Row],[Ano]])/COUNTIF(Tabela1[Mês],Tabela1[[#This Row],[Mês]])</f>
        <v>0.74879227053140096</v>
      </c>
      <c r="AK767" s="20">
        <f>100%</f>
        <v>1</v>
      </c>
    </row>
    <row r="768" spans="1:37" ht="18" customHeight="1" x14ac:dyDescent="0.25">
      <c r="A768">
        <v>1248339364</v>
      </c>
      <c r="B768" t="s">
        <v>1469</v>
      </c>
      <c r="C768" t="s">
        <v>1470</v>
      </c>
      <c r="D768" t="s">
        <v>37</v>
      </c>
      <c r="E768" t="s">
        <v>31</v>
      </c>
      <c r="F768" s="2">
        <v>45961.920402731477</v>
      </c>
      <c r="AC768" s="24">
        <f t="shared" ca="1" si="23"/>
        <v>172.07959726852278</v>
      </c>
      <c r="AD768" s="25" t="str">
        <f t="shared" ca="1" si="24"/>
        <v>&gt;60 dias</v>
      </c>
      <c r="AE768" s="25">
        <f>MONTH(Tabela1[[#This Row],[Criado em]])</f>
        <v>10</v>
      </c>
      <c r="AF768" s="25">
        <f>YEAR(Tabela1[[#This Row],[Criado em]])</f>
        <v>2025</v>
      </c>
      <c r="AG768" s="25">
        <f>COUNTIFS(Tabela1[Mês],Tabela1[[#This Row],[Mês]])</f>
        <v>196</v>
      </c>
      <c r="AH768" s="25">
        <f>COUNTIFS(Tabela1[Mês],Tabela1[[#This Row],[Mês]],Tabela1[Fase atual],"Recebido")</f>
        <v>138</v>
      </c>
      <c r="AI768" s="26">
        <f>Tabela1[[#This Row],[Recebido_ Mes]]/Tabela1[[#This Row],[Total_Mes]]</f>
        <v>0.70408163265306123</v>
      </c>
      <c r="AJ768" s="19">
        <f>COUNTIFS(Tabela1[Fase atual],"Recebido",Tabela1[Mês],Tabela1[[#This Row],[Mês]],Tabela1[Ano],Tabela1[[#This Row],[Ano]])/COUNTIF(Tabela1[Mês],Tabela1[[#This Row],[Mês]])</f>
        <v>0.70408163265306123</v>
      </c>
      <c r="AK768" s="20">
        <f>100%</f>
        <v>1</v>
      </c>
    </row>
    <row r="769" spans="1:37" ht="18" customHeight="1" x14ac:dyDescent="0.25">
      <c r="A769">
        <v>1203901484</v>
      </c>
      <c r="B769" t="s">
        <v>700</v>
      </c>
      <c r="C769" t="s">
        <v>1471</v>
      </c>
      <c r="D769" t="s">
        <v>202</v>
      </c>
      <c r="E769" t="s">
        <v>31</v>
      </c>
      <c r="F769" s="2">
        <v>45897.77359783565</v>
      </c>
      <c r="AC769" s="24">
        <f t="shared" ca="1" si="23"/>
        <v>236.22640216434957</v>
      </c>
      <c r="AD769" s="25" t="str">
        <f t="shared" ca="1" si="24"/>
        <v>&gt;60 dias</v>
      </c>
      <c r="AE769" s="25">
        <f>MONTH(Tabela1[[#This Row],[Criado em]])</f>
        <v>8</v>
      </c>
      <c r="AF769" s="25">
        <f>YEAR(Tabela1[[#This Row],[Criado em]])</f>
        <v>2025</v>
      </c>
      <c r="AG769" s="25">
        <f>COUNTIFS(Tabela1[Mês],Tabela1[[#This Row],[Mês]])</f>
        <v>146</v>
      </c>
      <c r="AH769" s="25">
        <f>COUNTIFS(Tabela1[Mês],Tabela1[[#This Row],[Mês]],Tabela1[Fase atual],"Recebido")</f>
        <v>115</v>
      </c>
      <c r="AI769" s="26">
        <f>Tabela1[[#This Row],[Recebido_ Mes]]/Tabela1[[#This Row],[Total_Mes]]</f>
        <v>0.78767123287671237</v>
      </c>
      <c r="AJ769" s="19">
        <f>COUNTIFS(Tabela1[Fase atual],"Recebido",Tabela1[Mês],Tabela1[[#This Row],[Mês]],Tabela1[Ano],Tabela1[[#This Row],[Ano]])/COUNTIF(Tabela1[Mês],Tabela1[[#This Row],[Mês]])</f>
        <v>0.78767123287671237</v>
      </c>
      <c r="AK769" s="20">
        <f>100%</f>
        <v>1</v>
      </c>
    </row>
    <row r="770" spans="1:37" ht="18" customHeight="1" x14ac:dyDescent="0.25">
      <c r="A770">
        <v>1206688566</v>
      </c>
      <c r="B770" t="s">
        <v>700</v>
      </c>
      <c r="C770" t="s">
        <v>1472</v>
      </c>
      <c r="D770" t="s">
        <v>40</v>
      </c>
      <c r="E770" t="s">
        <v>31</v>
      </c>
      <c r="F770" s="2">
        <v>45902.755694641208</v>
      </c>
      <c r="AC770" s="24">
        <f t="shared" ca="1" si="23"/>
        <v>231.24430535879219</v>
      </c>
      <c r="AD770" s="25" t="str">
        <f t="shared" ca="1" si="24"/>
        <v>&gt;60 dias</v>
      </c>
      <c r="AE770" s="25">
        <f>MONTH(Tabela1[[#This Row],[Criado em]])</f>
        <v>9</v>
      </c>
      <c r="AF770" s="25">
        <f>YEAR(Tabela1[[#This Row],[Criado em]])</f>
        <v>2025</v>
      </c>
      <c r="AG770" s="25">
        <f>COUNTIFS(Tabela1[Mês],Tabela1[[#This Row],[Mês]])</f>
        <v>197</v>
      </c>
      <c r="AH770" s="25">
        <f>COUNTIFS(Tabela1[Mês],Tabela1[[#This Row],[Mês]],Tabela1[Fase atual],"Recebido")</f>
        <v>152</v>
      </c>
      <c r="AI770" s="26">
        <f>Tabela1[[#This Row],[Recebido_ Mes]]/Tabela1[[#This Row],[Total_Mes]]</f>
        <v>0.77157360406091369</v>
      </c>
      <c r="AJ770" s="19">
        <f>COUNTIFS(Tabela1[Fase atual],"Recebido",Tabela1[Mês],Tabela1[[#This Row],[Mês]],Tabela1[Ano],Tabela1[[#This Row],[Ano]])/COUNTIF(Tabela1[Mês],Tabela1[[#This Row],[Mês]])</f>
        <v>0.77157360406091369</v>
      </c>
      <c r="AK770" s="20">
        <f>100%</f>
        <v>1</v>
      </c>
    </row>
    <row r="771" spans="1:37" ht="18" customHeight="1" x14ac:dyDescent="0.25">
      <c r="A771">
        <v>1204696073</v>
      </c>
      <c r="B771" t="s">
        <v>1473</v>
      </c>
      <c r="C771" t="s">
        <v>1474</v>
      </c>
      <c r="D771" t="s">
        <v>37</v>
      </c>
      <c r="E771" t="s">
        <v>31</v>
      </c>
      <c r="F771" s="2">
        <v>45898.791445300929</v>
      </c>
      <c r="AC771" s="24">
        <f t="shared" ref="AC771:AC834" ca="1" si="25">TODAY() - F771</f>
        <v>235.2085546990711</v>
      </c>
      <c r="AD771" s="25" t="str">
        <f t="shared" ref="AD771:AD834" ca="1" si="26">IF(AC771&lt;=14,"0-14 dias",
IF(AC771&lt;=19,"15-19 dias",
IF(AC771&lt;=24,"20-24 dias",
IF(AC771&lt;=30,"25-30 dias",
IF(AC771&lt;=60,"31-60 dias",
"&gt;60 dias")))))</f>
        <v>&gt;60 dias</v>
      </c>
      <c r="AE771" s="25">
        <f>MONTH(Tabela1[[#This Row],[Criado em]])</f>
        <v>8</v>
      </c>
      <c r="AF771" s="25">
        <f>YEAR(Tabela1[[#This Row],[Criado em]])</f>
        <v>2025</v>
      </c>
      <c r="AG771" s="25">
        <f>COUNTIFS(Tabela1[Mês],Tabela1[[#This Row],[Mês]])</f>
        <v>146</v>
      </c>
      <c r="AH771" s="25">
        <f>COUNTIFS(Tabela1[Mês],Tabela1[[#This Row],[Mês]],Tabela1[Fase atual],"Recebido")</f>
        <v>115</v>
      </c>
      <c r="AI771" s="26">
        <f>Tabela1[[#This Row],[Recebido_ Mes]]/Tabela1[[#This Row],[Total_Mes]]</f>
        <v>0.78767123287671237</v>
      </c>
      <c r="AJ771" s="19">
        <f>COUNTIFS(Tabela1[Fase atual],"Recebido",Tabela1[Mês],Tabela1[[#This Row],[Mês]],Tabela1[Ano],Tabela1[[#This Row],[Ano]])/COUNTIF(Tabela1[Mês],Tabela1[[#This Row],[Mês]])</f>
        <v>0.78767123287671237</v>
      </c>
      <c r="AK771" s="20">
        <f>100%</f>
        <v>1</v>
      </c>
    </row>
    <row r="772" spans="1:37" ht="18" customHeight="1" x14ac:dyDescent="0.25">
      <c r="A772">
        <v>1253192131</v>
      </c>
      <c r="B772" t="s">
        <v>713</v>
      </c>
      <c r="C772" t="s">
        <v>1475</v>
      </c>
      <c r="D772" t="s">
        <v>202</v>
      </c>
      <c r="E772" t="s">
        <v>31</v>
      </c>
      <c r="F772" s="2">
        <v>45972.545718784721</v>
      </c>
      <c r="AC772" s="24">
        <f t="shared" ca="1" si="25"/>
        <v>161.45428121527948</v>
      </c>
      <c r="AD772" s="25" t="str">
        <f t="shared" ca="1" si="26"/>
        <v>&gt;60 dias</v>
      </c>
      <c r="AE772" s="25">
        <f>MONTH(Tabela1[[#This Row],[Criado em]])</f>
        <v>11</v>
      </c>
      <c r="AF772" s="25">
        <f>YEAR(Tabela1[[#This Row],[Criado em]])</f>
        <v>2025</v>
      </c>
      <c r="AG772" s="25">
        <f>COUNTIFS(Tabela1[Mês],Tabela1[[#This Row],[Mês]])</f>
        <v>130</v>
      </c>
      <c r="AH772" s="25">
        <f>COUNTIFS(Tabela1[Mês],Tabela1[[#This Row],[Mês]],Tabela1[Fase atual],"Recebido")</f>
        <v>100</v>
      </c>
      <c r="AI772" s="26">
        <f>Tabela1[[#This Row],[Recebido_ Mes]]/Tabela1[[#This Row],[Total_Mes]]</f>
        <v>0.76923076923076927</v>
      </c>
      <c r="AJ772" s="19">
        <f>COUNTIFS(Tabela1[Fase atual],"Recebido",Tabela1[Mês],Tabela1[[#This Row],[Mês]],Tabela1[Ano],Tabela1[[#This Row],[Ano]])/COUNTIF(Tabela1[Mês],Tabela1[[#This Row],[Mês]])</f>
        <v>0.76923076923076927</v>
      </c>
      <c r="AK772" s="20">
        <f>100%</f>
        <v>1</v>
      </c>
    </row>
    <row r="773" spans="1:37" ht="18" customHeight="1" x14ac:dyDescent="0.25">
      <c r="A773">
        <v>1271278060</v>
      </c>
      <c r="B773" t="s">
        <v>345</v>
      </c>
      <c r="C773" t="s">
        <v>1476</v>
      </c>
      <c r="D773" t="s">
        <v>37</v>
      </c>
      <c r="E773" t="s">
        <v>31</v>
      </c>
      <c r="F773" s="2">
        <v>46013.548668460651</v>
      </c>
      <c r="AC773" s="24">
        <f t="shared" ca="1" si="25"/>
        <v>120.45133153934876</v>
      </c>
      <c r="AD773" s="25" t="str">
        <f t="shared" ca="1" si="26"/>
        <v>&gt;60 dias</v>
      </c>
      <c r="AE773" s="25">
        <f>MONTH(Tabela1[[#This Row],[Criado em]])</f>
        <v>12</v>
      </c>
      <c r="AF773" s="25">
        <f>YEAR(Tabela1[[#This Row],[Criado em]])</f>
        <v>2025</v>
      </c>
      <c r="AG773" s="25">
        <f>COUNTIFS(Tabela1[Mês],Tabela1[[#This Row],[Mês]])</f>
        <v>207</v>
      </c>
      <c r="AH773" s="25">
        <f>COUNTIFS(Tabela1[Mês],Tabela1[[#This Row],[Mês]],Tabela1[Fase atual],"Recebido")</f>
        <v>155</v>
      </c>
      <c r="AI773" s="26">
        <f>Tabela1[[#This Row],[Recebido_ Mes]]/Tabela1[[#This Row],[Total_Mes]]</f>
        <v>0.74879227053140096</v>
      </c>
      <c r="AJ773" s="19">
        <f>COUNTIFS(Tabela1[Fase atual],"Recebido",Tabela1[Mês],Tabela1[[#This Row],[Mês]],Tabela1[Ano],Tabela1[[#This Row],[Ano]])/COUNTIF(Tabela1[Mês],Tabela1[[#This Row],[Mês]])</f>
        <v>0.74879227053140096</v>
      </c>
      <c r="AK773" s="20">
        <f>100%</f>
        <v>1</v>
      </c>
    </row>
    <row r="774" spans="1:37" ht="18" customHeight="1" x14ac:dyDescent="0.25">
      <c r="A774">
        <v>1299778047</v>
      </c>
      <c r="B774" t="s">
        <v>345</v>
      </c>
      <c r="C774" t="s">
        <v>346</v>
      </c>
      <c r="D774" t="s">
        <v>37</v>
      </c>
      <c r="E774" t="s">
        <v>31</v>
      </c>
      <c r="F774" s="2">
        <v>46072.796425694447</v>
      </c>
      <c r="AC774" s="24">
        <f t="shared" ca="1" si="25"/>
        <v>61.203574305553047</v>
      </c>
      <c r="AD774" s="25" t="str">
        <f t="shared" ca="1" si="26"/>
        <v>&gt;60 dias</v>
      </c>
      <c r="AE774" s="25">
        <f>MONTH(Tabela1[[#This Row],[Criado em]])</f>
        <v>2</v>
      </c>
      <c r="AF774" s="25">
        <f>YEAR(Tabela1[[#This Row],[Criado em]])</f>
        <v>2026</v>
      </c>
      <c r="AG774" s="25">
        <f>COUNTIFS(Tabela1[Mês],Tabela1[[#This Row],[Mês]])</f>
        <v>197</v>
      </c>
      <c r="AH774" s="25">
        <f>COUNTIFS(Tabela1[Mês],Tabela1[[#This Row],[Mês]],Tabela1[Fase atual],"Recebido")</f>
        <v>124</v>
      </c>
      <c r="AI774" s="26">
        <f>Tabela1[[#This Row],[Recebido_ Mes]]/Tabela1[[#This Row],[Total_Mes]]</f>
        <v>0.62944162436548223</v>
      </c>
      <c r="AJ774" s="19">
        <f>COUNTIFS(Tabela1[Fase atual],"Recebido",Tabela1[Mês],Tabela1[[#This Row],[Mês]],Tabela1[Ano],Tabela1[[#This Row],[Ano]])/COUNTIF(Tabela1[Mês],Tabela1[[#This Row],[Mês]])</f>
        <v>0.62944162436548223</v>
      </c>
      <c r="AK774" s="20">
        <f>100%</f>
        <v>1</v>
      </c>
    </row>
    <row r="775" spans="1:37" ht="18" customHeight="1" x14ac:dyDescent="0.25">
      <c r="A775">
        <v>1271629374</v>
      </c>
      <c r="B775" t="s">
        <v>345</v>
      </c>
      <c r="C775" t="s">
        <v>1477</v>
      </c>
      <c r="D775" t="s">
        <v>37</v>
      </c>
      <c r="E775" t="s">
        <v>31</v>
      </c>
      <c r="F775" s="2">
        <v>46013.923883495372</v>
      </c>
      <c r="AC775" s="24">
        <f t="shared" ca="1" si="25"/>
        <v>120.07611650462786</v>
      </c>
      <c r="AD775" s="25" t="str">
        <f t="shared" ca="1" si="26"/>
        <v>&gt;60 dias</v>
      </c>
      <c r="AE775" s="25">
        <f>MONTH(Tabela1[[#This Row],[Criado em]])</f>
        <v>12</v>
      </c>
      <c r="AF775" s="25">
        <f>YEAR(Tabela1[[#This Row],[Criado em]])</f>
        <v>2025</v>
      </c>
      <c r="AG775" s="25">
        <f>COUNTIFS(Tabela1[Mês],Tabela1[[#This Row],[Mês]])</f>
        <v>207</v>
      </c>
      <c r="AH775" s="25">
        <f>COUNTIFS(Tabela1[Mês],Tabela1[[#This Row],[Mês]],Tabela1[Fase atual],"Recebido")</f>
        <v>155</v>
      </c>
      <c r="AI775" s="26">
        <f>Tabela1[[#This Row],[Recebido_ Mes]]/Tabela1[[#This Row],[Total_Mes]]</f>
        <v>0.74879227053140096</v>
      </c>
      <c r="AJ775" s="19">
        <f>COUNTIFS(Tabela1[Fase atual],"Recebido",Tabela1[Mês],Tabela1[[#This Row],[Mês]],Tabela1[Ano],Tabela1[[#This Row],[Ano]])/COUNTIF(Tabela1[Mês],Tabela1[[#This Row],[Mês]])</f>
        <v>0.74879227053140096</v>
      </c>
      <c r="AK775" s="20">
        <f>100%</f>
        <v>1</v>
      </c>
    </row>
    <row r="776" spans="1:37" ht="18" customHeight="1" x14ac:dyDescent="0.25">
      <c r="A776">
        <v>1229103105</v>
      </c>
      <c r="B776" t="s">
        <v>1478</v>
      </c>
      <c r="C776" t="s">
        <v>1479</v>
      </c>
      <c r="D776" t="s">
        <v>37</v>
      </c>
      <c r="E776" t="s">
        <v>441</v>
      </c>
      <c r="F776" s="2">
        <v>45936.825584814811</v>
      </c>
      <c r="AC776" s="24">
        <f t="shared" ca="1" si="25"/>
        <v>197.17441518518899</v>
      </c>
      <c r="AD776" s="25" t="str">
        <f t="shared" ca="1" si="26"/>
        <v>&gt;60 dias</v>
      </c>
      <c r="AE776" s="25">
        <f>MONTH(Tabela1[[#This Row],[Criado em]])</f>
        <v>10</v>
      </c>
      <c r="AF776" s="25">
        <f>YEAR(Tabela1[[#This Row],[Criado em]])</f>
        <v>2025</v>
      </c>
      <c r="AG776" s="25">
        <f>COUNTIFS(Tabela1[Mês],Tabela1[[#This Row],[Mês]])</f>
        <v>196</v>
      </c>
      <c r="AH776" s="25">
        <f>COUNTIFS(Tabela1[Mês],Tabela1[[#This Row],[Mês]],Tabela1[Fase atual],"Recebido")</f>
        <v>138</v>
      </c>
      <c r="AI776" s="26">
        <f>Tabela1[[#This Row],[Recebido_ Mes]]/Tabela1[[#This Row],[Total_Mes]]</f>
        <v>0.70408163265306123</v>
      </c>
      <c r="AJ776" s="19">
        <f>COUNTIFS(Tabela1[Fase atual],"Recebido",Tabela1[Mês],Tabela1[[#This Row],[Mês]],Tabela1[Ano],Tabela1[[#This Row],[Ano]])/COUNTIF(Tabela1[Mês],Tabela1[[#This Row],[Mês]])</f>
        <v>0.70408163265306123</v>
      </c>
      <c r="AK776" s="20">
        <f>100%</f>
        <v>1</v>
      </c>
    </row>
    <row r="777" spans="1:37" ht="18" customHeight="1" x14ac:dyDescent="0.25">
      <c r="A777">
        <v>1222240792</v>
      </c>
      <c r="B777" t="s">
        <v>1478</v>
      </c>
      <c r="C777" t="s">
        <v>1480</v>
      </c>
      <c r="D777" t="s">
        <v>40</v>
      </c>
      <c r="E777" t="s">
        <v>31</v>
      </c>
      <c r="F777" s="2">
        <v>45926.851832731481</v>
      </c>
      <c r="AC777" s="24">
        <f t="shared" ca="1" si="25"/>
        <v>207.14816726851859</v>
      </c>
      <c r="AD777" s="25" t="str">
        <f t="shared" ca="1" si="26"/>
        <v>&gt;60 dias</v>
      </c>
      <c r="AE777" s="25">
        <f>MONTH(Tabela1[[#This Row],[Criado em]])</f>
        <v>9</v>
      </c>
      <c r="AF777" s="25">
        <f>YEAR(Tabela1[[#This Row],[Criado em]])</f>
        <v>2025</v>
      </c>
      <c r="AG777" s="25">
        <f>COUNTIFS(Tabela1[Mês],Tabela1[[#This Row],[Mês]])</f>
        <v>197</v>
      </c>
      <c r="AH777" s="25">
        <f>COUNTIFS(Tabela1[Mês],Tabela1[[#This Row],[Mês]],Tabela1[Fase atual],"Recebido")</f>
        <v>152</v>
      </c>
      <c r="AI777" s="26">
        <f>Tabela1[[#This Row],[Recebido_ Mes]]/Tabela1[[#This Row],[Total_Mes]]</f>
        <v>0.77157360406091369</v>
      </c>
      <c r="AJ777" s="19">
        <f>COUNTIFS(Tabela1[Fase atual],"Recebido",Tabela1[Mês],Tabela1[[#This Row],[Mês]],Tabela1[Ano],Tabela1[[#This Row],[Ano]])/COUNTIF(Tabela1[Mês],Tabela1[[#This Row],[Mês]])</f>
        <v>0.77157360406091369</v>
      </c>
      <c r="AK777" s="20">
        <f>100%</f>
        <v>1</v>
      </c>
    </row>
    <row r="778" spans="1:37" ht="18" customHeight="1" x14ac:dyDescent="0.25">
      <c r="A778">
        <v>1171784339</v>
      </c>
      <c r="B778" t="s">
        <v>1481</v>
      </c>
      <c r="C778" t="s">
        <v>1482</v>
      </c>
      <c r="D778" t="s">
        <v>37</v>
      </c>
      <c r="E778" t="s">
        <v>31</v>
      </c>
      <c r="F778" s="2">
        <v>45842.643505879627</v>
      </c>
      <c r="AC778" s="24">
        <f t="shared" ca="1" si="25"/>
        <v>291.3564941203731</v>
      </c>
      <c r="AD778" s="25" t="str">
        <f t="shared" ca="1" si="26"/>
        <v>&gt;60 dias</v>
      </c>
      <c r="AE778" s="25">
        <f>MONTH(Tabela1[[#This Row],[Criado em]])</f>
        <v>7</v>
      </c>
      <c r="AF778" s="25">
        <f>YEAR(Tabela1[[#This Row],[Criado em]])</f>
        <v>2025</v>
      </c>
      <c r="AG778" s="25">
        <f>COUNTIFS(Tabela1[Mês],Tabela1[[#This Row],[Mês]])</f>
        <v>177</v>
      </c>
      <c r="AH778" s="25">
        <f>COUNTIFS(Tabela1[Mês],Tabela1[[#This Row],[Mês]],Tabela1[Fase atual],"Recebido")</f>
        <v>130</v>
      </c>
      <c r="AI778" s="26">
        <f>Tabela1[[#This Row],[Recebido_ Mes]]/Tabela1[[#This Row],[Total_Mes]]</f>
        <v>0.7344632768361582</v>
      </c>
      <c r="AJ778" s="19">
        <f>COUNTIFS(Tabela1[Fase atual],"Recebido",Tabela1[Mês],Tabela1[[#This Row],[Mês]],Tabela1[Ano],Tabela1[[#This Row],[Ano]])/COUNTIF(Tabela1[Mês],Tabela1[[#This Row],[Mês]])</f>
        <v>0.7344632768361582</v>
      </c>
      <c r="AK778" s="20">
        <f>100%</f>
        <v>1</v>
      </c>
    </row>
    <row r="779" spans="1:37" ht="18" customHeight="1" x14ac:dyDescent="0.25">
      <c r="A779">
        <v>1267302920</v>
      </c>
      <c r="B779" t="s">
        <v>1483</v>
      </c>
      <c r="C779" t="s">
        <v>1484</v>
      </c>
      <c r="D779" t="s">
        <v>40</v>
      </c>
      <c r="E779" t="s">
        <v>31</v>
      </c>
      <c r="F779" s="2">
        <v>46002.921898437497</v>
      </c>
      <c r="AC779" s="24">
        <f t="shared" ca="1" si="25"/>
        <v>131.07810156250343</v>
      </c>
      <c r="AD779" s="25" t="str">
        <f t="shared" ca="1" si="26"/>
        <v>&gt;60 dias</v>
      </c>
      <c r="AE779" s="25">
        <f>MONTH(Tabela1[[#This Row],[Criado em]])</f>
        <v>12</v>
      </c>
      <c r="AF779" s="25">
        <f>YEAR(Tabela1[[#This Row],[Criado em]])</f>
        <v>2025</v>
      </c>
      <c r="AG779" s="25">
        <f>COUNTIFS(Tabela1[Mês],Tabela1[[#This Row],[Mês]])</f>
        <v>207</v>
      </c>
      <c r="AH779" s="25">
        <f>COUNTIFS(Tabela1[Mês],Tabela1[[#This Row],[Mês]],Tabela1[Fase atual],"Recebido")</f>
        <v>155</v>
      </c>
      <c r="AI779" s="26">
        <f>Tabela1[[#This Row],[Recebido_ Mes]]/Tabela1[[#This Row],[Total_Mes]]</f>
        <v>0.74879227053140096</v>
      </c>
      <c r="AJ779" s="19">
        <f>COUNTIFS(Tabela1[Fase atual],"Recebido",Tabela1[Mês],Tabela1[[#This Row],[Mês]],Tabela1[Ano],Tabela1[[#This Row],[Ano]])/COUNTIF(Tabela1[Mês],Tabela1[[#This Row],[Mês]])</f>
        <v>0.74879227053140096</v>
      </c>
      <c r="AK779" s="20">
        <f>100%</f>
        <v>1</v>
      </c>
    </row>
    <row r="780" spans="1:37" ht="18" customHeight="1" x14ac:dyDescent="0.25">
      <c r="A780">
        <v>1292646840</v>
      </c>
      <c r="B780" t="s">
        <v>347</v>
      </c>
      <c r="C780" t="s">
        <v>348</v>
      </c>
      <c r="D780" t="s">
        <v>37</v>
      </c>
      <c r="E780" t="s">
        <v>31</v>
      </c>
      <c r="F780" s="2">
        <v>46056.79660238426</v>
      </c>
      <c r="AC780" s="24">
        <f t="shared" ca="1" si="25"/>
        <v>77.203397615739959</v>
      </c>
      <c r="AD780" s="25" t="str">
        <f t="shared" ca="1" si="26"/>
        <v>&gt;60 dias</v>
      </c>
      <c r="AE780" s="25">
        <f>MONTH(Tabela1[[#This Row],[Criado em]])</f>
        <v>2</v>
      </c>
      <c r="AF780" s="25">
        <f>YEAR(Tabela1[[#This Row],[Criado em]])</f>
        <v>2026</v>
      </c>
      <c r="AG780" s="25">
        <f>COUNTIFS(Tabela1[Mês],Tabela1[[#This Row],[Mês]])</f>
        <v>197</v>
      </c>
      <c r="AH780" s="25">
        <f>COUNTIFS(Tabela1[Mês],Tabela1[[#This Row],[Mês]],Tabela1[Fase atual],"Recebido")</f>
        <v>124</v>
      </c>
      <c r="AI780" s="26">
        <f>Tabela1[[#This Row],[Recebido_ Mes]]/Tabela1[[#This Row],[Total_Mes]]</f>
        <v>0.62944162436548223</v>
      </c>
      <c r="AJ780" s="19">
        <f>COUNTIFS(Tabela1[Fase atual],"Recebido",Tabela1[Mês],Tabela1[[#This Row],[Mês]],Tabela1[Ano],Tabela1[[#This Row],[Ano]])/COUNTIF(Tabela1[Mês],Tabela1[[#This Row],[Mês]])</f>
        <v>0.62944162436548223</v>
      </c>
      <c r="AK780" s="20">
        <f>100%</f>
        <v>1</v>
      </c>
    </row>
    <row r="781" spans="1:37" ht="18" customHeight="1" x14ac:dyDescent="0.25">
      <c r="A781">
        <v>1278359283</v>
      </c>
      <c r="B781" t="s">
        <v>347</v>
      </c>
      <c r="C781" t="s">
        <v>348</v>
      </c>
      <c r="D781" t="s">
        <v>37</v>
      </c>
      <c r="E781" t="s">
        <v>31</v>
      </c>
      <c r="F781" s="2">
        <v>46029.794295995373</v>
      </c>
      <c r="AC781" s="24">
        <f t="shared" ca="1" si="25"/>
        <v>104.20570400462748</v>
      </c>
      <c r="AD781" s="25" t="str">
        <f t="shared" ca="1" si="26"/>
        <v>&gt;60 dias</v>
      </c>
      <c r="AE781" s="25">
        <f>MONTH(Tabela1[[#This Row],[Criado em]])</f>
        <v>1</v>
      </c>
      <c r="AF781" s="25">
        <f>YEAR(Tabela1[[#This Row],[Criado em]])</f>
        <v>2026</v>
      </c>
      <c r="AG781" s="25">
        <f>COUNTIFS(Tabela1[Mês],Tabela1[[#This Row],[Mês]])</f>
        <v>222</v>
      </c>
      <c r="AH781" s="25">
        <f>COUNTIFS(Tabela1[Mês],Tabela1[[#This Row],[Mês]],Tabela1[Fase atual],"Recebido")</f>
        <v>174</v>
      </c>
      <c r="AI781" s="26">
        <f>Tabela1[[#This Row],[Recebido_ Mes]]/Tabela1[[#This Row],[Total_Mes]]</f>
        <v>0.78378378378378377</v>
      </c>
      <c r="AJ781" s="19">
        <f>COUNTIFS(Tabela1[Fase atual],"Recebido",Tabela1[Mês],Tabela1[[#This Row],[Mês]],Tabela1[Ano],Tabela1[[#This Row],[Ano]])/COUNTIF(Tabela1[Mês],Tabela1[[#This Row],[Mês]])</f>
        <v>0.78378378378378377</v>
      </c>
      <c r="AK781" s="20">
        <f>100%</f>
        <v>1</v>
      </c>
    </row>
    <row r="782" spans="1:37" ht="18" customHeight="1" x14ac:dyDescent="0.25">
      <c r="A782">
        <v>1204767034</v>
      </c>
      <c r="B782" t="s">
        <v>347</v>
      </c>
      <c r="C782" t="s">
        <v>1485</v>
      </c>
      <c r="D782" t="s">
        <v>37</v>
      </c>
      <c r="E782" t="s">
        <v>31</v>
      </c>
      <c r="F782" s="2">
        <v>45898.851737199067</v>
      </c>
      <c r="AC782" s="24">
        <f t="shared" ca="1" si="25"/>
        <v>235.14826280093257</v>
      </c>
      <c r="AD782" s="25" t="str">
        <f t="shared" ca="1" si="26"/>
        <v>&gt;60 dias</v>
      </c>
      <c r="AE782" s="25">
        <f>MONTH(Tabela1[[#This Row],[Criado em]])</f>
        <v>8</v>
      </c>
      <c r="AF782" s="25">
        <f>YEAR(Tabela1[[#This Row],[Criado em]])</f>
        <v>2025</v>
      </c>
      <c r="AG782" s="25">
        <f>COUNTIFS(Tabela1[Mês],Tabela1[[#This Row],[Mês]])</f>
        <v>146</v>
      </c>
      <c r="AH782" s="25">
        <f>COUNTIFS(Tabela1[Mês],Tabela1[[#This Row],[Mês]],Tabela1[Fase atual],"Recebido")</f>
        <v>115</v>
      </c>
      <c r="AI782" s="26">
        <f>Tabela1[[#This Row],[Recebido_ Mes]]/Tabela1[[#This Row],[Total_Mes]]</f>
        <v>0.78767123287671237</v>
      </c>
      <c r="AJ782" s="19">
        <f>COUNTIFS(Tabela1[Fase atual],"Recebido",Tabela1[Mês],Tabela1[[#This Row],[Mês]],Tabela1[Ano],Tabela1[[#This Row],[Ano]])/COUNTIF(Tabela1[Mês],Tabela1[[#This Row],[Mês]])</f>
        <v>0.78767123287671237</v>
      </c>
      <c r="AK782" s="20">
        <f>100%</f>
        <v>1</v>
      </c>
    </row>
    <row r="783" spans="1:37" ht="18" customHeight="1" x14ac:dyDescent="0.25">
      <c r="A783">
        <v>1289298159</v>
      </c>
      <c r="B783" t="s">
        <v>347</v>
      </c>
      <c r="C783" t="s">
        <v>348</v>
      </c>
      <c r="D783" t="s">
        <v>37</v>
      </c>
      <c r="E783" t="s">
        <v>31</v>
      </c>
      <c r="F783" s="2">
        <v>46050.543986886572</v>
      </c>
      <c r="AC783" s="24">
        <f t="shared" ca="1" si="25"/>
        <v>83.456013113427616</v>
      </c>
      <c r="AD783" s="25" t="str">
        <f t="shared" ca="1" si="26"/>
        <v>&gt;60 dias</v>
      </c>
      <c r="AE783" s="25">
        <f>MONTH(Tabela1[[#This Row],[Criado em]])</f>
        <v>1</v>
      </c>
      <c r="AF783" s="25">
        <f>YEAR(Tabela1[[#This Row],[Criado em]])</f>
        <v>2026</v>
      </c>
      <c r="AG783" s="25">
        <f>COUNTIFS(Tabela1[Mês],Tabela1[[#This Row],[Mês]])</f>
        <v>222</v>
      </c>
      <c r="AH783" s="25">
        <f>COUNTIFS(Tabela1[Mês],Tabela1[[#This Row],[Mês]],Tabela1[Fase atual],"Recebido")</f>
        <v>174</v>
      </c>
      <c r="AI783" s="26">
        <f>Tabela1[[#This Row],[Recebido_ Mes]]/Tabela1[[#This Row],[Total_Mes]]</f>
        <v>0.78378378378378377</v>
      </c>
      <c r="AJ783" s="19">
        <f>COUNTIFS(Tabela1[Fase atual],"Recebido",Tabela1[Mês],Tabela1[[#This Row],[Mês]],Tabela1[Ano],Tabela1[[#This Row],[Ano]])/COUNTIF(Tabela1[Mês],Tabela1[[#This Row],[Mês]])</f>
        <v>0.78378378378378377</v>
      </c>
      <c r="AK783" s="20">
        <f>100%</f>
        <v>1</v>
      </c>
    </row>
    <row r="784" spans="1:37" ht="18" customHeight="1" x14ac:dyDescent="0.25">
      <c r="A784">
        <v>1170685084</v>
      </c>
      <c r="B784" t="s">
        <v>347</v>
      </c>
      <c r="C784" t="s">
        <v>1486</v>
      </c>
      <c r="D784" t="s">
        <v>37</v>
      </c>
      <c r="E784" t="s">
        <v>31</v>
      </c>
      <c r="F784" s="2">
        <v>45840.851980196763</v>
      </c>
      <c r="AC784" s="24">
        <f t="shared" ca="1" si="25"/>
        <v>293.14801980323682</v>
      </c>
      <c r="AD784" s="25" t="str">
        <f t="shared" ca="1" si="26"/>
        <v>&gt;60 dias</v>
      </c>
      <c r="AE784" s="25">
        <f>MONTH(Tabela1[[#This Row],[Criado em]])</f>
        <v>7</v>
      </c>
      <c r="AF784" s="25">
        <f>YEAR(Tabela1[[#This Row],[Criado em]])</f>
        <v>2025</v>
      </c>
      <c r="AG784" s="25">
        <f>COUNTIFS(Tabela1[Mês],Tabela1[[#This Row],[Mês]])</f>
        <v>177</v>
      </c>
      <c r="AH784" s="25">
        <f>COUNTIFS(Tabela1[Mês],Tabela1[[#This Row],[Mês]],Tabela1[Fase atual],"Recebido")</f>
        <v>130</v>
      </c>
      <c r="AI784" s="26">
        <f>Tabela1[[#This Row],[Recebido_ Mes]]/Tabela1[[#This Row],[Total_Mes]]</f>
        <v>0.7344632768361582</v>
      </c>
      <c r="AJ784" s="19">
        <f>COUNTIFS(Tabela1[Fase atual],"Recebido",Tabela1[Mês],Tabela1[[#This Row],[Mês]],Tabela1[Ano],Tabela1[[#This Row],[Ano]])/COUNTIF(Tabela1[Mês],Tabela1[[#This Row],[Mês]])</f>
        <v>0.7344632768361582</v>
      </c>
      <c r="AK784" s="20">
        <f>100%</f>
        <v>1</v>
      </c>
    </row>
    <row r="785" spans="1:37" ht="18" customHeight="1" x14ac:dyDescent="0.25">
      <c r="A785">
        <v>1203231858</v>
      </c>
      <c r="B785" t="s">
        <v>1487</v>
      </c>
      <c r="C785" t="s">
        <v>1488</v>
      </c>
      <c r="D785" t="s">
        <v>784</v>
      </c>
      <c r="E785" t="s">
        <v>31</v>
      </c>
      <c r="F785" s="2">
        <v>45896.850815532409</v>
      </c>
      <c r="AC785" s="24">
        <f t="shared" ca="1" si="25"/>
        <v>237.14918446759111</v>
      </c>
      <c r="AD785" s="25" t="str">
        <f t="shared" ca="1" si="26"/>
        <v>&gt;60 dias</v>
      </c>
      <c r="AE785" s="25">
        <f>MONTH(Tabela1[[#This Row],[Criado em]])</f>
        <v>8</v>
      </c>
      <c r="AF785" s="25">
        <f>YEAR(Tabela1[[#This Row],[Criado em]])</f>
        <v>2025</v>
      </c>
      <c r="AG785" s="25">
        <f>COUNTIFS(Tabela1[Mês],Tabela1[[#This Row],[Mês]])</f>
        <v>146</v>
      </c>
      <c r="AH785" s="25">
        <f>COUNTIFS(Tabela1[Mês],Tabela1[[#This Row],[Mês]],Tabela1[Fase atual],"Recebido")</f>
        <v>115</v>
      </c>
      <c r="AI785" s="26">
        <f>Tabela1[[#This Row],[Recebido_ Mes]]/Tabela1[[#This Row],[Total_Mes]]</f>
        <v>0.78767123287671237</v>
      </c>
      <c r="AJ785" s="19">
        <f>COUNTIFS(Tabela1[Fase atual],"Recebido",Tabela1[Mês],Tabela1[[#This Row],[Mês]],Tabela1[Ano],Tabela1[[#This Row],[Ano]])/COUNTIF(Tabela1[Mês],Tabela1[[#This Row],[Mês]])</f>
        <v>0.78767123287671237</v>
      </c>
      <c r="AK785" s="20">
        <f>100%</f>
        <v>1</v>
      </c>
    </row>
    <row r="786" spans="1:37" ht="18" customHeight="1" x14ac:dyDescent="0.25">
      <c r="A786">
        <v>1199604633</v>
      </c>
      <c r="B786" t="s">
        <v>1487</v>
      </c>
      <c r="C786" t="s">
        <v>1488</v>
      </c>
      <c r="D786" t="s">
        <v>784</v>
      </c>
      <c r="E786" t="s">
        <v>31</v>
      </c>
      <c r="F786" s="2">
        <v>45890.851232141213</v>
      </c>
      <c r="AC786" s="24">
        <f t="shared" ca="1" si="25"/>
        <v>243.14876785878732</v>
      </c>
      <c r="AD786" s="25" t="str">
        <f t="shared" ca="1" si="26"/>
        <v>&gt;60 dias</v>
      </c>
      <c r="AE786" s="25">
        <f>MONTH(Tabela1[[#This Row],[Criado em]])</f>
        <v>8</v>
      </c>
      <c r="AF786" s="25">
        <f>YEAR(Tabela1[[#This Row],[Criado em]])</f>
        <v>2025</v>
      </c>
      <c r="AG786" s="25">
        <f>COUNTIFS(Tabela1[Mês],Tabela1[[#This Row],[Mês]])</f>
        <v>146</v>
      </c>
      <c r="AH786" s="25">
        <f>COUNTIFS(Tabela1[Mês],Tabela1[[#This Row],[Mês]],Tabela1[Fase atual],"Recebido")</f>
        <v>115</v>
      </c>
      <c r="AI786" s="26">
        <f>Tabela1[[#This Row],[Recebido_ Mes]]/Tabela1[[#This Row],[Total_Mes]]</f>
        <v>0.78767123287671237</v>
      </c>
      <c r="AJ786" s="19">
        <f>COUNTIFS(Tabela1[Fase atual],"Recebido",Tabela1[Mês],Tabela1[[#This Row],[Mês]],Tabela1[Ano],Tabela1[[#This Row],[Ano]])/COUNTIF(Tabela1[Mês],Tabela1[[#This Row],[Mês]])</f>
        <v>0.78767123287671237</v>
      </c>
      <c r="AK786" s="20">
        <f>100%</f>
        <v>1</v>
      </c>
    </row>
    <row r="787" spans="1:37" ht="18" customHeight="1" x14ac:dyDescent="0.25">
      <c r="A787">
        <v>1194447050</v>
      </c>
      <c r="B787" t="s">
        <v>38</v>
      </c>
      <c r="C787" t="s">
        <v>1489</v>
      </c>
      <c r="D787" t="s">
        <v>37</v>
      </c>
      <c r="E787" t="s">
        <v>31</v>
      </c>
      <c r="F787" s="2">
        <v>45882.642840671288</v>
      </c>
      <c r="AC787" s="24">
        <f t="shared" ca="1" si="25"/>
        <v>251.35715932871244</v>
      </c>
      <c r="AD787" s="25" t="str">
        <f t="shared" ca="1" si="26"/>
        <v>&gt;60 dias</v>
      </c>
      <c r="AE787" s="25">
        <f>MONTH(Tabela1[[#This Row],[Criado em]])</f>
        <v>8</v>
      </c>
      <c r="AF787" s="25">
        <f>YEAR(Tabela1[[#This Row],[Criado em]])</f>
        <v>2025</v>
      </c>
      <c r="AG787" s="25">
        <f>COUNTIFS(Tabela1[Mês],Tabela1[[#This Row],[Mês]])</f>
        <v>146</v>
      </c>
      <c r="AH787" s="25">
        <f>COUNTIFS(Tabela1[Mês],Tabela1[[#This Row],[Mês]],Tabela1[Fase atual],"Recebido")</f>
        <v>115</v>
      </c>
      <c r="AI787" s="26">
        <f>Tabela1[[#This Row],[Recebido_ Mes]]/Tabela1[[#This Row],[Total_Mes]]</f>
        <v>0.78767123287671237</v>
      </c>
      <c r="AJ787" s="19">
        <f>COUNTIFS(Tabela1[Fase atual],"Recebido",Tabela1[Mês],Tabela1[[#This Row],[Mês]],Tabela1[Ano],Tabela1[[#This Row],[Ano]])/COUNTIF(Tabela1[Mês],Tabela1[[#This Row],[Mês]])</f>
        <v>0.78767123287671237</v>
      </c>
      <c r="AK787" s="20">
        <f>100%</f>
        <v>1</v>
      </c>
    </row>
    <row r="788" spans="1:37" ht="18" customHeight="1" x14ac:dyDescent="0.25">
      <c r="A788">
        <v>1211815849</v>
      </c>
      <c r="B788" t="s">
        <v>38</v>
      </c>
      <c r="C788" t="s">
        <v>1489</v>
      </c>
      <c r="D788" t="s">
        <v>37</v>
      </c>
      <c r="E788" t="s">
        <v>31</v>
      </c>
      <c r="F788" s="2">
        <v>45910.64267296296</v>
      </c>
      <c r="AC788" s="24">
        <f t="shared" ca="1" si="25"/>
        <v>223.35732703703979</v>
      </c>
      <c r="AD788" s="25" t="str">
        <f t="shared" ca="1" si="26"/>
        <v>&gt;60 dias</v>
      </c>
      <c r="AE788" s="25">
        <f>MONTH(Tabela1[[#This Row],[Criado em]])</f>
        <v>9</v>
      </c>
      <c r="AF788" s="25">
        <f>YEAR(Tabela1[[#This Row],[Criado em]])</f>
        <v>2025</v>
      </c>
      <c r="AG788" s="25">
        <f>COUNTIFS(Tabela1[Mês],Tabela1[[#This Row],[Mês]])</f>
        <v>197</v>
      </c>
      <c r="AH788" s="25">
        <f>COUNTIFS(Tabela1[Mês],Tabela1[[#This Row],[Mês]],Tabela1[Fase atual],"Recebido")</f>
        <v>152</v>
      </c>
      <c r="AI788" s="26">
        <f>Tabela1[[#This Row],[Recebido_ Mes]]/Tabela1[[#This Row],[Total_Mes]]</f>
        <v>0.77157360406091369</v>
      </c>
      <c r="AJ788" s="19">
        <f>COUNTIFS(Tabela1[Fase atual],"Recebido",Tabela1[Mês],Tabela1[[#This Row],[Mês]],Tabela1[Ano],Tabela1[[#This Row],[Ano]])/COUNTIF(Tabela1[Mês],Tabela1[[#This Row],[Mês]])</f>
        <v>0.77157360406091369</v>
      </c>
      <c r="AK788" s="20">
        <f>100%</f>
        <v>1</v>
      </c>
    </row>
    <row r="789" spans="1:37" ht="18" customHeight="1" x14ac:dyDescent="0.25">
      <c r="A789">
        <v>1226769964</v>
      </c>
      <c r="B789" t="s">
        <v>1490</v>
      </c>
      <c r="C789" t="s">
        <v>1491</v>
      </c>
      <c r="D789" t="s">
        <v>37</v>
      </c>
      <c r="E789" t="s">
        <v>31</v>
      </c>
      <c r="F789" s="2">
        <v>45933.642658379627</v>
      </c>
      <c r="AC789" s="24">
        <f t="shared" ca="1" si="25"/>
        <v>200.35734162037261</v>
      </c>
      <c r="AD789" s="25" t="str">
        <f t="shared" ca="1" si="26"/>
        <v>&gt;60 dias</v>
      </c>
      <c r="AE789" s="25">
        <f>MONTH(Tabela1[[#This Row],[Criado em]])</f>
        <v>10</v>
      </c>
      <c r="AF789" s="25">
        <f>YEAR(Tabela1[[#This Row],[Criado em]])</f>
        <v>2025</v>
      </c>
      <c r="AG789" s="25">
        <f>COUNTIFS(Tabela1[Mês],Tabela1[[#This Row],[Mês]])</f>
        <v>196</v>
      </c>
      <c r="AH789" s="25">
        <f>COUNTIFS(Tabela1[Mês],Tabela1[[#This Row],[Mês]],Tabela1[Fase atual],"Recebido")</f>
        <v>138</v>
      </c>
      <c r="AI789" s="26">
        <f>Tabela1[[#This Row],[Recebido_ Mes]]/Tabela1[[#This Row],[Total_Mes]]</f>
        <v>0.70408163265306123</v>
      </c>
      <c r="AJ789" s="19">
        <f>COUNTIFS(Tabela1[Fase atual],"Recebido",Tabela1[Mês],Tabela1[[#This Row],[Mês]],Tabela1[Ano],Tabela1[[#This Row],[Ano]])/COUNTIF(Tabela1[Mês],Tabela1[[#This Row],[Mês]])</f>
        <v>0.70408163265306123</v>
      </c>
      <c r="AK789" s="20">
        <f>100%</f>
        <v>1</v>
      </c>
    </row>
    <row r="790" spans="1:37" ht="18" customHeight="1" x14ac:dyDescent="0.25">
      <c r="A790">
        <v>1220840226</v>
      </c>
      <c r="B790" t="s">
        <v>1490</v>
      </c>
      <c r="C790" t="s">
        <v>1491</v>
      </c>
      <c r="D790" t="s">
        <v>37</v>
      </c>
      <c r="E790" t="s">
        <v>31</v>
      </c>
      <c r="F790" s="2">
        <v>45924.850680127318</v>
      </c>
      <c r="AC790" s="24">
        <f t="shared" ca="1" si="25"/>
        <v>209.1493198726821</v>
      </c>
      <c r="AD790" s="25" t="str">
        <f t="shared" ca="1" si="26"/>
        <v>&gt;60 dias</v>
      </c>
      <c r="AE790" s="25">
        <f>MONTH(Tabela1[[#This Row],[Criado em]])</f>
        <v>9</v>
      </c>
      <c r="AF790" s="25">
        <f>YEAR(Tabela1[[#This Row],[Criado em]])</f>
        <v>2025</v>
      </c>
      <c r="AG790" s="25">
        <f>COUNTIFS(Tabela1[Mês],Tabela1[[#This Row],[Mês]])</f>
        <v>197</v>
      </c>
      <c r="AH790" s="25">
        <f>COUNTIFS(Tabela1[Mês],Tabela1[[#This Row],[Mês]],Tabela1[Fase atual],"Recebido")</f>
        <v>152</v>
      </c>
      <c r="AI790" s="26">
        <f>Tabela1[[#This Row],[Recebido_ Mes]]/Tabela1[[#This Row],[Total_Mes]]</f>
        <v>0.77157360406091369</v>
      </c>
      <c r="AJ790" s="19">
        <f>COUNTIFS(Tabela1[Fase atual],"Recebido",Tabela1[Mês],Tabela1[[#This Row],[Mês]],Tabela1[Ano],Tabela1[[#This Row],[Ano]])/COUNTIF(Tabela1[Mês],Tabela1[[#This Row],[Mês]])</f>
        <v>0.77157360406091369</v>
      </c>
      <c r="AK790" s="20">
        <f>100%</f>
        <v>1</v>
      </c>
    </row>
    <row r="791" spans="1:37" ht="18" customHeight="1" x14ac:dyDescent="0.25">
      <c r="A791">
        <v>1250382431</v>
      </c>
      <c r="B791" t="s">
        <v>1490</v>
      </c>
      <c r="C791" t="s">
        <v>1491</v>
      </c>
      <c r="D791" t="s">
        <v>37</v>
      </c>
      <c r="E791" t="s">
        <v>31</v>
      </c>
      <c r="F791" s="2">
        <v>45966.794218888877</v>
      </c>
      <c r="AC791" s="24">
        <f t="shared" ca="1" si="25"/>
        <v>167.20578111112263</v>
      </c>
      <c r="AD791" s="25" t="str">
        <f t="shared" ca="1" si="26"/>
        <v>&gt;60 dias</v>
      </c>
      <c r="AE791" s="25">
        <f>MONTH(Tabela1[[#This Row],[Criado em]])</f>
        <v>11</v>
      </c>
      <c r="AF791" s="25">
        <f>YEAR(Tabela1[[#This Row],[Criado em]])</f>
        <v>2025</v>
      </c>
      <c r="AG791" s="25">
        <f>COUNTIFS(Tabela1[Mês],Tabela1[[#This Row],[Mês]])</f>
        <v>130</v>
      </c>
      <c r="AH791" s="25">
        <f>COUNTIFS(Tabela1[Mês],Tabela1[[#This Row],[Mês]],Tabela1[Fase atual],"Recebido")</f>
        <v>100</v>
      </c>
      <c r="AI791" s="26">
        <f>Tabela1[[#This Row],[Recebido_ Mes]]/Tabela1[[#This Row],[Total_Mes]]</f>
        <v>0.76923076923076927</v>
      </c>
      <c r="AJ791" s="19">
        <f>COUNTIFS(Tabela1[Fase atual],"Recebido",Tabela1[Mês],Tabela1[[#This Row],[Mês]],Tabela1[Ano],Tabela1[[#This Row],[Ano]])/COUNTIF(Tabela1[Mês],Tabela1[[#This Row],[Mês]])</f>
        <v>0.76923076923076927</v>
      </c>
      <c r="AK791" s="20">
        <f>100%</f>
        <v>1</v>
      </c>
    </row>
    <row r="792" spans="1:37" ht="18" customHeight="1" x14ac:dyDescent="0.25">
      <c r="A792">
        <v>1259928389</v>
      </c>
      <c r="B792" t="s">
        <v>1492</v>
      </c>
      <c r="C792" t="s">
        <v>1493</v>
      </c>
      <c r="D792" t="s">
        <v>37</v>
      </c>
      <c r="E792" t="s">
        <v>31</v>
      </c>
      <c r="F792" s="2">
        <v>45987.793902407408</v>
      </c>
      <c r="AC792" s="24">
        <f t="shared" ca="1" si="25"/>
        <v>146.20609759259241</v>
      </c>
      <c r="AD792" s="25" t="str">
        <f t="shared" ca="1" si="26"/>
        <v>&gt;60 dias</v>
      </c>
      <c r="AE792" s="25">
        <f>MONTH(Tabela1[[#This Row],[Criado em]])</f>
        <v>11</v>
      </c>
      <c r="AF792" s="25">
        <f>YEAR(Tabela1[[#This Row],[Criado em]])</f>
        <v>2025</v>
      </c>
      <c r="AG792" s="25">
        <f>COUNTIFS(Tabela1[Mês],Tabela1[[#This Row],[Mês]])</f>
        <v>130</v>
      </c>
      <c r="AH792" s="25">
        <f>COUNTIFS(Tabela1[Mês],Tabela1[[#This Row],[Mês]],Tabela1[Fase atual],"Recebido")</f>
        <v>100</v>
      </c>
      <c r="AI792" s="26">
        <f>Tabela1[[#This Row],[Recebido_ Mes]]/Tabela1[[#This Row],[Total_Mes]]</f>
        <v>0.76923076923076927</v>
      </c>
      <c r="AJ792" s="19">
        <f>COUNTIFS(Tabela1[Fase atual],"Recebido",Tabela1[Mês],Tabela1[[#This Row],[Mês]],Tabela1[Ano],Tabela1[[#This Row],[Ano]])/COUNTIF(Tabela1[Mês],Tabela1[[#This Row],[Mês]])</f>
        <v>0.76923076923076927</v>
      </c>
      <c r="AK792" s="20">
        <f>100%</f>
        <v>1</v>
      </c>
    </row>
    <row r="793" spans="1:37" ht="18" customHeight="1" x14ac:dyDescent="0.25">
      <c r="A793">
        <v>1267727620</v>
      </c>
      <c r="B793" t="s">
        <v>1492</v>
      </c>
      <c r="C793" t="s">
        <v>1493</v>
      </c>
      <c r="D793" t="s">
        <v>37</v>
      </c>
      <c r="E793" t="s">
        <v>31</v>
      </c>
      <c r="F793" s="2">
        <v>46003.79716800926</v>
      </c>
      <c r="AC793" s="24">
        <f t="shared" ca="1" si="25"/>
        <v>130.20283199074038</v>
      </c>
      <c r="AD793" s="25" t="str">
        <f t="shared" ca="1" si="26"/>
        <v>&gt;60 dias</v>
      </c>
      <c r="AE793" s="25">
        <f>MONTH(Tabela1[[#This Row],[Criado em]])</f>
        <v>12</v>
      </c>
      <c r="AF793" s="25">
        <f>YEAR(Tabela1[[#This Row],[Criado em]])</f>
        <v>2025</v>
      </c>
      <c r="AG793" s="25">
        <f>COUNTIFS(Tabela1[Mês],Tabela1[[#This Row],[Mês]])</f>
        <v>207</v>
      </c>
      <c r="AH793" s="25">
        <f>COUNTIFS(Tabela1[Mês],Tabela1[[#This Row],[Mês]],Tabela1[Fase atual],"Recebido")</f>
        <v>155</v>
      </c>
      <c r="AI793" s="26">
        <f>Tabela1[[#This Row],[Recebido_ Mes]]/Tabela1[[#This Row],[Total_Mes]]</f>
        <v>0.74879227053140096</v>
      </c>
      <c r="AJ793" s="19">
        <f>COUNTIFS(Tabela1[Fase atual],"Recebido",Tabela1[Mês],Tabela1[[#This Row],[Mês]],Tabela1[Ano],Tabela1[[#This Row],[Ano]])/COUNTIF(Tabela1[Mês],Tabela1[[#This Row],[Mês]])</f>
        <v>0.74879227053140096</v>
      </c>
      <c r="AK793" s="20">
        <f>100%</f>
        <v>1</v>
      </c>
    </row>
    <row r="794" spans="1:37" ht="18" customHeight="1" x14ac:dyDescent="0.25">
      <c r="A794">
        <v>1264758673</v>
      </c>
      <c r="B794" t="s">
        <v>1494</v>
      </c>
      <c r="C794" t="s">
        <v>1495</v>
      </c>
      <c r="D794" t="s">
        <v>40</v>
      </c>
      <c r="E794" t="s">
        <v>31</v>
      </c>
      <c r="F794" s="2">
        <v>45996.798938391214</v>
      </c>
      <c r="AC794" s="24">
        <f t="shared" ca="1" si="25"/>
        <v>137.2010616087864</v>
      </c>
      <c r="AD794" s="25" t="str">
        <f t="shared" ca="1" si="26"/>
        <v>&gt;60 dias</v>
      </c>
      <c r="AE794" s="25">
        <f>MONTH(Tabela1[[#This Row],[Criado em]])</f>
        <v>12</v>
      </c>
      <c r="AF794" s="25">
        <f>YEAR(Tabela1[[#This Row],[Criado em]])</f>
        <v>2025</v>
      </c>
      <c r="AG794" s="25">
        <f>COUNTIFS(Tabela1[Mês],Tabela1[[#This Row],[Mês]])</f>
        <v>207</v>
      </c>
      <c r="AH794" s="25">
        <f>COUNTIFS(Tabela1[Mês],Tabela1[[#This Row],[Mês]],Tabela1[Fase atual],"Recebido")</f>
        <v>155</v>
      </c>
      <c r="AI794" s="26">
        <f>Tabela1[[#This Row],[Recebido_ Mes]]/Tabela1[[#This Row],[Total_Mes]]</f>
        <v>0.74879227053140096</v>
      </c>
      <c r="AJ794" s="19">
        <f>COUNTIFS(Tabela1[Fase atual],"Recebido",Tabela1[Mês],Tabela1[[#This Row],[Mês]],Tabela1[Ano],Tabela1[[#This Row],[Ano]])/COUNTIF(Tabela1[Mês],Tabela1[[#This Row],[Mês]])</f>
        <v>0.74879227053140096</v>
      </c>
      <c r="AK794" s="20">
        <f>100%</f>
        <v>1</v>
      </c>
    </row>
    <row r="795" spans="1:37" ht="18" customHeight="1" x14ac:dyDescent="0.25">
      <c r="A795">
        <v>1307300231</v>
      </c>
      <c r="B795" t="s">
        <v>2236</v>
      </c>
      <c r="C795" t="s">
        <v>2237</v>
      </c>
      <c r="D795" t="s">
        <v>2179</v>
      </c>
      <c r="E795" t="s">
        <v>31</v>
      </c>
      <c r="F795" s="2">
        <v>46083.794112719908</v>
      </c>
      <c r="AC795" s="24">
        <f t="shared" ca="1" si="25"/>
        <v>50.205887280091702</v>
      </c>
      <c r="AD795" s="25" t="str">
        <f t="shared" ca="1" si="26"/>
        <v>31-60 dias</v>
      </c>
      <c r="AE795" s="25">
        <f>MONTH(Tabela1[[#This Row],[Criado em]])</f>
        <v>3</v>
      </c>
      <c r="AF795" s="25">
        <f>YEAR(Tabela1[[#This Row],[Criado em]])</f>
        <v>2026</v>
      </c>
      <c r="AG795" s="25">
        <f>COUNTIFS(Tabela1[Mês],Tabela1[[#This Row],[Mês]])</f>
        <v>62</v>
      </c>
      <c r="AH795" s="25">
        <f>COUNTIFS(Tabela1[Mês],Tabela1[[#This Row],[Mês]],Tabela1[Fase atual],"Recebido")</f>
        <v>13</v>
      </c>
      <c r="AI795" s="26">
        <f>Tabela1[[#This Row],[Recebido_ Mes]]/Tabela1[[#This Row],[Total_Mes]]</f>
        <v>0.20967741935483872</v>
      </c>
      <c r="AJ795" s="19">
        <f>COUNTIFS(Tabela1[Fase atual],"Recebido",Tabela1[Mês],Tabela1[[#This Row],[Mês]],Tabela1[Ano],Tabela1[[#This Row],[Ano]])/COUNTIF(Tabela1[Mês],Tabela1[[#This Row],[Mês]])</f>
        <v>0.20967741935483872</v>
      </c>
      <c r="AK795" s="20">
        <f>100%</f>
        <v>1</v>
      </c>
    </row>
    <row r="796" spans="1:37" ht="18" customHeight="1" x14ac:dyDescent="0.25">
      <c r="A796">
        <v>1307009644</v>
      </c>
      <c r="B796" t="s">
        <v>2238</v>
      </c>
      <c r="C796" t="s">
        <v>2239</v>
      </c>
      <c r="D796" t="s">
        <v>37</v>
      </c>
      <c r="E796" t="s">
        <v>31</v>
      </c>
      <c r="F796" s="2">
        <v>46083.545404537042</v>
      </c>
      <c r="AC796" s="24">
        <f t="shared" ca="1" si="25"/>
        <v>50.454595462957514</v>
      </c>
      <c r="AD796" s="25" t="str">
        <f t="shared" ca="1" si="26"/>
        <v>31-60 dias</v>
      </c>
      <c r="AE796" s="25">
        <f>MONTH(Tabela1[[#This Row],[Criado em]])</f>
        <v>3</v>
      </c>
      <c r="AF796" s="25">
        <f>YEAR(Tabela1[[#This Row],[Criado em]])</f>
        <v>2026</v>
      </c>
      <c r="AG796" s="25">
        <f>COUNTIFS(Tabela1[Mês],Tabela1[[#This Row],[Mês]])</f>
        <v>62</v>
      </c>
      <c r="AH796" s="25">
        <f>COUNTIFS(Tabela1[Mês],Tabela1[[#This Row],[Mês]],Tabela1[Fase atual],"Recebido")</f>
        <v>13</v>
      </c>
      <c r="AI796" s="26">
        <f>Tabela1[[#This Row],[Recebido_ Mes]]/Tabela1[[#This Row],[Total_Mes]]</f>
        <v>0.20967741935483872</v>
      </c>
      <c r="AJ796" s="19">
        <f>COUNTIFS(Tabela1[Fase atual],"Recebido",Tabela1[Mês],Tabela1[[#This Row],[Mês]],Tabela1[Ano],Tabela1[[#This Row],[Ano]])/COUNTIF(Tabela1[Mês],Tabela1[[#This Row],[Mês]])</f>
        <v>0.20967741935483872</v>
      </c>
      <c r="AK796" s="20">
        <f>100%</f>
        <v>1</v>
      </c>
    </row>
    <row r="797" spans="1:37" ht="18" customHeight="1" x14ac:dyDescent="0.25">
      <c r="A797">
        <v>1266785270</v>
      </c>
      <c r="B797" t="s">
        <v>349</v>
      </c>
      <c r="C797" t="s">
        <v>1496</v>
      </c>
      <c r="D797" t="s">
        <v>37</v>
      </c>
      <c r="E797" t="s">
        <v>31</v>
      </c>
      <c r="F797" s="2">
        <v>46001.921996342593</v>
      </c>
      <c r="AC797" s="24">
        <f t="shared" ca="1" si="25"/>
        <v>132.07800365740695</v>
      </c>
      <c r="AD797" s="25" t="str">
        <f t="shared" ca="1" si="26"/>
        <v>&gt;60 dias</v>
      </c>
      <c r="AE797" s="25">
        <f>MONTH(Tabela1[[#This Row],[Criado em]])</f>
        <v>12</v>
      </c>
      <c r="AF797" s="25">
        <f>YEAR(Tabela1[[#This Row],[Criado em]])</f>
        <v>2025</v>
      </c>
      <c r="AG797" s="25">
        <f>COUNTIFS(Tabela1[Mês],Tabela1[[#This Row],[Mês]])</f>
        <v>207</v>
      </c>
      <c r="AH797" s="25">
        <f>COUNTIFS(Tabela1[Mês],Tabela1[[#This Row],[Mês]],Tabela1[Fase atual],"Recebido")</f>
        <v>155</v>
      </c>
      <c r="AI797" s="26">
        <f>Tabela1[[#This Row],[Recebido_ Mes]]/Tabela1[[#This Row],[Total_Mes]]</f>
        <v>0.74879227053140096</v>
      </c>
      <c r="AJ797" s="19">
        <f>COUNTIFS(Tabela1[Fase atual],"Recebido",Tabela1[Mês],Tabela1[[#This Row],[Mês]],Tabela1[Ano],Tabela1[[#This Row],[Ano]])/COUNTIF(Tabela1[Mês],Tabela1[[#This Row],[Mês]])</f>
        <v>0.74879227053140096</v>
      </c>
      <c r="AK797" s="20">
        <f>100%</f>
        <v>1</v>
      </c>
    </row>
    <row r="798" spans="1:37" ht="18" customHeight="1" x14ac:dyDescent="0.25">
      <c r="A798">
        <v>1277616439</v>
      </c>
      <c r="B798" t="s">
        <v>349</v>
      </c>
      <c r="C798" t="s">
        <v>350</v>
      </c>
      <c r="D798" t="s">
        <v>37</v>
      </c>
      <c r="E798" t="s">
        <v>31</v>
      </c>
      <c r="F798" s="2">
        <v>46028.793717789347</v>
      </c>
      <c r="AC798" s="24">
        <f t="shared" ca="1" si="25"/>
        <v>105.20628221065272</v>
      </c>
      <c r="AD798" s="25" t="str">
        <f t="shared" ca="1" si="26"/>
        <v>&gt;60 dias</v>
      </c>
      <c r="AE798" s="25">
        <f>MONTH(Tabela1[[#This Row],[Criado em]])</f>
        <v>1</v>
      </c>
      <c r="AF798" s="25">
        <f>YEAR(Tabela1[[#This Row],[Criado em]])</f>
        <v>2026</v>
      </c>
      <c r="AG798" s="25">
        <f>COUNTIFS(Tabela1[Mês],Tabela1[[#This Row],[Mês]])</f>
        <v>222</v>
      </c>
      <c r="AH798" s="25">
        <f>COUNTIFS(Tabela1[Mês],Tabela1[[#This Row],[Mês]],Tabela1[Fase atual],"Recebido")</f>
        <v>174</v>
      </c>
      <c r="AI798" s="26">
        <f>Tabela1[[#This Row],[Recebido_ Mes]]/Tabela1[[#This Row],[Total_Mes]]</f>
        <v>0.78378378378378377</v>
      </c>
      <c r="AJ798" s="19">
        <f>COUNTIFS(Tabela1[Fase atual],"Recebido",Tabela1[Mês],Tabela1[[#This Row],[Mês]],Tabela1[Ano],Tabela1[[#This Row],[Ano]])/COUNTIF(Tabela1[Mês],Tabela1[[#This Row],[Mês]])</f>
        <v>0.78378378378378377</v>
      </c>
      <c r="AK798" s="20">
        <f>100%</f>
        <v>1</v>
      </c>
    </row>
    <row r="799" spans="1:37" ht="18" customHeight="1" x14ac:dyDescent="0.25">
      <c r="A799">
        <v>1179014444</v>
      </c>
      <c r="B799" t="s">
        <v>1497</v>
      </c>
      <c r="C799" t="s">
        <v>1498</v>
      </c>
      <c r="D799" t="s">
        <v>37</v>
      </c>
      <c r="E799" t="s">
        <v>31</v>
      </c>
      <c r="F799" s="2">
        <v>45856.84992177083</v>
      </c>
      <c r="AC799" s="24">
        <f t="shared" ca="1" si="25"/>
        <v>277.15007822916959</v>
      </c>
      <c r="AD799" s="25" t="str">
        <f t="shared" ca="1" si="26"/>
        <v>&gt;60 dias</v>
      </c>
      <c r="AE799" s="25">
        <f>MONTH(Tabela1[[#This Row],[Criado em]])</f>
        <v>7</v>
      </c>
      <c r="AF799" s="25">
        <f>YEAR(Tabela1[[#This Row],[Criado em]])</f>
        <v>2025</v>
      </c>
      <c r="AG799" s="25">
        <f>COUNTIFS(Tabela1[Mês],Tabela1[[#This Row],[Mês]])</f>
        <v>177</v>
      </c>
      <c r="AH799" s="25">
        <f>COUNTIFS(Tabela1[Mês],Tabela1[[#This Row],[Mês]],Tabela1[Fase atual],"Recebido")</f>
        <v>130</v>
      </c>
      <c r="AI799" s="26">
        <f>Tabela1[[#This Row],[Recebido_ Mes]]/Tabela1[[#This Row],[Total_Mes]]</f>
        <v>0.7344632768361582</v>
      </c>
      <c r="AJ799" s="19">
        <f>COUNTIFS(Tabela1[Fase atual],"Recebido",Tabela1[Mês],Tabela1[[#This Row],[Mês]],Tabela1[Ano],Tabela1[[#This Row],[Ano]])/COUNTIF(Tabela1[Mês],Tabela1[[#This Row],[Mês]])</f>
        <v>0.7344632768361582</v>
      </c>
      <c r="AK799" s="20">
        <f>100%</f>
        <v>1</v>
      </c>
    </row>
    <row r="800" spans="1:37" ht="18" customHeight="1" x14ac:dyDescent="0.25">
      <c r="A800">
        <v>1307211319</v>
      </c>
      <c r="B800" t="s">
        <v>351</v>
      </c>
      <c r="C800" t="s">
        <v>352</v>
      </c>
      <c r="D800" t="s">
        <v>37</v>
      </c>
      <c r="E800" t="s">
        <v>31</v>
      </c>
      <c r="F800" s="2">
        <v>46083.722184618062</v>
      </c>
      <c r="AC800" s="24">
        <f t="shared" ca="1" si="25"/>
        <v>50.277815381938126</v>
      </c>
      <c r="AD800" s="25" t="str">
        <f t="shared" ca="1" si="26"/>
        <v>31-60 dias</v>
      </c>
      <c r="AE800" s="25">
        <f>MONTH(Tabela1[[#This Row],[Criado em]])</f>
        <v>3</v>
      </c>
      <c r="AF800" s="25">
        <f>YEAR(Tabela1[[#This Row],[Criado em]])</f>
        <v>2026</v>
      </c>
      <c r="AG800" s="25">
        <f>COUNTIFS(Tabela1[Mês],Tabela1[[#This Row],[Mês]])</f>
        <v>62</v>
      </c>
      <c r="AH800" s="25">
        <f>COUNTIFS(Tabela1[Mês],Tabela1[[#This Row],[Mês]],Tabela1[Fase atual],"Recebido")</f>
        <v>13</v>
      </c>
      <c r="AI800" s="26">
        <f>Tabela1[[#This Row],[Recebido_ Mes]]/Tabela1[[#This Row],[Total_Mes]]</f>
        <v>0.20967741935483872</v>
      </c>
      <c r="AJ800" s="19">
        <f>COUNTIFS(Tabela1[Fase atual],"Recebido",Tabela1[Mês],Tabela1[[#This Row],[Mês]],Tabela1[Ano],Tabela1[[#This Row],[Ano]])/COUNTIF(Tabela1[Mês],Tabela1[[#This Row],[Mês]])</f>
        <v>0.20967741935483872</v>
      </c>
      <c r="AK800" s="20">
        <f>100%</f>
        <v>1</v>
      </c>
    </row>
    <row r="801" spans="1:37" ht="18" customHeight="1" x14ac:dyDescent="0.25">
      <c r="A801">
        <v>1292714437</v>
      </c>
      <c r="B801" t="s">
        <v>351</v>
      </c>
      <c r="C801" t="s">
        <v>352</v>
      </c>
      <c r="D801" t="s">
        <v>37</v>
      </c>
      <c r="E801" t="s">
        <v>31</v>
      </c>
      <c r="F801" s="2">
        <v>46056.847734270843</v>
      </c>
      <c r="AC801" s="24">
        <f t="shared" ca="1" si="25"/>
        <v>77.152265729157079</v>
      </c>
      <c r="AD801" s="25" t="str">
        <f t="shared" ca="1" si="26"/>
        <v>&gt;60 dias</v>
      </c>
      <c r="AE801" s="25">
        <f>MONTH(Tabela1[[#This Row],[Criado em]])</f>
        <v>2</v>
      </c>
      <c r="AF801" s="25">
        <f>YEAR(Tabela1[[#This Row],[Criado em]])</f>
        <v>2026</v>
      </c>
      <c r="AG801" s="25">
        <f>COUNTIFS(Tabela1[Mês],Tabela1[[#This Row],[Mês]])</f>
        <v>197</v>
      </c>
      <c r="AH801" s="25">
        <f>COUNTIFS(Tabela1[Mês],Tabela1[[#This Row],[Mês]],Tabela1[Fase atual],"Recebido")</f>
        <v>124</v>
      </c>
      <c r="AI801" s="26">
        <f>Tabela1[[#This Row],[Recebido_ Mes]]/Tabela1[[#This Row],[Total_Mes]]</f>
        <v>0.62944162436548223</v>
      </c>
      <c r="AJ801" s="19">
        <f>COUNTIFS(Tabela1[Fase atual],"Recebido",Tabela1[Mês],Tabela1[[#This Row],[Mês]],Tabela1[Ano],Tabela1[[#This Row],[Ano]])/COUNTIF(Tabela1[Mês],Tabela1[[#This Row],[Mês]])</f>
        <v>0.62944162436548223</v>
      </c>
      <c r="AK801" s="20">
        <f>100%</f>
        <v>1</v>
      </c>
    </row>
    <row r="802" spans="1:37" ht="18" customHeight="1" x14ac:dyDescent="0.25">
      <c r="A802">
        <v>1296887699</v>
      </c>
      <c r="B802" t="s">
        <v>351</v>
      </c>
      <c r="C802" t="s">
        <v>353</v>
      </c>
      <c r="D802" t="s">
        <v>37</v>
      </c>
      <c r="E802" t="s">
        <v>31</v>
      </c>
      <c r="F802" s="2">
        <v>46065.628053935186</v>
      </c>
      <c r="AC802" s="24">
        <f t="shared" ca="1" si="25"/>
        <v>68.371946064813528</v>
      </c>
      <c r="AD802" s="25" t="str">
        <f t="shared" ca="1" si="26"/>
        <v>&gt;60 dias</v>
      </c>
      <c r="AE802" s="25">
        <f>MONTH(Tabela1[[#This Row],[Criado em]])</f>
        <v>2</v>
      </c>
      <c r="AF802" s="25">
        <f>YEAR(Tabela1[[#This Row],[Criado em]])</f>
        <v>2026</v>
      </c>
      <c r="AG802" s="25">
        <f>COUNTIFS(Tabela1[Mês],Tabela1[[#This Row],[Mês]])</f>
        <v>197</v>
      </c>
      <c r="AH802" s="25">
        <f>COUNTIFS(Tabela1[Mês],Tabela1[[#This Row],[Mês]],Tabela1[Fase atual],"Recebido")</f>
        <v>124</v>
      </c>
      <c r="AI802" s="26">
        <f>Tabela1[[#This Row],[Recebido_ Mes]]/Tabela1[[#This Row],[Total_Mes]]</f>
        <v>0.62944162436548223</v>
      </c>
      <c r="AJ802" s="19">
        <f>COUNTIFS(Tabela1[Fase atual],"Recebido",Tabela1[Mês],Tabela1[[#This Row],[Mês]],Tabela1[Ano],Tabela1[[#This Row],[Ano]])/COUNTIF(Tabela1[Mês],Tabela1[[#This Row],[Mês]])</f>
        <v>0.62944162436548223</v>
      </c>
      <c r="AK802" s="20">
        <f>100%</f>
        <v>1</v>
      </c>
    </row>
    <row r="803" spans="1:37" ht="18" customHeight="1" x14ac:dyDescent="0.25">
      <c r="A803">
        <v>1281897977</v>
      </c>
      <c r="B803" t="s">
        <v>351</v>
      </c>
      <c r="C803" t="s">
        <v>352</v>
      </c>
      <c r="D803" t="s">
        <v>37</v>
      </c>
      <c r="E803" t="s">
        <v>31</v>
      </c>
      <c r="F803" s="2">
        <v>46036.7943337037</v>
      </c>
      <c r="AC803" s="24">
        <f t="shared" ca="1" si="25"/>
        <v>97.205666296300478</v>
      </c>
      <c r="AD803" s="25" t="str">
        <f t="shared" ca="1" si="26"/>
        <v>&gt;60 dias</v>
      </c>
      <c r="AE803" s="25">
        <f>MONTH(Tabela1[[#This Row],[Criado em]])</f>
        <v>1</v>
      </c>
      <c r="AF803" s="25">
        <f>YEAR(Tabela1[[#This Row],[Criado em]])</f>
        <v>2026</v>
      </c>
      <c r="AG803" s="25">
        <f>COUNTIFS(Tabela1[Mês],Tabela1[[#This Row],[Mês]])</f>
        <v>222</v>
      </c>
      <c r="AH803" s="25">
        <f>COUNTIFS(Tabela1[Mês],Tabela1[[#This Row],[Mês]],Tabela1[Fase atual],"Recebido")</f>
        <v>174</v>
      </c>
      <c r="AI803" s="26">
        <f>Tabela1[[#This Row],[Recebido_ Mes]]/Tabela1[[#This Row],[Total_Mes]]</f>
        <v>0.78378378378378377</v>
      </c>
      <c r="AJ803" s="19">
        <f>COUNTIFS(Tabela1[Fase atual],"Recebido",Tabela1[Mês],Tabela1[[#This Row],[Mês]],Tabela1[Ano],Tabela1[[#This Row],[Ano]])/COUNTIF(Tabela1[Mês],Tabela1[[#This Row],[Mês]])</f>
        <v>0.78378378378378377</v>
      </c>
      <c r="AK803" s="20">
        <f>100%</f>
        <v>1</v>
      </c>
    </row>
    <row r="804" spans="1:37" ht="18" customHeight="1" x14ac:dyDescent="0.25">
      <c r="A804">
        <v>1290961714</v>
      </c>
      <c r="B804" t="s">
        <v>351</v>
      </c>
      <c r="C804" t="s">
        <v>353</v>
      </c>
      <c r="D804" t="s">
        <v>37</v>
      </c>
      <c r="E804" t="s">
        <v>31</v>
      </c>
      <c r="F804" s="2">
        <v>46052.627590601864</v>
      </c>
      <c r="AC804" s="24">
        <f t="shared" ca="1" si="25"/>
        <v>81.372409398136369</v>
      </c>
      <c r="AD804" s="25" t="str">
        <f t="shared" ca="1" si="26"/>
        <v>&gt;60 dias</v>
      </c>
      <c r="AE804" s="25">
        <f>MONTH(Tabela1[[#This Row],[Criado em]])</f>
        <v>1</v>
      </c>
      <c r="AF804" s="25">
        <f>YEAR(Tabela1[[#This Row],[Criado em]])</f>
        <v>2026</v>
      </c>
      <c r="AG804" s="25">
        <f>COUNTIFS(Tabela1[Mês],Tabela1[[#This Row],[Mês]])</f>
        <v>222</v>
      </c>
      <c r="AH804" s="25">
        <f>COUNTIFS(Tabela1[Mês],Tabela1[[#This Row],[Mês]],Tabela1[Fase atual],"Recebido")</f>
        <v>174</v>
      </c>
      <c r="AI804" s="26">
        <f>Tabela1[[#This Row],[Recebido_ Mes]]/Tabela1[[#This Row],[Total_Mes]]</f>
        <v>0.78378378378378377</v>
      </c>
      <c r="AJ804" s="19">
        <f>COUNTIFS(Tabela1[Fase atual],"Recebido",Tabela1[Mês],Tabela1[[#This Row],[Mês]],Tabela1[Ano],Tabela1[[#This Row],[Ano]])/COUNTIF(Tabela1[Mês],Tabela1[[#This Row],[Mês]])</f>
        <v>0.78378378378378377</v>
      </c>
      <c r="AK804" s="20">
        <f>100%</f>
        <v>1</v>
      </c>
    </row>
    <row r="805" spans="1:37" ht="18" customHeight="1" x14ac:dyDescent="0.25">
      <c r="A805">
        <v>1301481069</v>
      </c>
      <c r="B805" t="s">
        <v>354</v>
      </c>
      <c r="C805" t="s">
        <v>355</v>
      </c>
      <c r="D805" t="s">
        <v>37</v>
      </c>
      <c r="E805" t="s">
        <v>31</v>
      </c>
      <c r="F805" s="2">
        <v>46076.629854155093</v>
      </c>
      <c r="AC805" s="24">
        <f t="shared" ca="1" si="25"/>
        <v>57.370145844906801</v>
      </c>
      <c r="AD805" s="25" t="str">
        <f t="shared" ca="1" si="26"/>
        <v>31-60 dias</v>
      </c>
      <c r="AE805" s="25">
        <f>MONTH(Tabela1[[#This Row],[Criado em]])</f>
        <v>2</v>
      </c>
      <c r="AF805" s="25">
        <f>YEAR(Tabela1[[#This Row],[Criado em]])</f>
        <v>2026</v>
      </c>
      <c r="AG805" s="25">
        <f>COUNTIFS(Tabela1[Mês],Tabela1[[#This Row],[Mês]])</f>
        <v>197</v>
      </c>
      <c r="AH805" s="25">
        <f>COUNTIFS(Tabela1[Mês],Tabela1[[#This Row],[Mês]],Tabela1[Fase atual],"Recebido")</f>
        <v>124</v>
      </c>
      <c r="AI805" s="26">
        <f>Tabela1[[#This Row],[Recebido_ Mes]]/Tabela1[[#This Row],[Total_Mes]]</f>
        <v>0.62944162436548223</v>
      </c>
      <c r="AJ805" s="19">
        <f>COUNTIFS(Tabela1[Fase atual],"Recebido",Tabela1[Mês],Tabela1[[#This Row],[Mês]],Tabela1[Ano],Tabela1[[#This Row],[Ano]])/COUNTIF(Tabela1[Mês],Tabela1[[#This Row],[Mês]])</f>
        <v>0.62944162436548223</v>
      </c>
      <c r="AK805" s="20">
        <f>100%</f>
        <v>1</v>
      </c>
    </row>
    <row r="806" spans="1:37" ht="18" customHeight="1" x14ac:dyDescent="0.25">
      <c r="A806">
        <v>1217109553</v>
      </c>
      <c r="B806" t="s">
        <v>1499</v>
      </c>
      <c r="C806" t="s">
        <v>1500</v>
      </c>
      <c r="D806" t="s">
        <v>37</v>
      </c>
      <c r="E806" t="s">
        <v>31</v>
      </c>
      <c r="F806" s="2">
        <v>45919.533729444447</v>
      </c>
      <c r="AC806" s="24">
        <f t="shared" ca="1" si="25"/>
        <v>214.46627055555291</v>
      </c>
      <c r="AD806" s="25" t="str">
        <f t="shared" ca="1" si="26"/>
        <v>&gt;60 dias</v>
      </c>
      <c r="AE806" s="25">
        <f>MONTH(Tabela1[[#This Row],[Criado em]])</f>
        <v>9</v>
      </c>
      <c r="AF806" s="25">
        <f>YEAR(Tabela1[[#This Row],[Criado em]])</f>
        <v>2025</v>
      </c>
      <c r="AG806" s="25">
        <f>COUNTIFS(Tabela1[Mês],Tabela1[[#This Row],[Mês]])</f>
        <v>197</v>
      </c>
      <c r="AH806" s="25">
        <f>COUNTIFS(Tabela1[Mês],Tabela1[[#This Row],[Mês]],Tabela1[Fase atual],"Recebido")</f>
        <v>152</v>
      </c>
      <c r="AI806" s="26">
        <f>Tabela1[[#This Row],[Recebido_ Mes]]/Tabela1[[#This Row],[Total_Mes]]</f>
        <v>0.77157360406091369</v>
      </c>
      <c r="AJ806" s="19">
        <f>COUNTIFS(Tabela1[Fase atual],"Recebido",Tabela1[Mês],Tabela1[[#This Row],[Mês]],Tabela1[Ano],Tabela1[[#This Row],[Ano]])/COUNTIF(Tabela1[Mês],Tabela1[[#This Row],[Mês]])</f>
        <v>0.77157360406091369</v>
      </c>
      <c r="AK806" s="20">
        <f>100%</f>
        <v>1</v>
      </c>
    </row>
    <row r="807" spans="1:37" ht="18" customHeight="1" x14ac:dyDescent="0.25">
      <c r="A807">
        <v>1208156572</v>
      </c>
      <c r="B807" t="s">
        <v>1501</v>
      </c>
      <c r="C807" t="s">
        <v>1502</v>
      </c>
      <c r="D807" t="s">
        <v>37</v>
      </c>
      <c r="E807" t="s">
        <v>31</v>
      </c>
      <c r="F807" s="2">
        <v>45904.643828067128</v>
      </c>
      <c r="AC807" s="24">
        <f t="shared" ca="1" si="25"/>
        <v>229.3561719328718</v>
      </c>
      <c r="AD807" s="25" t="str">
        <f t="shared" ca="1" si="26"/>
        <v>&gt;60 dias</v>
      </c>
      <c r="AE807" s="25">
        <f>MONTH(Tabela1[[#This Row],[Criado em]])</f>
        <v>9</v>
      </c>
      <c r="AF807" s="25">
        <f>YEAR(Tabela1[[#This Row],[Criado em]])</f>
        <v>2025</v>
      </c>
      <c r="AG807" s="25">
        <f>COUNTIFS(Tabela1[Mês],Tabela1[[#This Row],[Mês]])</f>
        <v>197</v>
      </c>
      <c r="AH807" s="25">
        <f>COUNTIFS(Tabela1[Mês],Tabela1[[#This Row],[Mês]],Tabela1[Fase atual],"Recebido")</f>
        <v>152</v>
      </c>
      <c r="AI807" s="26">
        <f>Tabela1[[#This Row],[Recebido_ Mes]]/Tabela1[[#This Row],[Total_Mes]]</f>
        <v>0.77157360406091369</v>
      </c>
      <c r="AJ807" s="19">
        <f>COUNTIFS(Tabela1[Fase atual],"Recebido",Tabela1[Mês],Tabela1[[#This Row],[Mês]],Tabela1[Ano],Tabela1[[#This Row],[Ano]])/COUNTIF(Tabela1[Mês],Tabela1[[#This Row],[Mês]])</f>
        <v>0.77157360406091369</v>
      </c>
      <c r="AK807" s="20">
        <f>100%</f>
        <v>1</v>
      </c>
    </row>
    <row r="808" spans="1:37" ht="18" customHeight="1" x14ac:dyDescent="0.25">
      <c r="A808">
        <v>1288047576</v>
      </c>
      <c r="B808" t="s">
        <v>356</v>
      </c>
      <c r="C808" t="s">
        <v>357</v>
      </c>
      <c r="D808" t="s">
        <v>37</v>
      </c>
      <c r="E808" t="s">
        <v>31</v>
      </c>
      <c r="F808" s="2">
        <v>46048.546465277766</v>
      </c>
      <c r="AC808" s="24">
        <f t="shared" ca="1" si="25"/>
        <v>85.453534722233599</v>
      </c>
      <c r="AD808" s="25" t="str">
        <f t="shared" ca="1" si="26"/>
        <v>&gt;60 dias</v>
      </c>
      <c r="AE808" s="25">
        <f>MONTH(Tabela1[[#This Row],[Criado em]])</f>
        <v>1</v>
      </c>
      <c r="AF808" s="25">
        <f>YEAR(Tabela1[[#This Row],[Criado em]])</f>
        <v>2026</v>
      </c>
      <c r="AG808" s="25">
        <f>COUNTIFS(Tabela1[Mês],Tabela1[[#This Row],[Mês]])</f>
        <v>222</v>
      </c>
      <c r="AH808" s="25">
        <f>COUNTIFS(Tabela1[Mês],Tabela1[[#This Row],[Mês]],Tabela1[Fase atual],"Recebido")</f>
        <v>174</v>
      </c>
      <c r="AI808" s="26">
        <f>Tabela1[[#This Row],[Recebido_ Mes]]/Tabela1[[#This Row],[Total_Mes]]</f>
        <v>0.78378378378378377</v>
      </c>
      <c r="AJ808" s="19">
        <f>COUNTIFS(Tabela1[Fase atual],"Recebido",Tabela1[Mês],Tabela1[[#This Row],[Mês]],Tabela1[Ano],Tabela1[[#This Row],[Ano]])/COUNTIF(Tabela1[Mês],Tabela1[[#This Row],[Mês]])</f>
        <v>0.78378378378378377</v>
      </c>
      <c r="AK808" s="20">
        <f>100%</f>
        <v>1</v>
      </c>
    </row>
    <row r="809" spans="1:37" ht="18" customHeight="1" x14ac:dyDescent="0.25">
      <c r="A809">
        <v>1206100367</v>
      </c>
      <c r="B809" t="s">
        <v>358</v>
      </c>
      <c r="C809" t="s">
        <v>1503</v>
      </c>
      <c r="D809" t="s">
        <v>40</v>
      </c>
      <c r="E809" t="s">
        <v>31</v>
      </c>
      <c r="F809" s="2">
        <v>45901.850930486107</v>
      </c>
      <c r="AC809" s="24">
        <f t="shared" ca="1" si="25"/>
        <v>232.14906951389275</v>
      </c>
      <c r="AD809" s="25" t="str">
        <f t="shared" ca="1" si="26"/>
        <v>&gt;60 dias</v>
      </c>
      <c r="AE809" s="25">
        <f>MONTH(Tabela1[[#This Row],[Criado em]])</f>
        <v>9</v>
      </c>
      <c r="AF809" s="25">
        <f>YEAR(Tabela1[[#This Row],[Criado em]])</f>
        <v>2025</v>
      </c>
      <c r="AG809" s="25">
        <f>COUNTIFS(Tabela1[Mês],Tabela1[[#This Row],[Mês]])</f>
        <v>197</v>
      </c>
      <c r="AH809" s="25">
        <f>COUNTIFS(Tabela1[Mês],Tabela1[[#This Row],[Mês]],Tabela1[Fase atual],"Recebido")</f>
        <v>152</v>
      </c>
      <c r="AI809" s="26">
        <f>Tabela1[[#This Row],[Recebido_ Mes]]/Tabela1[[#This Row],[Total_Mes]]</f>
        <v>0.77157360406091369</v>
      </c>
      <c r="AJ809" s="19">
        <f>COUNTIFS(Tabela1[Fase atual],"Recebido",Tabela1[Mês],Tabela1[[#This Row],[Mês]],Tabela1[Ano],Tabela1[[#This Row],[Ano]])/COUNTIF(Tabela1[Mês],Tabela1[[#This Row],[Mês]])</f>
        <v>0.77157360406091369</v>
      </c>
      <c r="AK809" s="20">
        <f>100%</f>
        <v>1</v>
      </c>
    </row>
    <row r="810" spans="1:37" ht="18" customHeight="1" x14ac:dyDescent="0.25">
      <c r="A810">
        <v>1193243973</v>
      </c>
      <c r="B810" t="s">
        <v>358</v>
      </c>
      <c r="C810" t="s">
        <v>1504</v>
      </c>
      <c r="D810" t="s">
        <v>37</v>
      </c>
      <c r="E810" t="s">
        <v>31</v>
      </c>
      <c r="F810" s="2">
        <v>45880.808096562498</v>
      </c>
      <c r="AC810" s="24">
        <f t="shared" ca="1" si="25"/>
        <v>253.19190343750233</v>
      </c>
      <c r="AD810" s="25" t="str">
        <f t="shared" ca="1" si="26"/>
        <v>&gt;60 dias</v>
      </c>
      <c r="AE810" s="25">
        <f>MONTH(Tabela1[[#This Row],[Criado em]])</f>
        <v>8</v>
      </c>
      <c r="AF810" s="25">
        <f>YEAR(Tabela1[[#This Row],[Criado em]])</f>
        <v>2025</v>
      </c>
      <c r="AG810" s="25">
        <f>COUNTIFS(Tabela1[Mês],Tabela1[[#This Row],[Mês]])</f>
        <v>146</v>
      </c>
      <c r="AH810" s="25">
        <f>COUNTIFS(Tabela1[Mês],Tabela1[[#This Row],[Mês]],Tabela1[Fase atual],"Recebido")</f>
        <v>115</v>
      </c>
      <c r="AI810" s="26">
        <f>Tabela1[[#This Row],[Recebido_ Mes]]/Tabela1[[#This Row],[Total_Mes]]</f>
        <v>0.78767123287671237</v>
      </c>
      <c r="AJ810" s="19">
        <f>COUNTIFS(Tabela1[Fase atual],"Recebido",Tabela1[Mês],Tabela1[[#This Row],[Mês]],Tabela1[Ano],Tabela1[[#This Row],[Ano]])/COUNTIF(Tabela1[Mês],Tabela1[[#This Row],[Mês]])</f>
        <v>0.78767123287671237</v>
      </c>
      <c r="AK810" s="20">
        <f>100%</f>
        <v>1</v>
      </c>
    </row>
    <row r="811" spans="1:37" ht="18" customHeight="1" x14ac:dyDescent="0.25">
      <c r="A811">
        <v>1288941490</v>
      </c>
      <c r="B811" t="s">
        <v>358</v>
      </c>
      <c r="C811" t="s">
        <v>359</v>
      </c>
      <c r="D811" t="s">
        <v>37</v>
      </c>
      <c r="E811" t="s">
        <v>31</v>
      </c>
      <c r="F811" s="2">
        <v>46049.794400347222</v>
      </c>
      <c r="AC811" s="24">
        <f t="shared" ca="1" si="25"/>
        <v>84.205599652777892</v>
      </c>
      <c r="AD811" s="25" t="str">
        <f t="shared" ca="1" si="26"/>
        <v>&gt;60 dias</v>
      </c>
      <c r="AE811" s="25">
        <f>MONTH(Tabela1[[#This Row],[Criado em]])</f>
        <v>1</v>
      </c>
      <c r="AF811" s="25">
        <f>YEAR(Tabela1[[#This Row],[Criado em]])</f>
        <v>2026</v>
      </c>
      <c r="AG811" s="25">
        <f>COUNTIFS(Tabela1[Mês],Tabela1[[#This Row],[Mês]])</f>
        <v>222</v>
      </c>
      <c r="AH811" s="25">
        <f>COUNTIFS(Tabela1[Mês],Tabela1[[#This Row],[Mês]],Tabela1[Fase atual],"Recebido")</f>
        <v>174</v>
      </c>
      <c r="AI811" s="26">
        <f>Tabela1[[#This Row],[Recebido_ Mes]]/Tabela1[[#This Row],[Total_Mes]]</f>
        <v>0.78378378378378377</v>
      </c>
      <c r="AJ811" s="19">
        <f>COUNTIFS(Tabela1[Fase atual],"Recebido",Tabela1[Mês],Tabela1[[#This Row],[Mês]],Tabela1[Ano],Tabela1[[#This Row],[Ano]])/COUNTIF(Tabela1[Mês],Tabela1[[#This Row],[Mês]])</f>
        <v>0.78378378378378377</v>
      </c>
      <c r="AK811" s="20">
        <f>100%</f>
        <v>1</v>
      </c>
    </row>
    <row r="812" spans="1:37" ht="18" customHeight="1" x14ac:dyDescent="0.25">
      <c r="A812">
        <v>1193243705</v>
      </c>
      <c r="B812" t="s">
        <v>358</v>
      </c>
      <c r="C812" t="s">
        <v>1504</v>
      </c>
      <c r="D812" t="s">
        <v>37</v>
      </c>
      <c r="E812" t="s">
        <v>31</v>
      </c>
      <c r="F812" s="2">
        <v>45880.807879513894</v>
      </c>
      <c r="AC812" s="24">
        <f t="shared" ca="1" si="25"/>
        <v>253.19212048610643</v>
      </c>
      <c r="AD812" s="25" t="str">
        <f t="shared" ca="1" si="26"/>
        <v>&gt;60 dias</v>
      </c>
      <c r="AE812" s="25">
        <f>MONTH(Tabela1[[#This Row],[Criado em]])</f>
        <v>8</v>
      </c>
      <c r="AF812" s="25">
        <f>YEAR(Tabela1[[#This Row],[Criado em]])</f>
        <v>2025</v>
      </c>
      <c r="AG812" s="25">
        <f>COUNTIFS(Tabela1[Mês],Tabela1[[#This Row],[Mês]])</f>
        <v>146</v>
      </c>
      <c r="AH812" s="25">
        <f>COUNTIFS(Tabela1[Mês],Tabela1[[#This Row],[Mês]],Tabela1[Fase atual],"Recebido")</f>
        <v>115</v>
      </c>
      <c r="AI812" s="26">
        <f>Tabela1[[#This Row],[Recebido_ Mes]]/Tabela1[[#This Row],[Total_Mes]]</f>
        <v>0.78767123287671237</v>
      </c>
      <c r="AJ812" s="19">
        <f>COUNTIFS(Tabela1[Fase atual],"Recebido",Tabela1[Mês],Tabela1[[#This Row],[Mês]],Tabela1[Ano],Tabela1[[#This Row],[Ano]])/COUNTIF(Tabela1[Mês],Tabela1[[#This Row],[Mês]])</f>
        <v>0.78767123287671237</v>
      </c>
      <c r="AK812" s="20">
        <f>100%</f>
        <v>1</v>
      </c>
    </row>
    <row r="813" spans="1:37" ht="18" customHeight="1" x14ac:dyDescent="0.25">
      <c r="A813">
        <v>1189845226</v>
      </c>
      <c r="B813" t="s">
        <v>1505</v>
      </c>
      <c r="C813" t="s">
        <v>1506</v>
      </c>
      <c r="D813" t="s">
        <v>37</v>
      </c>
      <c r="E813" t="s">
        <v>31</v>
      </c>
      <c r="F813" s="2">
        <v>45875.850777800923</v>
      </c>
      <c r="AC813" s="24">
        <f t="shared" ca="1" si="25"/>
        <v>258.14922219907749</v>
      </c>
      <c r="AD813" s="25" t="str">
        <f t="shared" ca="1" si="26"/>
        <v>&gt;60 dias</v>
      </c>
      <c r="AE813" s="25">
        <f>MONTH(Tabela1[[#This Row],[Criado em]])</f>
        <v>8</v>
      </c>
      <c r="AF813" s="25">
        <f>YEAR(Tabela1[[#This Row],[Criado em]])</f>
        <v>2025</v>
      </c>
      <c r="AG813" s="25">
        <f>COUNTIFS(Tabela1[Mês],Tabela1[[#This Row],[Mês]])</f>
        <v>146</v>
      </c>
      <c r="AH813" s="25">
        <f>COUNTIFS(Tabela1[Mês],Tabela1[[#This Row],[Mês]],Tabela1[Fase atual],"Recebido")</f>
        <v>115</v>
      </c>
      <c r="AI813" s="26">
        <f>Tabela1[[#This Row],[Recebido_ Mes]]/Tabela1[[#This Row],[Total_Mes]]</f>
        <v>0.78767123287671237</v>
      </c>
      <c r="AJ813" s="19">
        <f>COUNTIFS(Tabela1[Fase atual],"Recebido",Tabela1[Mês],Tabela1[[#This Row],[Mês]],Tabela1[Ano],Tabela1[[#This Row],[Ano]])/COUNTIF(Tabela1[Mês],Tabela1[[#This Row],[Mês]])</f>
        <v>0.78767123287671237</v>
      </c>
      <c r="AK813" s="20">
        <f>100%</f>
        <v>1</v>
      </c>
    </row>
    <row r="814" spans="1:37" ht="18" customHeight="1" x14ac:dyDescent="0.25">
      <c r="A814">
        <v>1309289021</v>
      </c>
      <c r="B814" t="s">
        <v>71</v>
      </c>
      <c r="C814" t="s">
        <v>2240</v>
      </c>
      <c r="D814" t="s">
        <v>2179</v>
      </c>
      <c r="E814" t="s">
        <v>31</v>
      </c>
      <c r="F814" s="2">
        <v>46085.795706307857</v>
      </c>
      <c r="AC814" s="24">
        <f t="shared" ca="1" si="25"/>
        <v>48.204293692142528</v>
      </c>
      <c r="AD814" s="25" t="str">
        <f t="shared" ca="1" si="26"/>
        <v>31-60 dias</v>
      </c>
      <c r="AE814" s="25">
        <f>MONTH(Tabela1[[#This Row],[Criado em]])</f>
        <v>3</v>
      </c>
      <c r="AF814" s="25">
        <f>YEAR(Tabela1[[#This Row],[Criado em]])</f>
        <v>2026</v>
      </c>
      <c r="AG814" s="25">
        <f>COUNTIFS(Tabela1[Mês],Tabela1[[#This Row],[Mês]])</f>
        <v>62</v>
      </c>
      <c r="AH814" s="25">
        <f>COUNTIFS(Tabela1[Mês],Tabela1[[#This Row],[Mês]],Tabela1[Fase atual],"Recebido")</f>
        <v>13</v>
      </c>
      <c r="AI814" s="26">
        <f>Tabela1[[#This Row],[Recebido_ Mes]]/Tabela1[[#This Row],[Total_Mes]]</f>
        <v>0.20967741935483872</v>
      </c>
      <c r="AJ814" s="19">
        <f>COUNTIFS(Tabela1[Fase atual],"Recebido",Tabela1[Mês],Tabela1[[#This Row],[Mês]],Tabela1[Ano],Tabela1[[#This Row],[Ano]])/COUNTIF(Tabela1[Mês],Tabela1[[#This Row],[Mês]])</f>
        <v>0.20967741935483872</v>
      </c>
      <c r="AK814" s="20">
        <f>100%</f>
        <v>1</v>
      </c>
    </row>
    <row r="815" spans="1:37" ht="18" customHeight="1" x14ac:dyDescent="0.25">
      <c r="A815">
        <v>1222690397</v>
      </c>
      <c r="B815" t="s">
        <v>71</v>
      </c>
      <c r="C815" t="s">
        <v>1507</v>
      </c>
      <c r="D815" t="s">
        <v>37</v>
      </c>
      <c r="E815" t="s">
        <v>31</v>
      </c>
      <c r="F815" s="2">
        <v>45927.642821412039</v>
      </c>
      <c r="AC815" s="24">
        <f t="shared" ca="1" si="25"/>
        <v>206.35717858796124</v>
      </c>
      <c r="AD815" s="25" t="str">
        <f t="shared" ca="1" si="26"/>
        <v>&gt;60 dias</v>
      </c>
      <c r="AE815" s="25">
        <f>MONTH(Tabela1[[#This Row],[Criado em]])</f>
        <v>9</v>
      </c>
      <c r="AF815" s="25">
        <f>YEAR(Tabela1[[#This Row],[Criado em]])</f>
        <v>2025</v>
      </c>
      <c r="AG815" s="25">
        <f>COUNTIFS(Tabela1[Mês],Tabela1[[#This Row],[Mês]])</f>
        <v>197</v>
      </c>
      <c r="AH815" s="25">
        <f>COUNTIFS(Tabela1[Mês],Tabela1[[#This Row],[Mês]],Tabela1[Fase atual],"Recebido")</f>
        <v>152</v>
      </c>
      <c r="AI815" s="26">
        <f>Tabela1[[#This Row],[Recebido_ Mes]]/Tabela1[[#This Row],[Total_Mes]]</f>
        <v>0.77157360406091369</v>
      </c>
      <c r="AJ815" s="19">
        <f>COUNTIFS(Tabela1[Fase atual],"Recebido",Tabela1[Mês],Tabela1[[#This Row],[Mês]],Tabela1[Ano],Tabela1[[#This Row],[Ano]])/COUNTIF(Tabela1[Mês],Tabela1[[#This Row],[Mês]])</f>
        <v>0.77157360406091369</v>
      </c>
      <c r="AK815" s="20">
        <f>100%</f>
        <v>1</v>
      </c>
    </row>
    <row r="816" spans="1:37" ht="18" customHeight="1" x14ac:dyDescent="0.25">
      <c r="A816">
        <v>1282443719</v>
      </c>
      <c r="B816" t="s">
        <v>360</v>
      </c>
      <c r="C816" t="s">
        <v>361</v>
      </c>
      <c r="D816" t="s">
        <v>37</v>
      </c>
      <c r="E816" t="s">
        <v>31</v>
      </c>
      <c r="F816" s="2">
        <v>46037.79870521991</v>
      </c>
      <c r="AC816" s="24">
        <f t="shared" ca="1" si="25"/>
        <v>96.201294780090393</v>
      </c>
      <c r="AD816" s="25" t="str">
        <f t="shared" ca="1" si="26"/>
        <v>&gt;60 dias</v>
      </c>
      <c r="AE816" s="25">
        <f>MONTH(Tabela1[[#This Row],[Criado em]])</f>
        <v>1</v>
      </c>
      <c r="AF816" s="25">
        <f>YEAR(Tabela1[[#This Row],[Criado em]])</f>
        <v>2026</v>
      </c>
      <c r="AG816" s="25">
        <f>COUNTIFS(Tabela1[Mês],Tabela1[[#This Row],[Mês]])</f>
        <v>222</v>
      </c>
      <c r="AH816" s="25">
        <f>COUNTIFS(Tabela1[Mês],Tabela1[[#This Row],[Mês]],Tabela1[Fase atual],"Recebido")</f>
        <v>174</v>
      </c>
      <c r="AI816" s="26">
        <f>Tabela1[[#This Row],[Recebido_ Mes]]/Tabela1[[#This Row],[Total_Mes]]</f>
        <v>0.78378378378378377</v>
      </c>
      <c r="AJ816" s="19">
        <f>COUNTIFS(Tabela1[Fase atual],"Recebido",Tabela1[Mês],Tabela1[[#This Row],[Mês]],Tabela1[Ano],Tabela1[[#This Row],[Ano]])/COUNTIF(Tabela1[Mês],Tabela1[[#This Row],[Mês]])</f>
        <v>0.78378378378378377</v>
      </c>
      <c r="AK816" s="20">
        <f>100%</f>
        <v>1</v>
      </c>
    </row>
    <row r="817" spans="1:37" ht="18" customHeight="1" x14ac:dyDescent="0.25">
      <c r="A817">
        <v>1207809976</v>
      </c>
      <c r="B817" t="s">
        <v>756</v>
      </c>
      <c r="C817" t="s">
        <v>1508</v>
      </c>
      <c r="D817" t="s">
        <v>37</v>
      </c>
      <c r="E817" t="s">
        <v>31</v>
      </c>
      <c r="F817" s="2">
        <v>45904.01724591435</v>
      </c>
      <c r="AC817" s="24">
        <f t="shared" ca="1" si="25"/>
        <v>229.9827540856495</v>
      </c>
      <c r="AD817" s="25" t="str">
        <f t="shared" ca="1" si="26"/>
        <v>&gt;60 dias</v>
      </c>
      <c r="AE817" s="25">
        <f>MONTH(Tabela1[[#This Row],[Criado em]])</f>
        <v>9</v>
      </c>
      <c r="AF817" s="25">
        <f>YEAR(Tabela1[[#This Row],[Criado em]])</f>
        <v>2025</v>
      </c>
      <c r="AG817" s="25">
        <f>COUNTIFS(Tabela1[Mês],Tabela1[[#This Row],[Mês]])</f>
        <v>197</v>
      </c>
      <c r="AH817" s="25">
        <f>COUNTIFS(Tabela1[Mês],Tabela1[[#This Row],[Mês]],Tabela1[Fase atual],"Recebido")</f>
        <v>152</v>
      </c>
      <c r="AI817" s="26">
        <f>Tabela1[[#This Row],[Recebido_ Mes]]/Tabela1[[#This Row],[Total_Mes]]</f>
        <v>0.77157360406091369</v>
      </c>
      <c r="AJ817" s="19">
        <f>COUNTIFS(Tabela1[Fase atual],"Recebido",Tabela1[Mês],Tabela1[[#This Row],[Mês]],Tabela1[Ano],Tabela1[[#This Row],[Ano]])/COUNTIF(Tabela1[Mês],Tabela1[[#This Row],[Mês]])</f>
        <v>0.77157360406091369</v>
      </c>
      <c r="AK817" s="20">
        <f>100%</f>
        <v>1</v>
      </c>
    </row>
    <row r="818" spans="1:37" ht="18" customHeight="1" x14ac:dyDescent="0.25">
      <c r="A818">
        <v>1211447845</v>
      </c>
      <c r="B818" t="s">
        <v>756</v>
      </c>
      <c r="C818" t="s">
        <v>1508</v>
      </c>
      <c r="D818" t="s">
        <v>37</v>
      </c>
      <c r="E818" t="s">
        <v>31</v>
      </c>
      <c r="F818" s="2">
        <v>45910.017684664359</v>
      </c>
      <c r="AC818" s="24">
        <f t="shared" ca="1" si="25"/>
        <v>223.98231533564103</v>
      </c>
      <c r="AD818" s="25" t="str">
        <f t="shared" ca="1" si="26"/>
        <v>&gt;60 dias</v>
      </c>
      <c r="AE818" s="25">
        <f>MONTH(Tabela1[[#This Row],[Criado em]])</f>
        <v>9</v>
      </c>
      <c r="AF818" s="25">
        <f>YEAR(Tabela1[[#This Row],[Criado em]])</f>
        <v>2025</v>
      </c>
      <c r="AG818" s="25">
        <f>COUNTIFS(Tabela1[Mês],Tabela1[[#This Row],[Mês]])</f>
        <v>197</v>
      </c>
      <c r="AH818" s="25">
        <f>COUNTIFS(Tabela1[Mês],Tabela1[[#This Row],[Mês]],Tabela1[Fase atual],"Recebido")</f>
        <v>152</v>
      </c>
      <c r="AI818" s="26">
        <f>Tabela1[[#This Row],[Recebido_ Mes]]/Tabela1[[#This Row],[Total_Mes]]</f>
        <v>0.77157360406091369</v>
      </c>
      <c r="AJ818" s="19">
        <f>COUNTIFS(Tabela1[Fase atual],"Recebido",Tabela1[Mês],Tabela1[[#This Row],[Mês]],Tabela1[Ano],Tabela1[[#This Row],[Ano]])/COUNTIF(Tabela1[Mês],Tabela1[[#This Row],[Mês]])</f>
        <v>0.77157360406091369</v>
      </c>
      <c r="AK818" s="20">
        <f>100%</f>
        <v>1</v>
      </c>
    </row>
    <row r="819" spans="1:37" ht="18" customHeight="1" x14ac:dyDescent="0.25">
      <c r="A819">
        <v>1296528326</v>
      </c>
      <c r="B819" t="s">
        <v>362</v>
      </c>
      <c r="C819" t="s">
        <v>363</v>
      </c>
      <c r="D819" t="s">
        <v>34</v>
      </c>
      <c r="E819" t="s">
        <v>31</v>
      </c>
      <c r="F819" s="2">
        <v>46064.796120636573</v>
      </c>
      <c r="AC819" s="24">
        <f t="shared" ca="1" si="25"/>
        <v>69.203879363427404</v>
      </c>
      <c r="AD819" s="25" t="str">
        <f t="shared" ca="1" si="26"/>
        <v>&gt;60 dias</v>
      </c>
      <c r="AE819" s="25">
        <f>MONTH(Tabela1[[#This Row],[Criado em]])</f>
        <v>2</v>
      </c>
      <c r="AF819" s="25">
        <f>YEAR(Tabela1[[#This Row],[Criado em]])</f>
        <v>2026</v>
      </c>
      <c r="AG819" s="25">
        <f>COUNTIFS(Tabela1[Mês],Tabela1[[#This Row],[Mês]])</f>
        <v>197</v>
      </c>
      <c r="AH819" s="25">
        <f>COUNTIFS(Tabela1[Mês],Tabela1[[#This Row],[Mês]],Tabela1[Fase atual],"Recebido")</f>
        <v>124</v>
      </c>
      <c r="AI819" s="26">
        <f>Tabela1[[#This Row],[Recebido_ Mes]]/Tabela1[[#This Row],[Total_Mes]]</f>
        <v>0.62944162436548223</v>
      </c>
      <c r="AJ819" s="19">
        <f>COUNTIFS(Tabela1[Fase atual],"Recebido",Tabela1[Mês],Tabela1[[#This Row],[Mês]],Tabela1[Ano],Tabela1[[#This Row],[Ano]])/COUNTIF(Tabela1[Mês],Tabela1[[#This Row],[Mês]])</f>
        <v>0.62944162436548223</v>
      </c>
      <c r="AK819" s="20">
        <f>100%</f>
        <v>1</v>
      </c>
    </row>
    <row r="820" spans="1:37" ht="18" customHeight="1" x14ac:dyDescent="0.25">
      <c r="A820">
        <v>1307989430</v>
      </c>
      <c r="B820" t="s">
        <v>2241</v>
      </c>
      <c r="C820" t="s">
        <v>2242</v>
      </c>
      <c r="D820" t="s">
        <v>2179</v>
      </c>
      <c r="E820" t="s">
        <v>31</v>
      </c>
      <c r="F820" s="2">
        <v>46084.501071284722</v>
      </c>
      <c r="AC820" s="24">
        <f t="shared" ca="1" si="25"/>
        <v>49.498928715278453</v>
      </c>
      <c r="AD820" s="25" t="str">
        <f t="shared" ca="1" si="26"/>
        <v>31-60 dias</v>
      </c>
      <c r="AE820" s="25">
        <f>MONTH(Tabela1[[#This Row],[Criado em]])</f>
        <v>3</v>
      </c>
      <c r="AF820" s="25">
        <f>YEAR(Tabela1[[#This Row],[Criado em]])</f>
        <v>2026</v>
      </c>
      <c r="AG820" s="25">
        <f>COUNTIFS(Tabela1[Mês],Tabela1[[#This Row],[Mês]])</f>
        <v>62</v>
      </c>
      <c r="AH820" s="25">
        <f>COUNTIFS(Tabela1[Mês],Tabela1[[#This Row],[Mês]],Tabela1[Fase atual],"Recebido")</f>
        <v>13</v>
      </c>
      <c r="AI820" s="26">
        <f>Tabela1[[#This Row],[Recebido_ Mes]]/Tabela1[[#This Row],[Total_Mes]]</f>
        <v>0.20967741935483872</v>
      </c>
      <c r="AJ820" s="19">
        <f>COUNTIFS(Tabela1[Fase atual],"Recebido",Tabela1[Mês],Tabela1[[#This Row],[Mês]],Tabela1[Ano],Tabela1[[#This Row],[Ano]])/COUNTIF(Tabela1[Mês],Tabela1[[#This Row],[Mês]])</f>
        <v>0.20967741935483872</v>
      </c>
      <c r="AK820" s="20">
        <f>100%</f>
        <v>1</v>
      </c>
    </row>
    <row r="821" spans="1:37" ht="18" customHeight="1" x14ac:dyDescent="0.25">
      <c r="A821">
        <v>1267727058</v>
      </c>
      <c r="B821" t="s">
        <v>364</v>
      </c>
      <c r="C821" t="s">
        <v>1509</v>
      </c>
      <c r="D821" t="s">
        <v>40</v>
      </c>
      <c r="E821" t="s">
        <v>31</v>
      </c>
      <c r="F821" s="2">
        <v>46003.796601435177</v>
      </c>
      <c r="AC821" s="24">
        <f t="shared" ca="1" si="25"/>
        <v>130.20339856482315</v>
      </c>
      <c r="AD821" s="25" t="str">
        <f t="shared" ca="1" si="26"/>
        <v>&gt;60 dias</v>
      </c>
      <c r="AE821" s="25">
        <f>MONTH(Tabela1[[#This Row],[Criado em]])</f>
        <v>12</v>
      </c>
      <c r="AF821" s="25">
        <f>YEAR(Tabela1[[#This Row],[Criado em]])</f>
        <v>2025</v>
      </c>
      <c r="AG821" s="25">
        <f>COUNTIFS(Tabela1[Mês],Tabela1[[#This Row],[Mês]])</f>
        <v>207</v>
      </c>
      <c r="AH821" s="25">
        <f>COUNTIFS(Tabela1[Mês],Tabela1[[#This Row],[Mês]],Tabela1[Fase atual],"Recebido")</f>
        <v>155</v>
      </c>
      <c r="AI821" s="26">
        <f>Tabela1[[#This Row],[Recebido_ Mes]]/Tabela1[[#This Row],[Total_Mes]]</f>
        <v>0.74879227053140096</v>
      </c>
      <c r="AJ821" s="19">
        <f>COUNTIFS(Tabela1[Fase atual],"Recebido",Tabela1[Mês],Tabela1[[#This Row],[Mês]],Tabela1[Ano],Tabela1[[#This Row],[Ano]])/COUNTIF(Tabela1[Mês],Tabela1[[#This Row],[Mês]])</f>
        <v>0.74879227053140096</v>
      </c>
      <c r="AK821" s="20">
        <f>100%</f>
        <v>1</v>
      </c>
    </row>
    <row r="822" spans="1:37" ht="18" customHeight="1" x14ac:dyDescent="0.25">
      <c r="A822">
        <v>1276682594</v>
      </c>
      <c r="B822" t="s">
        <v>364</v>
      </c>
      <c r="C822" t="s">
        <v>365</v>
      </c>
      <c r="D822" t="s">
        <v>40</v>
      </c>
      <c r="E822" t="s">
        <v>31</v>
      </c>
      <c r="F822" s="2">
        <v>46027.920126874997</v>
      </c>
      <c r="AC822" s="24">
        <f t="shared" ca="1" si="25"/>
        <v>106.07987312500336</v>
      </c>
      <c r="AD822" s="25" t="str">
        <f t="shared" ca="1" si="26"/>
        <v>&gt;60 dias</v>
      </c>
      <c r="AE822" s="25">
        <f>MONTH(Tabela1[[#This Row],[Criado em]])</f>
        <v>1</v>
      </c>
      <c r="AF822" s="25">
        <f>YEAR(Tabela1[[#This Row],[Criado em]])</f>
        <v>2026</v>
      </c>
      <c r="AG822" s="25">
        <f>COUNTIFS(Tabela1[Mês],Tabela1[[#This Row],[Mês]])</f>
        <v>222</v>
      </c>
      <c r="AH822" s="25">
        <f>COUNTIFS(Tabela1[Mês],Tabela1[[#This Row],[Mês]],Tabela1[Fase atual],"Recebido")</f>
        <v>174</v>
      </c>
      <c r="AI822" s="26">
        <f>Tabela1[[#This Row],[Recebido_ Mes]]/Tabela1[[#This Row],[Total_Mes]]</f>
        <v>0.78378378378378377</v>
      </c>
      <c r="AJ822" s="19">
        <f>COUNTIFS(Tabela1[Fase atual],"Recebido",Tabela1[Mês],Tabela1[[#This Row],[Mês]],Tabela1[Ano],Tabela1[[#This Row],[Ano]])/COUNTIF(Tabela1[Mês],Tabela1[[#This Row],[Mês]])</f>
        <v>0.78378378378378377</v>
      </c>
      <c r="AK822" s="20">
        <f>100%</f>
        <v>1</v>
      </c>
    </row>
    <row r="823" spans="1:37" ht="18" customHeight="1" x14ac:dyDescent="0.25">
      <c r="A823">
        <v>1257960566</v>
      </c>
      <c r="B823" t="s">
        <v>1510</v>
      </c>
      <c r="C823" t="s">
        <v>1511</v>
      </c>
      <c r="D823" t="s">
        <v>40</v>
      </c>
      <c r="E823" t="s">
        <v>31</v>
      </c>
      <c r="F823" s="2">
        <v>45982.79586460648</v>
      </c>
      <c r="AC823" s="24">
        <f t="shared" ca="1" si="25"/>
        <v>151.20413539352012</v>
      </c>
      <c r="AD823" s="25" t="str">
        <f t="shared" ca="1" si="26"/>
        <v>&gt;60 dias</v>
      </c>
      <c r="AE823" s="25">
        <f>MONTH(Tabela1[[#This Row],[Criado em]])</f>
        <v>11</v>
      </c>
      <c r="AF823" s="25">
        <f>YEAR(Tabela1[[#This Row],[Criado em]])</f>
        <v>2025</v>
      </c>
      <c r="AG823" s="25">
        <f>COUNTIFS(Tabela1[Mês],Tabela1[[#This Row],[Mês]])</f>
        <v>130</v>
      </c>
      <c r="AH823" s="25">
        <f>COUNTIFS(Tabela1[Mês],Tabela1[[#This Row],[Mês]],Tabela1[Fase atual],"Recebido")</f>
        <v>100</v>
      </c>
      <c r="AI823" s="26">
        <f>Tabela1[[#This Row],[Recebido_ Mes]]/Tabela1[[#This Row],[Total_Mes]]</f>
        <v>0.76923076923076927</v>
      </c>
      <c r="AJ823" s="19">
        <f>COUNTIFS(Tabela1[Fase atual],"Recebido",Tabela1[Mês],Tabela1[[#This Row],[Mês]],Tabela1[Ano],Tabela1[[#This Row],[Ano]])/COUNTIF(Tabela1[Mês],Tabela1[[#This Row],[Mês]])</f>
        <v>0.76923076923076927</v>
      </c>
      <c r="AK823" s="20">
        <f>100%</f>
        <v>1</v>
      </c>
    </row>
    <row r="824" spans="1:37" ht="18" customHeight="1" x14ac:dyDescent="0.25">
      <c r="A824">
        <v>1285960668</v>
      </c>
      <c r="B824" t="s">
        <v>366</v>
      </c>
      <c r="C824" t="s">
        <v>367</v>
      </c>
      <c r="D824" t="s">
        <v>40</v>
      </c>
      <c r="E824" t="s">
        <v>31</v>
      </c>
      <c r="F824" s="2">
        <v>46044.793716030093</v>
      </c>
      <c r="AC824" s="24">
        <f t="shared" ca="1" si="25"/>
        <v>89.206283969906508</v>
      </c>
      <c r="AD824" s="25" t="str">
        <f t="shared" ca="1" si="26"/>
        <v>&gt;60 dias</v>
      </c>
      <c r="AE824" s="25">
        <f>MONTH(Tabela1[[#This Row],[Criado em]])</f>
        <v>1</v>
      </c>
      <c r="AF824" s="25">
        <f>YEAR(Tabela1[[#This Row],[Criado em]])</f>
        <v>2026</v>
      </c>
      <c r="AG824" s="25">
        <f>COUNTIFS(Tabela1[Mês],Tabela1[[#This Row],[Mês]])</f>
        <v>222</v>
      </c>
      <c r="AH824" s="25">
        <f>COUNTIFS(Tabela1[Mês],Tabela1[[#This Row],[Mês]],Tabela1[Fase atual],"Recebido")</f>
        <v>174</v>
      </c>
      <c r="AI824" s="26">
        <f>Tabela1[[#This Row],[Recebido_ Mes]]/Tabela1[[#This Row],[Total_Mes]]</f>
        <v>0.78378378378378377</v>
      </c>
      <c r="AJ824" s="19">
        <f>COUNTIFS(Tabela1[Fase atual],"Recebido",Tabela1[Mês],Tabela1[[#This Row],[Mês]],Tabela1[Ano],Tabela1[[#This Row],[Ano]])/COUNTIF(Tabela1[Mês],Tabela1[[#This Row],[Mês]])</f>
        <v>0.78378378378378377</v>
      </c>
      <c r="AK824" s="20">
        <f>100%</f>
        <v>1</v>
      </c>
    </row>
    <row r="825" spans="1:37" ht="18" customHeight="1" x14ac:dyDescent="0.25">
      <c r="A825">
        <v>1265514365</v>
      </c>
      <c r="B825" t="s">
        <v>1512</v>
      </c>
      <c r="C825" t="s">
        <v>1513</v>
      </c>
      <c r="D825" t="s">
        <v>37</v>
      </c>
      <c r="E825" t="s">
        <v>31</v>
      </c>
      <c r="F825" s="2">
        <v>45999.798076342588</v>
      </c>
      <c r="AC825" s="24">
        <f t="shared" ca="1" si="25"/>
        <v>134.20192365741241</v>
      </c>
      <c r="AD825" s="25" t="str">
        <f t="shared" ca="1" si="26"/>
        <v>&gt;60 dias</v>
      </c>
      <c r="AE825" s="25">
        <f>MONTH(Tabela1[[#This Row],[Criado em]])</f>
        <v>12</v>
      </c>
      <c r="AF825" s="25">
        <f>YEAR(Tabela1[[#This Row],[Criado em]])</f>
        <v>2025</v>
      </c>
      <c r="AG825" s="25">
        <f>COUNTIFS(Tabela1[Mês],Tabela1[[#This Row],[Mês]])</f>
        <v>207</v>
      </c>
      <c r="AH825" s="25">
        <f>COUNTIFS(Tabela1[Mês],Tabela1[[#This Row],[Mês]],Tabela1[Fase atual],"Recebido")</f>
        <v>155</v>
      </c>
      <c r="AI825" s="26">
        <f>Tabela1[[#This Row],[Recebido_ Mes]]/Tabela1[[#This Row],[Total_Mes]]</f>
        <v>0.74879227053140096</v>
      </c>
      <c r="AJ825" s="19">
        <f>COUNTIFS(Tabela1[Fase atual],"Recebido",Tabela1[Mês],Tabela1[[#This Row],[Mês]],Tabela1[Ano],Tabela1[[#This Row],[Ano]])/COUNTIF(Tabela1[Mês],Tabela1[[#This Row],[Mês]])</f>
        <v>0.74879227053140096</v>
      </c>
      <c r="AK825" s="20">
        <f>100%</f>
        <v>1</v>
      </c>
    </row>
    <row r="826" spans="1:37" ht="18" customHeight="1" x14ac:dyDescent="0.25">
      <c r="A826">
        <v>1273327508</v>
      </c>
      <c r="B826" t="s">
        <v>1514</v>
      </c>
      <c r="C826" t="s">
        <v>1515</v>
      </c>
      <c r="D826" t="s">
        <v>37</v>
      </c>
      <c r="E826" t="s">
        <v>31</v>
      </c>
      <c r="F826" s="2">
        <v>46017.7975252662</v>
      </c>
      <c r="AC826" s="24">
        <f t="shared" ca="1" si="25"/>
        <v>116.20247473380005</v>
      </c>
      <c r="AD826" s="25" t="str">
        <f t="shared" ca="1" si="26"/>
        <v>&gt;60 dias</v>
      </c>
      <c r="AE826" s="25">
        <f>MONTH(Tabela1[[#This Row],[Criado em]])</f>
        <v>12</v>
      </c>
      <c r="AF826" s="25">
        <f>YEAR(Tabela1[[#This Row],[Criado em]])</f>
        <v>2025</v>
      </c>
      <c r="AG826" s="25">
        <f>COUNTIFS(Tabela1[Mês],Tabela1[[#This Row],[Mês]])</f>
        <v>207</v>
      </c>
      <c r="AH826" s="25">
        <f>COUNTIFS(Tabela1[Mês],Tabela1[[#This Row],[Mês]],Tabela1[Fase atual],"Recebido")</f>
        <v>155</v>
      </c>
      <c r="AI826" s="26">
        <f>Tabela1[[#This Row],[Recebido_ Mes]]/Tabela1[[#This Row],[Total_Mes]]</f>
        <v>0.74879227053140096</v>
      </c>
      <c r="AJ826" s="19">
        <f>COUNTIFS(Tabela1[Fase atual],"Recebido",Tabela1[Mês],Tabela1[[#This Row],[Mês]],Tabela1[Ano],Tabela1[[#This Row],[Ano]])/COUNTIF(Tabela1[Mês],Tabela1[[#This Row],[Mês]])</f>
        <v>0.74879227053140096</v>
      </c>
      <c r="AK826" s="20">
        <f>100%</f>
        <v>1</v>
      </c>
    </row>
    <row r="827" spans="1:37" ht="18" customHeight="1" x14ac:dyDescent="0.25">
      <c r="A827">
        <v>1215530611</v>
      </c>
      <c r="B827" t="s">
        <v>720</v>
      </c>
      <c r="C827" t="s">
        <v>1516</v>
      </c>
      <c r="D827" t="s">
        <v>40</v>
      </c>
      <c r="E827" t="s">
        <v>31</v>
      </c>
      <c r="F827" s="2">
        <v>45916.851263854172</v>
      </c>
      <c r="AC827" s="24">
        <f t="shared" ca="1" si="25"/>
        <v>217.14873614582757</v>
      </c>
      <c r="AD827" s="25" t="str">
        <f t="shared" ca="1" si="26"/>
        <v>&gt;60 dias</v>
      </c>
      <c r="AE827" s="25">
        <f>MONTH(Tabela1[[#This Row],[Criado em]])</f>
        <v>9</v>
      </c>
      <c r="AF827" s="25">
        <f>YEAR(Tabela1[[#This Row],[Criado em]])</f>
        <v>2025</v>
      </c>
      <c r="AG827" s="25">
        <f>COUNTIFS(Tabela1[Mês],Tabela1[[#This Row],[Mês]])</f>
        <v>197</v>
      </c>
      <c r="AH827" s="25">
        <f>COUNTIFS(Tabela1[Mês],Tabela1[[#This Row],[Mês]],Tabela1[Fase atual],"Recebido")</f>
        <v>152</v>
      </c>
      <c r="AI827" s="26">
        <f>Tabela1[[#This Row],[Recebido_ Mes]]/Tabela1[[#This Row],[Total_Mes]]</f>
        <v>0.77157360406091369</v>
      </c>
      <c r="AJ827" s="19">
        <f>COUNTIFS(Tabela1[Fase atual],"Recebido",Tabela1[Mês],Tabela1[[#This Row],[Mês]],Tabela1[Ano],Tabela1[[#This Row],[Ano]])/COUNTIF(Tabela1[Mês],Tabela1[[#This Row],[Mês]])</f>
        <v>0.77157360406091369</v>
      </c>
      <c r="AK827" s="20">
        <f>100%</f>
        <v>1</v>
      </c>
    </row>
    <row r="828" spans="1:37" ht="18" customHeight="1" x14ac:dyDescent="0.25">
      <c r="A828">
        <v>1213467415</v>
      </c>
      <c r="B828" t="s">
        <v>720</v>
      </c>
      <c r="C828" t="s">
        <v>1516</v>
      </c>
      <c r="D828" t="s">
        <v>40</v>
      </c>
      <c r="E828" t="s">
        <v>31</v>
      </c>
      <c r="F828" s="2">
        <v>45912.852722847223</v>
      </c>
      <c r="AC828" s="24">
        <f t="shared" ca="1" si="25"/>
        <v>221.14727715277695</v>
      </c>
      <c r="AD828" s="25" t="str">
        <f t="shared" ca="1" si="26"/>
        <v>&gt;60 dias</v>
      </c>
      <c r="AE828" s="25">
        <f>MONTH(Tabela1[[#This Row],[Criado em]])</f>
        <v>9</v>
      </c>
      <c r="AF828" s="25">
        <f>YEAR(Tabela1[[#This Row],[Criado em]])</f>
        <v>2025</v>
      </c>
      <c r="AG828" s="25">
        <f>COUNTIFS(Tabela1[Mês],Tabela1[[#This Row],[Mês]])</f>
        <v>197</v>
      </c>
      <c r="AH828" s="25">
        <f>COUNTIFS(Tabela1[Mês],Tabela1[[#This Row],[Mês]],Tabela1[Fase atual],"Recebido")</f>
        <v>152</v>
      </c>
      <c r="AI828" s="26">
        <f>Tabela1[[#This Row],[Recebido_ Mes]]/Tabela1[[#This Row],[Total_Mes]]</f>
        <v>0.77157360406091369</v>
      </c>
      <c r="AJ828" s="19">
        <f>COUNTIFS(Tabela1[Fase atual],"Recebido",Tabela1[Mês],Tabela1[[#This Row],[Mês]],Tabela1[Ano],Tabela1[[#This Row],[Ano]])/COUNTIF(Tabela1[Mês],Tabela1[[#This Row],[Mês]])</f>
        <v>0.77157360406091369</v>
      </c>
      <c r="AK828" s="20">
        <f>100%</f>
        <v>1</v>
      </c>
    </row>
    <row r="829" spans="1:37" ht="18" customHeight="1" x14ac:dyDescent="0.25">
      <c r="A829">
        <v>1243425930</v>
      </c>
      <c r="B829" t="s">
        <v>1517</v>
      </c>
      <c r="C829" t="s">
        <v>1518</v>
      </c>
      <c r="D829" t="s">
        <v>37</v>
      </c>
      <c r="E829" t="s">
        <v>31</v>
      </c>
      <c r="F829" s="2">
        <v>45954.795119745373</v>
      </c>
      <c r="AC829" s="24">
        <f t="shared" ca="1" si="25"/>
        <v>179.20488025462691</v>
      </c>
      <c r="AD829" s="25" t="str">
        <f t="shared" ca="1" si="26"/>
        <v>&gt;60 dias</v>
      </c>
      <c r="AE829" s="25">
        <f>MONTH(Tabela1[[#This Row],[Criado em]])</f>
        <v>10</v>
      </c>
      <c r="AF829" s="25">
        <f>YEAR(Tabela1[[#This Row],[Criado em]])</f>
        <v>2025</v>
      </c>
      <c r="AG829" s="25">
        <f>COUNTIFS(Tabela1[Mês],Tabela1[[#This Row],[Mês]])</f>
        <v>196</v>
      </c>
      <c r="AH829" s="25">
        <f>COUNTIFS(Tabela1[Mês],Tabela1[[#This Row],[Mês]],Tabela1[Fase atual],"Recebido")</f>
        <v>138</v>
      </c>
      <c r="AI829" s="26">
        <f>Tabela1[[#This Row],[Recebido_ Mes]]/Tabela1[[#This Row],[Total_Mes]]</f>
        <v>0.70408163265306123</v>
      </c>
      <c r="AJ829" s="19">
        <f>COUNTIFS(Tabela1[Fase atual],"Recebido",Tabela1[Mês],Tabela1[[#This Row],[Mês]],Tabela1[Ano],Tabela1[[#This Row],[Ano]])/COUNTIF(Tabela1[Mês],Tabela1[[#This Row],[Mês]])</f>
        <v>0.70408163265306123</v>
      </c>
      <c r="AK829" s="20">
        <f>100%</f>
        <v>1</v>
      </c>
    </row>
    <row r="830" spans="1:37" ht="18" customHeight="1" x14ac:dyDescent="0.25">
      <c r="A830">
        <v>1232432955</v>
      </c>
      <c r="B830" t="s">
        <v>1517</v>
      </c>
      <c r="C830" t="s">
        <v>1518</v>
      </c>
      <c r="D830" t="s">
        <v>37</v>
      </c>
      <c r="E830" t="s">
        <v>31</v>
      </c>
      <c r="F830" s="2">
        <v>45940.851856238427</v>
      </c>
      <c r="AC830" s="24">
        <f t="shared" ca="1" si="25"/>
        <v>193.14814376157301</v>
      </c>
      <c r="AD830" s="25" t="str">
        <f t="shared" ca="1" si="26"/>
        <v>&gt;60 dias</v>
      </c>
      <c r="AE830" s="25">
        <f>MONTH(Tabela1[[#This Row],[Criado em]])</f>
        <v>10</v>
      </c>
      <c r="AF830" s="25">
        <f>YEAR(Tabela1[[#This Row],[Criado em]])</f>
        <v>2025</v>
      </c>
      <c r="AG830" s="25">
        <f>COUNTIFS(Tabela1[Mês],Tabela1[[#This Row],[Mês]])</f>
        <v>196</v>
      </c>
      <c r="AH830" s="25">
        <f>COUNTIFS(Tabela1[Mês],Tabela1[[#This Row],[Mês]],Tabela1[Fase atual],"Recebido")</f>
        <v>138</v>
      </c>
      <c r="AI830" s="26">
        <f>Tabela1[[#This Row],[Recebido_ Mes]]/Tabela1[[#This Row],[Total_Mes]]</f>
        <v>0.70408163265306123</v>
      </c>
      <c r="AJ830" s="19">
        <f>COUNTIFS(Tabela1[Fase atual],"Recebido",Tabela1[Mês],Tabela1[[#This Row],[Mês]],Tabela1[Ano],Tabela1[[#This Row],[Ano]])/COUNTIF(Tabela1[Mês],Tabela1[[#This Row],[Mês]])</f>
        <v>0.70408163265306123</v>
      </c>
      <c r="AK830" s="20">
        <f>100%</f>
        <v>1</v>
      </c>
    </row>
    <row r="831" spans="1:37" ht="18" customHeight="1" x14ac:dyDescent="0.25">
      <c r="A831">
        <v>1215956393</v>
      </c>
      <c r="B831" t="s">
        <v>368</v>
      </c>
      <c r="C831" t="s">
        <v>369</v>
      </c>
      <c r="D831" t="s">
        <v>37</v>
      </c>
      <c r="E831" t="s">
        <v>31</v>
      </c>
      <c r="F831" s="2">
        <v>45917.643467268514</v>
      </c>
      <c r="AC831" s="24">
        <f t="shared" ca="1" si="25"/>
        <v>216.35653273148637</v>
      </c>
      <c r="AD831" s="25" t="str">
        <f t="shared" ca="1" si="26"/>
        <v>&gt;60 dias</v>
      </c>
      <c r="AE831" s="25">
        <f>MONTH(Tabela1[[#This Row],[Criado em]])</f>
        <v>9</v>
      </c>
      <c r="AF831" s="25">
        <f>YEAR(Tabela1[[#This Row],[Criado em]])</f>
        <v>2025</v>
      </c>
      <c r="AG831" s="25">
        <f>COUNTIFS(Tabela1[Mês],Tabela1[[#This Row],[Mês]])</f>
        <v>197</v>
      </c>
      <c r="AH831" s="25">
        <f>COUNTIFS(Tabela1[Mês],Tabela1[[#This Row],[Mês]],Tabela1[Fase atual],"Recebido")</f>
        <v>152</v>
      </c>
      <c r="AI831" s="26">
        <f>Tabela1[[#This Row],[Recebido_ Mes]]/Tabela1[[#This Row],[Total_Mes]]</f>
        <v>0.77157360406091369</v>
      </c>
      <c r="AJ831" s="19">
        <f>COUNTIFS(Tabela1[Fase atual],"Recebido",Tabela1[Mês],Tabela1[[#This Row],[Mês]],Tabela1[Ano],Tabela1[[#This Row],[Ano]])/COUNTIF(Tabela1[Mês],Tabela1[[#This Row],[Mês]])</f>
        <v>0.77157360406091369</v>
      </c>
      <c r="AK831" s="20">
        <f>100%</f>
        <v>1</v>
      </c>
    </row>
    <row r="832" spans="1:37" ht="18" customHeight="1" x14ac:dyDescent="0.25">
      <c r="A832">
        <v>1283849413</v>
      </c>
      <c r="B832" t="s">
        <v>368</v>
      </c>
      <c r="C832" t="s">
        <v>369</v>
      </c>
      <c r="D832" t="s">
        <v>37</v>
      </c>
      <c r="E832" t="s">
        <v>31</v>
      </c>
      <c r="F832" s="2">
        <v>46041.544687592592</v>
      </c>
      <c r="AC832" s="24">
        <f t="shared" ca="1" si="25"/>
        <v>92.455312407408201</v>
      </c>
      <c r="AD832" s="25" t="str">
        <f t="shared" ca="1" si="26"/>
        <v>&gt;60 dias</v>
      </c>
      <c r="AE832" s="25">
        <f>MONTH(Tabela1[[#This Row],[Criado em]])</f>
        <v>1</v>
      </c>
      <c r="AF832" s="25">
        <f>YEAR(Tabela1[[#This Row],[Criado em]])</f>
        <v>2026</v>
      </c>
      <c r="AG832" s="25">
        <f>COUNTIFS(Tabela1[Mês],Tabela1[[#This Row],[Mês]])</f>
        <v>222</v>
      </c>
      <c r="AH832" s="25">
        <f>COUNTIFS(Tabela1[Mês],Tabela1[[#This Row],[Mês]],Tabela1[Fase atual],"Recebido")</f>
        <v>174</v>
      </c>
      <c r="AI832" s="26">
        <f>Tabela1[[#This Row],[Recebido_ Mes]]/Tabela1[[#This Row],[Total_Mes]]</f>
        <v>0.78378378378378377</v>
      </c>
      <c r="AJ832" s="19">
        <f>COUNTIFS(Tabela1[Fase atual],"Recebido",Tabela1[Mês],Tabela1[[#This Row],[Mês]],Tabela1[Ano],Tabela1[[#This Row],[Ano]])/COUNTIF(Tabela1[Mês],Tabela1[[#This Row],[Mês]])</f>
        <v>0.78378378378378377</v>
      </c>
      <c r="AK832" s="20">
        <f>100%</f>
        <v>1</v>
      </c>
    </row>
    <row r="833" spans="1:37" ht="18" customHeight="1" x14ac:dyDescent="0.25">
      <c r="A833">
        <v>1222690179</v>
      </c>
      <c r="B833" t="s">
        <v>368</v>
      </c>
      <c r="C833" t="s">
        <v>369</v>
      </c>
      <c r="D833" t="s">
        <v>37</v>
      </c>
      <c r="E833" t="s">
        <v>31</v>
      </c>
      <c r="F833" s="2">
        <v>45927.642525115727</v>
      </c>
      <c r="AC833" s="24">
        <f t="shared" ca="1" si="25"/>
        <v>206.35747488427296</v>
      </c>
      <c r="AD833" s="25" t="str">
        <f t="shared" ca="1" si="26"/>
        <v>&gt;60 dias</v>
      </c>
      <c r="AE833" s="25">
        <f>MONTH(Tabela1[[#This Row],[Criado em]])</f>
        <v>9</v>
      </c>
      <c r="AF833" s="25">
        <f>YEAR(Tabela1[[#This Row],[Criado em]])</f>
        <v>2025</v>
      </c>
      <c r="AG833" s="25">
        <f>COUNTIFS(Tabela1[Mês],Tabela1[[#This Row],[Mês]])</f>
        <v>197</v>
      </c>
      <c r="AH833" s="25">
        <f>COUNTIFS(Tabela1[Mês],Tabela1[[#This Row],[Mês]],Tabela1[Fase atual],"Recebido")</f>
        <v>152</v>
      </c>
      <c r="AI833" s="26">
        <f>Tabela1[[#This Row],[Recebido_ Mes]]/Tabela1[[#This Row],[Total_Mes]]</f>
        <v>0.77157360406091369</v>
      </c>
      <c r="AJ833" s="19">
        <f>COUNTIFS(Tabela1[Fase atual],"Recebido",Tabela1[Mês],Tabela1[[#This Row],[Mês]],Tabela1[Ano],Tabela1[[#This Row],[Ano]])/COUNTIF(Tabela1[Mês],Tabela1[[#This Row],[Mês]])</f>
        <v>0.77157360406091369</v>
      </c>
      <c r="AK833" s="20">
        <f>100%</f>
        <v>1</v>
      </c>
    </row>
    <row r="834" spans="1:37" ht="18" customHeight="1" x14ac:dyDescent="0.25">
      <c r="A834">
        <v>1300427797</v>
      </c>
      <c r="B834" t="s">
        <v>370</v>
      </c>
      <c r="C834" t="s">
        <v>371</v>
      </c>
      <c r="D834" t="s">
        <v>37</v>
      </c>
      <c r="E834" t="s">
        <v>31</v>
      </c>
      <c r="F834" s="2">
        <v>46073.796539537041</v>
      </c>
      <c r="AC834" s="24">
        <f t="shared" ca="1" si="25"/>
        <v>60.203460462958901</v>
      </c>
      <c r="AD834" s="25" t="str">
        <f t="shared" ca="1" si="26"/>
        <v>&gt;60 dias</v>
      </c>
      <c r="AE834" s="25">
        <f>MONTH(Tabela1[[#This Row],[Criado em]])</f>
        <v>2</v>
      </c>
      <c r="AF834" s="25">
        <f>YEAR(Tabela1[[#This Row],[Criado em]])</f>
        <v>2026</v>
      </c>
      <c r="AG834" s="25">
        <f>COUNTIFS(Tabela1[Mês],Tabela1[[#This Row],[Mês]])</f>
        <v>197</v>
      </c>
      <c r="AH834" s="25">
        <f>COUNTIFS(Tabela1[Mês],Tabela1[[#This Row],[Mês]],Tabela1[Fase atual],"Recebido")</f>
        <v>124</v>
      </c>
      <c r="AI834" s="26">
        <f>Tabela1[[#This Row],[Recebido_ Mes]]/Tabela1[[#This Row],[Total_Mes]]</f>
        <v>0.62944162436548223</v>
      </c>
      <c r="AJ834" s="19">
        <f>COUNTIFS(Tabela1[Fase atual],"Recebido",Tabela1[Mês],Tabela1[[#This Row],[Mês]],Tabela1[Ano],Tabela1[[#This Row],[Ano]])/COUNTIF(Tabela1[Mês],Tabela1[[#This Row],[Mês]])</f>
        <v>0.62944162436548223</v>
      </c>
      <c r="AK834" s="20">
        <f>100%</f>
        <v>1</v>
      </c>
    </row>
    <row r="835" spans="1:37" ht="18" customHeight="1" x14ac:dyDescent="0.25">
      <c r="A835">
        <v>1183424880</v>
      </c>
      <c r="B835" t="s">
        <v>1519</v>
      </c>
      <c r="C835" t="s">
        <v>1520</v>
      </c>
      <c r="D835" t="s">
        <v>37</v>
      </c>
      <c r="E835" t="s">
        <v>31</v>
      </c>
      <c r="F835" s="2">
        <v>45863.852688182873</v>
      </c>
      <c r="AC835" s="24">
        <f t="shared" ref="AC835:AC898" ca="1" si="27">TODAY() - F835</f>
        <v>270.14731181712705</v>
      </c>
      <c r="AD835" s="25" t="str">
        <f t="shared" ref="AD835:AD898" ca="1" si="28">IF(AC835&lt;=14,"0-14 dias",
IF(AC835&lt;=19,"15-19 dias",
IF(AC835&lt;=24,"20-24 dias",
IF(AC835&lt;=30,"25-30 dias",
IF(AC835&lt;=60,"31-60 dias",
"&gt;60 dias")))))</f>
        <v>&gt;60 dias</v>
      </c>
      <c r="AE835" s="25">
        <f>MONTH(Tabela1[[#This Row],[Criado em]])</f>
        <v>7</v>
      </c>
      <c r="AF835" s="25">
        <f>YEAR(Tabela1[[#This Row],[Criado em]])</f>
        <v>2025</v>
      </c>
      <c r="AG835" s="25">
        <f>COUNTIFS(Tabela1[Mês],Tabela1[[#This Row],[Mês]])</f>
        <v>177</v>
      </c>
      <c r="AH835" s="25">
        <f>COUNTIFS(Tabela1[Mês],Tabela1[[#This Row],[Mês]],Tabela1[Fase atual],"Recebido")</f>
        <v>130</v>
      </c>
      <c r="AI835" s="26">
        <f>Tabela1[[#This Row],[Recebido_ Mes]]/Tabela1[[#This Row],[Total_Mes]]</f>
        <v>0.7344632768361582</v>
      </c>
      <c r="AJ835" s="19">
        <f>COUNTIFS(Tabela1[Fase atual],"Recebido",Tabela1[Mês],Tabela1[[#This Row],[Mês]],Tabela1[Ano],Tabela1[[#This Row],[Ano]])/COUNTIF(Tabela1[Mês],Tabela1[[#This Row],[Mês]])</f>
        <v>0.7344632768361582</v>
      </c>
      <c r="AK835" s="20">
        <f>100%</f>
        <v>1</v>
      </c>
    </row>
    <row r="836" spans="1:37" ht="18" customHeight="1" x14ac:dyDescent="0.25">
      <c r="A836">
        <v>1181276073</v>
      </c>
      <c r="B836" t="s">
        <v>1519</v>
      </c>
      <c r="C836" t="s">
        <v>1521</v>
      </c>
      <c r="D836" t="s">
        <v>37</v>
      </c>
      <c r="E836" t="s">
        <v>31</v>
      </c>
      <c r="F836" s="2">
        <v>45860.851630937497</v>
      </c>
      <c r="AC836" s="24">
        <f t="shared" ca="1" si="27"/>
        <v>273.14836906250275</v>
      </c>
      <c r="AD836" s="25" t="str">
        <f t="shared" ca="1" si="28"/>
        <v>&gt;60 dias</v>
      </c>
      <c r="AE836" s="25">
        <f>MONTH(Tabela1[[#This Row],[Criado em]])</f>
        <v>7</v>
      </c>
      <c r="AF836" s="25">
        <f>YEAR(Tabela1[[#This Row],[Criado em]])</f>
        <v>2025</v>
      </c>
      <c r="AG836" s="25">
        <f>COUNTIFS(Tabela1[Mês],Tabela1[[#This Row],[Mês]])</f>
        <v>177</v>
      </c>
      <c r="AH836" s="25">
        <f>COUNTIFS(Tabela1[Mês],Tabela1[[#This Row],[Mês]],Tabela1[Fase atual],"Recebido")</f>
        <v>130</v>
      </c>
      <c r="AI836" s="26">
        <f>Tabela1[[#This Row],[Recebido_ Mes]]/Tabela1[[#This Row],[Total_Mes]]</f>
        <v>0.7344632768361582</v>
      </c>
      <c r="AJ836" s="19">
        <f>COUNTIFS(Tabela1[Fase atual],"Recebido",Tabela1[Mês],Tabela1[[#This Row],[Mês]],Tabela1[Ano],Tabela1[[#This Row],[Ano]])/COUNTIF(Tabela1[Mês],Tabela1[[#This Row],[Mês]])</f>
        <v>0.7344632768361582</v>
      </c>
      <c r="AK836" s="20">
        <f>100%</f>
        <v>1</v>
      </c>
    </row>
    <row r="837" spans="1:37" ht="18" customHeight="1" x14ac:dyDescent="0.25">
      <c r="A837">
        <v>1208626390</v>
      </c>
      <c r="B837" t="s">
        <v>170</v>
      </c>
      <c r="C837" t="s">
        <v>1522</v>
      </c>
      <c r="D837" t="s">
        <v>37</v>
      </c>
      <c r="E837" t="s">
        <v>31</v>
      </c>
      <c r="F837" s="2">
        <v>45905.018037708331</v>
      </c>
      <c r="AC837" s="24">
        <f t="shared" ca="1" si="27"/>
        <v>228.98196229166933</v>
      </c>
      <c r="AD837" s="25" t="str">
        <f t="shared" ca="1" si="28"/>
        <v>&gt;60 dias</v>
      </c>
      <c r="AE837" s="25">
        <f>MONTH(Tabela1[[#This Row],[Criado em]])</f>
        <v>9</v>
      </c>
      <c r="AF837" s="25">
        <f>YEAR(Tabela1[[#This Row],[Criado em]])</f>
        <v>2025</v>
      </c>
      <c r="AG837" s="25">
        <f>COUNTIFS(Tabela1[Mês],Tabela1[[#This Row],[Mês]])</f>
        <v>197</v>
      </c>
      <c r="AH837" s="25">
        <f>COUNTIFS(Tabela1[Mês],Tabela1[[#This Row],[Mês]],Tabela1[Fase atual],"Recebido")</f>
        <v>152</v>
      </c>
      <c r="AI837" s="26">
        <f>Tabela1[[#This Row],[Recebido_ Mes]]/Tabela1[[#This Row],[Total_Mes]]</f>
        <v>0.77157360406091369</v>
      </c>
      <c r="AJ837" s="19">
        <f>COUNTIFS(Tabela1[Fase atual],"Recebido",Tabela1[Mês],Tabela1[[#This Row],[Mês]],Tabela1[Ano],Tabela1[[#This Row],[Ano]])/COUNTIF(Tabela1[Mês],Tabela1[[#This Row],[Mês]])</f>
        <v>0.77157360406091369</v>
      </c>
      <c r="AK837" s="20">
        <f>100%</f>
        <v>1</v>
      </c>
    </row>
    <row r="838" spans="1:37" ht="18" customHeight="1" x14ac:dyDescent="0.25">
      <c r="A838">
        <v>1258998316</v>
      </c>
      <c r="B838" t="s">
        <v>170</v>
      </c>
      <c r="C838" t="s">
        <v>1522</v>
      </c>
      <c r="D838" t="s">
        <v>37</v>
      </c>
      <c r="E838" t="s">
        <v>31</v>
      </c>
      <c r="F838" s="2">
        <v>45985.921383773151</v>
      </c>
      <c r="AC838" s="24">
        <f t="shared" ca="1" si="27"/>
        <v>148.07861622684868</v>
      </c>
      <c r="AD838" s="25" t="str">
        <f t="shared" ca="1" si="28"/>
        <v>&gt;60 dias</v>
      </c>
      <c r="AE838" s="25">
        <f>MONTH(Tabela1[[#This Row],[Criado em]])</f>
        <v>11</v>
      </c>
      <c r="AF838" s="25">
        <f>YEAR(Tabela1[[#This Row],[Criado em]])</f>
        <v>2025</v>
      </c>
      <c r="AG838" s="25">
        <f>COUNTIFS(Tabela1[Mês],Tabela1[[#This Row],[Mês]])</f>
        <v>130</v>
      </c>
      <c r="AH838" s="25">
        <f>COUNTIFS(Tabela1[Mês],Tabela1[[#This Row],[Mês]],Tabela1[Fase atual],"Recebido")</f>
        <v>100</v>
      </c>
      <c r="AI838" s="26">
        <f>Tabela1[[#This Row],[Recebido_ Mes]]/Tabela1[[#This Row],[Total_Mes]]</f>
        <v>0.76923076923076927</v>
      </c>
      <c r="AJ838" s="19">
        <f>COUNTIFS(Tabela1[Fase atual],"Recebido",Tabela1[Mês],Tabela1[[#This Row],[Mês]],Tabela1[Ano],Tabela1[[#This Row],[Ano]])/COUNTIF(Tabela1[Mês],Tabela1[[#This Row],[Mês]])</f>
        <v>0.76923076923076927</v>
      </c>
      <c r="AK838" s="20">
        <f>100%</f>
        <v>1</v>
      </c>
    </row>
    <row r="839" spans="1:37" ht="18" customHeight="1" x14ac:dyDescent="0.25">
      <c r="A839">
        <v>1236816395</v>
      </c>
      <c r="B839" t="s">
        <v>170</v>
      </c>
      <c r="C839" t="s">
        <v>1522</v>
      </c>
      <c r="D839" t="s">
        <v>37</v>
      </c>
      <c r="E839" t="s">
        <v>31</v>
      </c>
      <c r="F839" s="2">
        <v>45945.919747291671</v>
      </c>
      <c r="AC839" s="24">
        <f t="shared" ca="1" si="27"/>
        <v>188.08025270832877</v>
      </c>
      <c r="AD839" s="25" t="str">
        <f t="shared" ca="1" si="28"/>
        <v>&gt;60 dias</v>
      </c>
      <c r="AE839" s="25">
        <f>MONTH(Tabela1[[#This Row],[Criado em]])</f>
        <v>10</v>
      </c>
      <c r="AF839" s="25">
        <f>YEAR(Tabela1[[#This Row],[Criado em]])</f>
        <v>2025</v>
      </c>
      <c r="AG839" s="25">
        <f>COUNTIFS(Tabela1[Mês],Tabela1[[#This Row],[Mês]])</f>
        <v>196</v>
      </c>
      <c r="AH839" s="25">
        <f>COUNTIFS(Tabela1[Mês],Tabela1[[#This Row],[Mês]],Tabela1[Fase atual],"Recebido")</f>
        <v>138</v>
      </c>
      <c r="AI839" s="26">
        <f>Tabela1[[#This Row],[Recebido_ Mes]]/Tabela1[[#This Row],[Total_Mes]]</f>
        <v>0.70408163265306123</v>
      </c>
      <c r="AJ839" s="19">
        <f>COUNTIFS(Tabela1[Fase atual],"Recebido",Tabela1[Mês],Tabela1[[#This Row],[Mês]],Tabela1[Ano],Tabela1[[#This Row],[Ano]])/COUNTIF(Tabela1[Mês],Tabela1[[#This Row],[Mês]])</f>
        <v>0.70408163265306123</v>
      </c>
      <c r="AK839" s="20">
        <f>100%</f>
        <v>1</v>
      </c>
    </row>
    <row r="840" spans="1:37" ht="18" customHeight="1" x14ac:dyDescent="0.25">
      <c r="A840">
        <v>1181276218</v>
      </c>
      <c r="B840" t="s">
        <v>1523</v>
      </c>
      <c r="C840" t="s">
        <v>1524</v>
      </c>
      <c r="D840" t="s">
        <v>37</v>
      </c>
      <c r="E840" t="s">
        <v>31</v>
      </c>
      <c r="F840" s="2">
        <v>45860.851825682868</v>
      </c>
      <c r="AC840" s="24">
        <f t="shared" ca="1" si="27"/>
        <v>273.14817431713163</v>
      </c>
      <c r="AD840" s="25" t="str">
        <f t="shared" ca="1" si="28"/>
        <v>&gt;60 dias</v>
      </c>
      <c r="AE840" s="25">
        <f>MONTH(Tabela1[[#This Row],[Criado em]])</f>
        <v>7</v>
      </c>
      <c r="AF840" s="25">
        <f>YEAR(Tabela1[[#This Row],[Criado em]])</f>
        <v>2025</v>
      </c>
      <c r="AG840" s="25">
        <f>COUNTIFS(Tabela1[Mês],Tabela1[[#This Row],[Mês]])</f>
        <v>177</v>
      </c>
      <c r="AH840" s="25">
        <f>COUNTIFS(Tabela1[Mês],Tabela1[[#This Row],[Mês]],Tabela1[Fase atual],"Recebido")</f>
        <v>130</v>
      </c>
      <c r="AI840" s="26">
        <f>Tabela1[[#This Row],[Recebido_ Mes]]/Tabela1[[#This Row],[Total_Mes]]</f>
        <v>0.7344632768361582</v>
      </c>
      <c r="AJ840" s="19">
        <f>COUNTIFS(Tabela1[Fase atual],"Recebido",Tabela1[Mês],Tabela1[[#This Row],[Mês]],Tabela1[Ano],Tabela1[[#This Row],[Ano]])/COUNTIF(Tabela1[Mês],Tabela1[[#This Row],[Mês]])</f>
        <v>0.7344632768361582</v>
      </c>
      <c r="AK840" s="20">
        <f>100%</f>
        <v>1</v>
      </c>
    </row>
    <row r="841" spans="1:37" ht="18" customHeight="1" x14ac:dyDescent="0.25">
      <c r="A841">
        <v>1181276592</v>
      </c>
      <c r="B841" t="s">
        <v>1525</v>
      </c>
      <c r="C841" t="s">
        <v>1526</v>
      </c>
      <c r="D841" t="s">
        <v>784</v>
      </c>
      <c r="E841" t="s">
        <v>31</v>
      </c>
      <c r="F841" s="2">
        <v>45860.852255555546</v>
      </c>
      <c r="AC841" s="24">
        <f t="shared" ca="1" si="27"/>
        <v>273.14774444445356</v>
      </c>
      <c r="AD841" s="25" t="str">
        <f t="shared" ca="1" si="28"/>
        <v>&gt;60 dias</v>
      </c>
      <c r="AE841" s="25">
        <f>MONTH(Tabela1[[#This Row],[Criado em]])</f>
        <v>7</v>
      </c>
      <c r="AF841" s="25">
        <f>YEAR(Tabela1[[#This Row],[Criado em]])</f>
        <v>2025</v>
      </c>
      <c r="AG841" s="25">
        <f>COUNTIFS(Tabela1[Mês],Tabela1[[#This Row],[Mês]])</f>
        <v>177</v>
      </c>
      <c r="AH841" s="25">
        <f>COUNTIFS(Tabela1[Mês],Tabela1[[#This Row],[Mês]],Tabela1[Fase atual],"Recebido")</f>
        <v>130</v>
      </c>
      <c r="AI841" s="26">
        <f>Tabela1[[#This Row],[Recebido_ Mes]]/Tabela1[[#This Row],[Total_Mes]]</f>
        <v>0.7344632768361582</v>
      </c>
      <c r="AJ841" s="19">
        <f>COUNTIFS(Tabela1[Fase atual],"Recebido",Tabela1[Mês],Tabela1[[#This Row],[Mês]],Tabela1[Ano],Tabela1[[#This Row],[Ano]])/COUNTIF(Tabela1[Mês],Tabela1[[#This Row],[Mês]])</f>
        <v>0.7344632768361582</v>
      </c>
      <c r="AK841" s="20">
        <f>100%</f>
        <v>1</v>
      </c>
    </row>
    <row r="842" spans="1:37" ht="18" customHeight="1" x14ac:dyDescent="0.25">
      <c r="A842">
        <v>1221522905</v>
      </c>
      <c r="B842" t="s">
        <v>1527</v>
      </c>
      <c r="C842" t="s">
        <v>1528</v>
      </c>
      <c r="D842" t="s">
        <v>37</v>
      </c>
      <c r="E842" t="s">
        <v>31</v>
      </c>
      <c r="F842" s="2">
        <v>45925.851811828703</v>
      </c>
      <c r="AC842" s="24">
        <f t="shared" ca="1" si="27"/>
        <v>208.14818817129708</v>
      </c>
      <c r="AD842" s="25" t="str">
        <f t="shared" ca="1" si="28"/>
        <v>&gt;60 dias</v>
      </c>
      <c r="AE842" s="25">
        <f>MONTH(Tabela1[[#This Row],[Criado em]])</f>
        <v>9</v>
      </c>
      <c r="AF842" s="25">
        <f>YEAR(Tabela1[[#This Row],[Criado em]])</f>
        <v>2025</v>
      </c>
      <c r="AG842" s="25">
        <f>COUNTIFS(Tabela1[Mês],Tabela1[[#This Row],[Mês]])</f>
        <v>197</v>
      </c>
      <c r="AH842" s="25">
        <f>COUNTIFS(Tabela1[Mês],Tabela1[[#This Row],[Mês]],Tabela1[Fase atual],"Recebido")</f>
        <v>152</v>
      </c>
      <c r="AI842" s="26">
        <f>Tabela1[[#This Row],[Recebido_ Mes]]/Tabela1[[#This Row],[Total_Mes]]</f>
        <v>0.77157360406091369</v>
      </c>
      <c r="AJ842" s="19">
        <f>COUNTIFS(Tabela1[Fase atual],"Recebido",Tabela1[Mês],Tabela1[[#This Row],[Mês]],Tabela1[Ano],Tabela1[[#This Row],[Ano]])/COUNTIF(Tabela1[Mês],Tabela1[[#This Row],[Mês]])</f>
        <v>0.77157360406091369</v>
      </c>
      <c r="AK842" s="20">
        <f>100%</f>
        <v>1</v>
      </c>
    </row>
    <row r="843" spans="1:37" ht="18" customHeight="1" x14ac:dyDescent="0.25">
      <c r="A843">
        <v>1301409358</v>
      </c>
      <c r="B843" t="s">
        <v>372</v>
      </c>
      <c r="C843" t="s">
        <v>373</v>
      </c>
      <c r="D843" t="s">
        <v>40</v>
      </c>
      <c r="E843" t="s">
        <v>374</v>
      </c>
      <c r="F843" s="2">
        <v>46076.591927662041</v>
      </c>
      <c r="AC843" s="24">
        <f t="shared" ca="1" si="27"/>
        <v>57.408072337959311</v>
      </c>
      <c r="AD843" s="25" t="str">
        <f t="shared" ca="1" si="28"/>
        <v>31-60 dias</v>
      </c>
      <c r="AE843" s="25">
        <f>MONTH(Tabela1[[#This Row],[Criado em]])</f>
        <v>2</v>
      </c>
      <c r="AF843" s="25">
        <f>YEAR(Tabela1[[#This Row],[Criado em]])</f>
        <v>2026</v>
      </c>
      <c r="AG843" s="25">
        <f>COUNTIFS(Tabela1[Mês],Tabela1[[#This Row],[Mês]])</f>
        <v>197</v>
      </c>
      <c r="AH843" s="25">
        <f>COUNTIFS(Tabela1[Mês],Tabela1[[#This Row],[Mês]],Tabela1[Fase atual],"Recebido")</f>
        <v>124</v>
      </c>
      <c r="AI843" s="26">
        <f>Tabela1[[#This Row],[Recebido_ Mes]]/Tabela1[[#This Row],[Total_Mes]]</f>
        <v>0.62944162436548223</v>
      </c>
      <c r="AJ843" s="19">
        <f>COUNTIFS(Tabela1[Fase atual],"Recebido",Tabela1[Mês],Tabela1[[#This Row],[Mês]],Tabela1[Ano],Tabela1[[#This Row],[Ano]])/COUNTIF(Tabela1[Mês],Tabela1[[#This Row],[Mês]])</f>
        <v>0.62944162436548223</v>
      </c>
      <c r="AK843" s="20">
        <f>100%</f>
        <v>1</v>
      </c>
    </row>
    <row r="844" spans="1:37" ht="18" customHeight="1" x14ac:dyDescent="0.25">
      <c r="A844">
        <v>1194088777</v>
      </c>
      <c r="B844" t="s">
        <v>1529</v>
      </c>
      <c r="C844" t="s">
        <v>1530</v>
      </c>
      <c r="D844" t="s">
        <v>34</v>
      </c>
      <c r="E844" t="s">
        <v>31</v>
      </c>
      <c r="F844" s="2">
        <v>45882.016301701377</v>
      </c>
      <c r="AC844" s="24">
        <f t="shared" ca="1" si="27"/>
        <v>251.98369829862349</v>
      </c>
      <c r="AD844" s="25" t="str">
        <f t="shared" ca="1" si="28"/>
        <v>&gt;60 dias</v>
      </c>
      <c r="AE844" s="25">
        <f>MONTH(Tabela1[[#This Row],[Criado em]])</f>
        <v>8</v>
      </c>
      <c r="AF844" s="25">
        <f>YEAR(Tabela1[[#This Row],[Criado em]])</f>
        <v>2025</v>
      </c>
      <c r="AG844" s="25">
        <f>COUNTIFS(Tabela1[Mês],Tabela1[[#This Row],[Mês]])</f>
        <v>146</v>
      </c>
      <c r="AH844" s="25">
        <f>COUNTIFS(Tabela1[Mês],Tabela1[[#This Row],[Mês]],Tabela1[Fase atual],"Recebido")</f>
        <v>115</v>
      </c>
      <c r="AI844" s="26">
        <f>Tabela1[[#This Row],[Recebido_ Mes]]/Tabela1[[#This Row],[Total_Mes]]</f>
        <v>0.78767123287671237</v>
      </c>
      <c r="AJ844" s="19">
        <f>COUNTIFS(Tabela1[Fase atual],"Recebido",Tabela1[Mês],Tabela1[[#This Row],[Mês]],Tabela1[Ano],Tabela1[[#This Row],[Ano]])/COUNTIF(Tabela1[Mês],Tabela1[[#This Row],[Mês]])</f>
        <v>0.78767123287671237</v>
      </c>
      <c r="AK844" s="20">
        <f>100%</f>
        <v>1</v>
      </c>
    </row>
    <row r="845" spans="1:37" ht="18" customHeight="1" x14ac:dyDescent="0.25">
      <c r="A845">
        <v>1220176458</v>
      </c>
      <c r="B845" t="s">
        <v>953</v>
      </c>
      <c r="C845" t="s">
        <v>1531</v>
      </c>
      <c r="D845" t="s">
        <v>37</v>
      </c>
      <c r="E845" t="s">
        <v>31</v>
      </c>
      <c r="F845" s="2">
        <v>45923.825862731479</v>
      </c>
      <c r="AC845" s="24">
        <f t="shared" ca="1" si="27"/>
        <v>210.17413726852101</v>
      </c>
      <c r="AD845" s="25" t="str">
        <f t="shared" ca="1" si="28"/>
        <v>&gt;60 dias</v>
      </c>
      <c r="AE845" s="25">
        <f>MONTH(Tabela1[[#This Row],[Criado em]])</f>
        <v>9</v>
      </c>
      <c r="AF845" s="25">
        <f>YEAR(Tabela1[[#This Row],[Criado em]])</f>
        <v>2025</v>
      </c>
      <c r="AG845" s="25">
        <f>COUNTIFS(Tabela1[Mês],Tabela1[[#This Row],[Mês]])</f>
        <v>197</v>
      </c>
      <c r="AH845" s="25">
        <f>COUNTIFS(Tabela1[Mês],Tabela1[[#This Row],[Mês]],Tabela1[Fase atual],"Recebido")</f>
        <v>152</v>
      </c>
      <c r="AI845" s="26">
        <f>Tabela1[[#This Row],[Recebido_ Mes]]/Tabela1[[#This Row],[Total_Mes]]</f>
        <v>0.77157360406091369</v>
      </c>
      <c r="AJ845" s="19">
        <f>COUNTIFS(Tabela1[Fase atual],"Recebido",Tabela1[Mês],Tabela1[[#This Row],[Mês]],Tabela1[Ano],Tabela1[[#This Row],[Ano]])/COUNTIF(Tabela1[Mês],Tabela1[[#This Row],[Mês]])</f>
        <v>0.77157360406091369</v>
      </c>
      <c r="AK845" s="20">
        <f>100%</f>
        <v>1</v>
      </c>
    </row>
    <row r="846" spans="1:37" ht="18" customHeight="1" x14ac:dyDescent="0.25">
      <c r="A846">
        <v>1212792785</v>
      </c>
      <c r="B846" t="s">
        <v>1532</v>
      </c>
      <c r="C846" t="s">
        <v>1533</v>
      </c>
      <c r="D846" t="s">
        <v>37</v>
      </c>
      <c r="E846" t="s">
        <v>31</v>
      </c>
      <c r="F846" s="2">
        <v>45911.85321379629</v>
      </c>
      <c r="AC846" s="24">
        <f t="shared" ca="1" si="27"/>
        <v>222.14678620370978</v>
      </c>
      <c r="AD846" s="25" t="str">
        <f t="shared" ca="1" si="28"/>
        <v>&gt;60 dias</v>
      </c>
      <c r="AE846" s="25">
        <f>MONTH(Tabela1[[#This Row],[Criado em]])</f>
        <v>9</v>
      </c>
      <c r="AF846" s="25">
        <f>YEAR(Tabela1[[#This Row],[Criado em]])</f>
        <v>2025</v>
      </c>
      <c r="AG846" s="25">
        <f>COUNTIFS(Tabela1[Mês],Tabela1[[#This Row],[Mês]])</f>
        <v>197</v>
      </c>
      <c r="AH846" s="25">
        <f>COUNTIFS(Tabela1[Mês],Tabela1[[#This Row],[Mês]],Tabela1[Fase atual],"Recebido")</f>
        <v>152</v>
      </c>
      <c r="AI846" s="26">
        <f>Tabela1[[#This Row],[Recebido_ Mes]]/Tabela1[[#This Row],[Total_Mes]]</f>
        <v>0.77157360406091369</v>
      </c>
      <c r="AJ846" s="19">
        <f>COUNTIFS(Tabela1[Fase atual],"Recebido",Tabela1[Mês],Tabela1[[#This Row],[Mês]],Tabela1[Ano],Tabela1[[#This Row],[Ano]])/COUNTIF(Tabela1[Mês],Tabela1[[#This Row],[Mês]])</f>
        <v>0.77157360406091369</v>
      </c>
      <c r="AK846" s="20">
        <f>100%</f>
        <v>1</v>
      </c>
    </row>
    <row r="847" spans="1:37" ht="18" customHeight="1" x14ac:dyDescent="0.25">
      <c r="A847">
        <v>1215354490</v>
      </c>
      <c r="B847" t="s">
        <v>1532</v>
      </c>
      <c r="C847" t="s">
        <v>1534</v>
      </c>
      <c r="D847" t="s">
        <v>37</v>
      </c>
      <c r="E847" t="s">
        <v>31</v>
      </c>
      <c r="F847" s="2">
        <v>45916.717162476853</v>
      </c>
      <c r="AC847" s="24">
        <f t="shared" ca="1" si="27"/>
        <v>217.28283752314746</v>
      </c>
      <c r="AD847" s="25" t="str">
        <f t="shared" ca="1" si="28"/>
        <v>&gt;60 dias</v>
      </c>
      <c r="AE847" s="25">
        <f>MONTH(Tabela1[[#This Row],[Criado em]])</f>
        <v>9</v>
      </c>
      <c r="AF847" s="25">
        <f>YEAR(Tabela1[[#This Row],[Criado em]])</f>
        <v>2025</v>
      </c>
      <c r="AG847" s="25">
        <f>COUNTIFS(Tabela1[Mês],Tabela1[[#This Row],[Mês]])</f>
        <v>197</v>
      </c>
      <c r="AH847" s="25">
        <f>COUNTIFS(Tabela1[Mês],Tabela1[[#This Row],[Mês]],Tabela1[Fase atual],"Recebido")</f>
        <v>152</v>
      </c>
      <c r="AI847" s="26">
        <f>Tabela1[[#This Row],[Recebido_ Mes]]/Tabela1[[#This Row],[Total_Mes]]</f>
        <v>0.77157360406091369</v>
      </c>
      <c r="AJ847" s="19">
        <f>COUNTIFS(Tabela1[Fase atual],"Recebido",Tabela1[Mês],Tabela1[[#This Row],[Mês]],Tabela1[Ano],Tabela1[[#This Row],[Ano]])/COUNTIF(Tabela1[Mês],Tabela1[[#This Row],[Mês]])</f>
        <v>0.77157360406091369</v>
      </c>
      <c r="AK847" s="20">
        <f>100%</f>
        <v>1</v>
      </c>
    </row>
    <row r="848" spans="1:37" ht="18" customHeight="1" x14ac:dyDescent="0.25">
      <c r="A848">
        <v>1174283264</v>
      </c>
      <c r="B848" t="s">
        <v>1535</v>
      </c>
      <c r="C848" t="s">
        <v>1536</v>
      </c>
      <c r="D848" t="s">
        <v>37</v>
      </c>
      <c r="E848" t="s">
        <v>31</v>
      </c>
      <c r="F848" s="2">
        <v>45848.851495266208</v>
      </c>
      <c r="AC848" s="24">
        <f t="shared" ca="1" si="27"/>
        <v>285.14850473379192</v>
      </c>
      <c r="AD848" s="25" t="str">
        <f t="shared" ca="1" si="28"/>
        <v>&gt;60 dias</v>
      </c>
      <c r="AE848" s="25">
        <f>MONTH(Tabela1[[#This Row],[Criado em]])</f>
        <v>7</v>
      </c>
      <c r="AF848" s="25">
        <f>YEAR(Tabela1[[#This Row],[Criado em]])</f>
        <v>2025</v>
      </c>
      <c r="AG848" s="25">
        <f>COUNTIFS(Tabela1[Mês],Tabela1[[#This Row],[Mês]])</f>
        <v>177</v>
      </c>
      <c r="AH848" s="25">
        <f>COUNTIFS(Tabela1[Mês],Tabela1[[#This Row],[Mês]],Tabela1[Fase atual],"Recebido")</f>
        <v>130</v>
      </c>
      <c r="AI848" s="26">
        <f>Tabela1[[#This Row],[Recebido_ Mes]]/Tabela1[[#This Row],[Total_Mes]]</f>
        <v>0.7344632768361582</v>
      </c>
      <c r="AJ848" s="19">
        <f>COUNTIFS(Tabela1[Fase atual],"Recebido",Tabela1[Mês],Tabela1[[#This Row],[Mês]],Tabela1[Ano],Tabela1[[#This Row],[Ano]])/COUNTIF(Tabela1[Mês],Tabela1[[#This Row],[Mês]])</f>
        <v>0.7344632768361582</v>
      </c>
      <c r="AK848" s="20">
        <f>100%</f>
        <v>1</v>
      </c>
    </row>
    <row r="849" spans="1:37" ht="18" customHeight="1" x14ac:dyDescent="0.25">
      <c r="A849">
        <v>1184722080</v>
      </c>
      <c r="B849" t="s">
        <v>1537</v>
      </c>
      <c r="C849" t="s">
        <v>1538</v>
      </c>
      <c r="D849" t="s">
        <v>37</v>
      </c>
      <c r="E849" t="s">
        <v>31</v>
      </c>
      <c r="F849" s="2">
        <v>45866.852313483803</v>
      </c>
      <c r="AC849" s="24">
        <f t="shared" ca="1" si="27"/>
        <v>267.1476865161967</v>
      </c>
      <c r="AD849" s="25" t="str">
        <f t="shared" ca="1" si="28"/>
        <v>&gt;60 dias</v>
      </c>
      <c r="AE849" s="25">
        <f>MONTH(Tabela1[[#This Row],[Criado em]])</f>
        <v>7</v>
      </c>
      <c r="AF849" s="25">
        <f>YEAR(Tabela1[[#This Row],[Criado em]])</f>
        <v>2025</v>
      </c>
      <c r="AG849" s="25">
        <f>COUNTIFS(Tabela1[Mês],Tabela1[[#This Row],[Mês]])</f>
        <v>177</v>
      </c>
      <c r="AH849" s="25">
        <f>COUNTIFS(Tabela1[Mês],Tabela1[[#This Row],[Mês]],Tabela1[Fase atual],"Recebido")</f>
        <v>130</v>
      </c>
      <c r="AI849" s="26">
        <f>Tabela1[[#This Row],[Recebido_ Mes]]/Tabela1[[#This Row],[Total_Mes]]</f>
        <v>0.7344632768361582</v>
      </c>
      <c r="AJ849" s="19">
        <f>COUNTIFS(Tabela1[Fase atual],"Recebido",Tabela1[Mês],Tabela1[[#This Row],[Mês]],Tabela1[Ano],Tabela1[[#This Row],[Ano]])/COUNTIF(Tabela1[Mês],Tabela1[[#This Row],[Mês]])</f>
        <v>0.7344632768361582</v>
      </c>
      <c r="AK849" s="20">
        <f>100%</f>
        <v>1</v>
      </c>
    </row>
    <row r="850" spans="1:37" ht="18" customHeight="1" x14ac:dyDescent="0.25">
      <c r="A850">
        <v>1255860003</v>
      </c>
      <c r="B850" t="s">
        <v>1537</v>
      </c>
      <c r="C850" t="s">
        <v>1538</v>
      </c>
      <c r="D850" t="s">
        <v>37</v>
      </c>
      <c r="E850" t="s">
        <v>31</v>
      </c>
      <c r="F850" s="2">
        <v>45978.793942187513</v>
      </c>
      <c r="AC850" s="24">
        <f t="shared" ca="1" si="27"/>
        <v>155.20605781248742</v>
      </c>
      <c r="AD850" s="25" t="str">
        <f t="shared" ca="1" si="28"/>
        <v>&gt;60 dias</v>
      </c>
      <c r="AE850" s="25">
        <f>MONTH(Tabela1[[#This Row],[Criado em]])</f>
        <v>11</v>
      </c>
      <c r="AF850" s="25">
        <f>YEAR(Tabela1[[#This Row],[Criado em]])</f>
        <v>2025</v>
      </c>
      <c r="AG850" s="25">
        <f>COUNTIFS(Tabela1[Mês],Tabela1[[#This Row],[Mês]])</f>
        <v>130</v>
      </c>
      <c r="AH850" s="25">
        <f>COUNTIFS(Tabela1[Mês],Tabela1[[#This Row],[Mês]],Tabela1[Fase atual],"Recebido")</f>
        <v>100</v>
      </c>
      <c r="AI850" s="26">
        <f>Tabela1[[#This Row],[Recebido_ Mes]]/Tabela1[[#This Row],[Total_Mes]]</f>
        <v>0.76923076923076927</v>
      </c>
      <c r="AJ850" s="19">
        <f>COUNTIFS(Tabela1[Fase atual],"Recebido",Tabela1[Mês],Tabela1[[#This Row],[Mês]],Tabela1[Ano],Tabela1[[#This Row],[Ano]])/COUNTIF(Tabela1[Mês],Tabela1[[#This Row],[Mês]])</f>
        <v>0.76923076923076927</v>
      </c>
      <c r="AK850" s="20">
        <f>100%</f>
        <v>1</v>
      </c>
    </row>
    <row r="851" spans="1:37" ht="18" customHeight="1" x14ac:dyDescent="0.25">
      <c r="A851">
        <v>1246331096</v>
      </c>
      <c r="B851" t="s">
        <v>1539</v>
      </c>
      <c r="C851" t="s">
        <v>1540</v>
      </c>
      <c r="D851" t="s">
        <v>37</v>
      </c>
      <c r="E851" t="s">
        <v>31</v>
      </c>
      <c r="F851" s="2">
        <v>45958.79397337963</v>
      </c>
      <c r="AC851" s="24">
        <f t="shared" ca="1" si="27"/>
        <v>175.20602662036981</v>
      </c>
      <c r="AD851" s="25" t="str">
        <f t="shared" ca="1" si="28"/>
        <v>&gt;60 dias</v>
      </c>
      <c r="AE851" s="25">
        <f>MONTH(Tabela1[[#This Row],[Criado em]])</f>
        <v>10</v>
      </c>
      <c r="AF851" s="25">
        <f>YEAR(Tabela1[[#This Row],[Criado em]])</f>
        <v>2025</v>
      </c>
      <c r="AG851" s="25">
        <f>COUNTIFS(Tabela1[Mês],Tabela1[[#This Row],[Mês]])</f>
        <v>196</v>
      </c>
      <c r="AH851" s="25">
        <f>COUNTIFS(Tabela1[Mês],Tabela1[[#This Row],[Mês]],Tabela1[Fase atual],"Recebido")</f>
        <v>138</v>
      </c>
      <c r="AI851" s="26">
        <f>Tabela1[[#This Row],[Recebido_ Mes]]/Tabela1[[#This Row],[Total_Mes]]</f>
        <v>0.70408163265306123</v>
      </c>
      <c r="AJ851" s="19">
        <f>COUNTIFS(Tabela1[Fase atual],"Recebido",Tabela1[Mês],Tabela1[[#This Row],[Mês]],Tabela1[Ano],Tabela1[[#This Row],[Ano]])/COUNTIF(Tabela1[Mês],Tabela1[[#This Row],[Mês]])</f>
        <v>0.70408163265306123</v>
      </c>
      <c r="AK851" s="20">
        <f>100%</f>
        <v>1</v>
      </c>
    </row>
    <row r="852" spans="1:37" ht="18" customHeight="1" x14ac:dyDescent="0.25">
      <c r="A852">
        <v>1222689919</v>
      </c>
      <c r="B852" t="s">
        <v>1541</v>
      </c>
      <c r="C852" t="s">
        <v>1542</v>
      </c>
      <c r="D852" t="s">
        <v>37</v>
      </c>
      <c r="E852" t="s">
        <v>31</v>
      </c>
      <c r="F852" s="2">
        <v>45927.642189583326</v>
      </c>
      <c r="AC852" s="24">
        <f t="shared" ca="1" si="27"/>
        <v>206.3578104166736</v>
      </c>
      <c r="AD852" s="25" t="str">
        <f t="shared" ca="1" si="28"/>
        <v>&gt;60 dias</v>
      </c>
      <c r="AE852" s="25">
        <f>MONTH(Tabela1[[#This Row],[Criado em]])</f>
        <v>9</v>
      </c>
      <c r="AF852" s="25">
        <f>YEAR(Tabela1[[#This Row],[Criado em]])</f>
        <v>2025</v>
      </c>
      <c r="AG852" s="25">
        <f>COUNTIFS(Tabela1[Mês],Tabela1[[#This Row],[Mês]])</f>
        <v>197</v>
      </c>
      <c r="AH852" s="25">
        <f>COUNTIFS(Tabela1[Mês],Tabela1[[#This Row],[Mês]],Tabela1[Fase atual],"Recebido")</f>
        <v>152</v>
      </c>
      <c r="AI852" s="26">
        <f>Tabela1[[#This Row],[Recebido_ Mes]]/Tabela1[[#This Row],[Total_Mes]]</f>
        <v>0.77157360406091369</v>
      </c>
      <c r="AJ852" s="19">
        <f>COUNTIFS(Tabela1[Fase atual],"Recebido",Tabela1[Mês],Tabela1[[#This Row],[Mês]],Tabela1[Ano],Tabela1[[#This Row],[Ano]])/COUNTIF(Tabela1[Mês],Tabela1[[#This Row],[Mês]])</f>
        <v>0.77157360406091369</v>
      </c>
      <c r="AK852" s="20">
        <f>100%</f>
        <v>1</v>
      </c>
    </row>
    <row r="853" spans="1:37" ht="18" customHeight="1" x14ac:dyDescent="0.25">
      <c r="A853">
        <v>1242500426</v>
      </c>
      <c r="B853" t="s">
        <v>1543</v>
      </c>
      <c r="C853" t="s">
        <v>1544</v>
      </c>
      <c r="D853" t="s">
        <v>784</v>
      </c>
      <c r="E853" t="s">
        <v>31</v>
      </c>
      <c r="F853" s="2">
        <v>45953.795848877307</v>
      </c>
      <c r="AC853" s="24">
        <f t="shared" ca="1" si="27"/>
        <v>180.20415112269256</v>
      </c>
      <c r="AD853" s="25" t="str">
        <f t="shared" ca="1" si="28"/>
        <v>&gt;60 dias</v>
      </c>
      <c r="AE853" s="25">
        <f>MONTH(Tabela1[[#This Row],[Criado em]])</f>
        <v>10</v>
      </c>
      <c r="AF853" s="25">
        <f>YEAR(Tabela1[[#This Row],[Criado em]])</f>
        <v>2025</v>
      </c>
      <c r="AG853" s="25">
        <f>COUNTIFS(Tabela1[Mês],Tabela1[[#This Row],[Mês]])</f>
        <v>196</v>
      </c>
      <c r="AH853" s="25">
        <f>COUNTIFS(Tabela1[Mês],Tabela1[[#This Row],[Mês]],Tabela1[Fase atual],"Recebido")</f>
        <v>138</v>
      </c>
      <c r="AI853" s="26">
        <f>Tabela1[[#This Row],[Recebido_ Mes]]/Tabela1[[#This Row],[Total_Mes]]</f>
        <v>0.70408163265306123</v>
      </c>
      <c r="AJ853" s="19">
        <f>COUNTIFS(Tabela1[Fase atual],"Recebido",Tabela1[Mês],Tabela1[[#This Row],[Mês]],Tabela1[Ano],Tabela1[[#This Row],[Ano]])/COUNTIF(Tabela1[Mês],Tabela1[[#This Row],[Mês]])</f>
        <v>0.70408163265306123</v>
      </c>
      <c r="AK853" s="20">
        <f>100%</f>
        <v>1</v>
      </c>
    </row>
    <row r="854" spans="1:37" ht="18" customHeight="1" x14ac:dyDescent="0.25">
      <c r="A854">
        <v>1279343903</v>
      </c>
      <c r="B854" t="s">
        <v>375</v>
      </c>
      <c r="C854" t="s">
        <v>376</v>
      </c>
      <c r="D854" t="s">
        <v>37</v>
      </c>
      <c r="E854" t="s">
        <v>31</v>
      </c>
      <c r="F854" s="2">
        <v>46031.545670173611</v>
      </c>
      <c r="AC854" s="24">
        <f t="shared" ca="1" si="27"/>
        <v>102.45432982638886</v>
      </c>
      <c r="AD854" s="25" t="str">
        <f t="shared" ca="1" si="28"/>
        <v>&gt;60 dias</v>
      </c>
      <c r="AE854" s="25">
        <f>MONTH(Tabela1[[#This Row],[Criado em]])</f>
        <v>1</v>
      </c>
      <c r="AF854" s="25">
        <f>YEAR(Tabela1[[#This Row],[Criado em]])</f>
        <v>2026</v>
      </c>
      <c r="AG854" s="25">
        <f>COUNTIFS(Tabela1[Mês],Tabela1[[#This Row],[Mês]])</f>
        <v>222</v>
      </c>
      <c r="AH854" s="25">
        <f>COUNTIFS(Tabela1[Mês],Tabela1[[#This Row],[Mês]],Tabela1[Fase atual],"Recebido")</f>
        <v>174</v>
      </c>
      <c r="AI854" s="26">
        <f>Tabela1[[#This Row],[Recebido_ Mes]]/Tabela1[[#This Row],[Total_Mes]]</f>
        <v>0.78378378378378377</v>
      </c>
      <c r="AJ854" s="19">
        <f>COUNTIFS(Tabela1[Fase atual],"Recebido",Tabela1[Mês],Tabela1[[#This Row],[Mês]],Tabela1[Ano],Tabela1[[#This Row],[Ano]])/COUNTIF(Tabela1[Mês],Tabela1[[#This Row],[Mês]])</f>
        <v>0.78378378378378377</v>
      </c>
      <c r="AK854" s="20">
        <f>100%</f>
        <v>1</v>
      </c>
    </row>
    <row r="855" spans="1:37" ht="18" customHeight="1" x14ac:dyDescent="0.25">
      <c r="A855">
        <v>1262026303</v>
      </c>
      <c r="B855" t="s">
        <v>1545</v>
      </c>
      <c r="C855" t="s">
        <v>1546</v>
      </c>
      <c r="D855" t="s">
        <v>37</v>
      </c>
      <c r="E855" t="s">
        <v>31</v>
      </c>
      <c r="F855" s="2">
        <v>45992.79436349537</v>
      </c>
      <c r="AC855" s="24">
        <f t="shared" ca="1" si="27"/>
        <v>141.20563650463009</v>
      </c>
      <c r="AD855" s="25" t="str">
        <f t="shared" ca="1" si="28"/>
        <v>&gt;60 dias</v>
      </c>
      <c r="AE855" s="25">
        <f>MONTH(Tabela1[[#This Row],[Criado em]])</f>
        <v>12</v>
      </c>
      <c r="AF855" s="25">
        <f>YEAR(Tabela1[[#This Row],[Criado em]])</f>
        <v>2025</v>
      </c>
      <c r="AG855" s="25">
        <f>COUNTIFS(Tabela1[Mês],Tabela1[[#This Row],[Mês]])</f>
        <v>207</v>
      </c>
      <c r="AH855" s="25">
        <f>COUNTIFS(Tabela1[Mês],Tabela1[[#This Row],[Mês]],Tabela1[Fase atual],"Recebido")</f>
        <v>155</v>
      </c>
      <c r="AI855" s="26">
        <f>Tabela1[[#This Row],[Recebido_ Mes]]/Tabela1[[#This Row],[Total_Mes]]</f>
        <v>0.74879227053140096</v>
      </c>
      <c r="AJ855" s="19">
        <f>COUNTIFS(Tabela1[Fase atual],"Recebido",Tabela1[Mês],Tabela1[[#This Row],[Mês]],Tabela1[Ano],Tabela1[[#This Row],[Ano]])/COUNTIF(Tabela1[Mês],Tabela1[[#This Row],[Mês]])</f>
        <v>0.74879227053140096</v>
      </c>
      <c r="AK855" s="20">
        <f>100%</f>
        <v>1</v>
      </c>
    </row>
    <row r="856" spans="1:37" ht="18" customHeight="1" x14ac:dyDescent="0.25">
      <c r="A856">
        <v>1275000026</v>
      </c>
      <c r="B856" t="s">
        <v>1547</v>
      </c>
      <c r="C856" t="s">
        <v>1548</v>
      </c>
      <c r="D856" t="s">
        <v>37</v>
      </c>
      <c r="E856" t="s">
        <v>31</v>
      </c>
      <c r="F856" s="2">
        <v>46021.819499108788</v>
      </c>
      <c r="AC856" s="24">
        <f t="shared" ca="1" si="27"/>
        <v>112.18050089121243</v>
      </c>
      <c r="AD856" s="25" t="str">
        <f t="shared" ca="1" si="28"/>
        <v>&gt;60 dias</v>
      </c>
      <c r="AE856" s="25">
        <f>MONTH(Tabela1[[#This Row],[Criado em]])</f>
        <v>12</v>
      </c>
      <c r="AF856" s="25">
        <f>YEAR(Tabela1[[#This Row],[Criado em]])</f>
        <v>2025</v>
      </c>
      <c r="AG856" s="25">
        <f>COUNTIFS(Tabela1[Mês],Tabela1[[#This Row],[Mês]])</f>
        <v>207</v>
      </c>
      <c r="AH856" s="25">
        <f>COUNTIFS(Tabela1[Mês],Tabela1[[#This Row],[Mês]],Tabela1[Fase atual],"Recebido")</f>
        <v>155</v>
      </c>
      <c r="AI856" s="26">
        <f>Tabela1[[#This Row],[Recebido_ Mes]]/Tabela1[[#This Row],[Total_Mes]]</f>
        <v>0.74879227053140096</v>
      </c>
      <c r="AJ856" s="19">
        <f>COUNTIFS(Tabela1[Fase atual],"Recebido",Tabela1[Mês],Tabela1[[#This Row],[Mês]],Tabela1[Ano],Tabela1[[#This Row],[Ano]])/COUNTIF(Tabela1[Mês],Tabela1[[#This Row],[Mês]])</f>
        <v>0.74879227053140096</v>
      </c>
      <c r="AK856" s="20">
        <f>100%</f>
        <v>1</v>
      </c>
    </row>
    <row r="857" spans="1:37" ht="18" customHeight="1" x14ac:dyDescent="0.25">
      <c r="A857">
        <v>1223687034</v>
      </c>
      <c r="B857" t="s">
        <v>1549</v>
      </c>
      <c r="C857" t="s">
        <v>1550</v>
      </c>
      <c r="D857" t="s">
        <v>37</v>
      </c>
      <c r="E857" t="s">
        <v>31</v>
      </c>
      <c r="F857" s="2">
        <v>45929.642361782397</v>
      </c>
      <c r="AC857" s="24">
        <f t="shared" ca="1" si="27"/>
        <v>204.35763821760338</v>
      </c>
      <c r="AD857" s="25" t="str">
        <f t="shared" ca="1" si="28"/>
        <v>&gt;60 dias</v>
      </c>
      <c r="AE857" s="25">
        <f>MONTH(Tabela1[[#This Row],[Criado em]])</f>
        <v>9</v>
      </c>
      <c r="AF857" s="25">
        <f>YEAR(Tabela1[[#This Row],[Criado em]])</f>
        <v>2025</v>
      </c>
      <c r="AG857" s="25">
        <f>COUNTIFS(Tabela1[Mês],Tabela1[[#This Row],[Mês]])</f>
        <v>197</v>
      </c>
      <c r="AH857" s="25">
        <f>COUNTIFS(Tabela1[Mês],Tabela1[[#This Row],[Mês]],Tabela1[Fase atual],"Recebido")</f>
        <v>152</v>
      </c>
      <c r="AI857" s="26">
        <f>Tabela1[[#This Row],[Recebido_ Mes]]/Tabela1[[#This Row],[Total_Mes]]</f>
        <v>0.77157360406091369</v>
      </c>
      <c r="AJ857" s="19">
        <f>COUNTIFS(Tabela1[Fase atual],"Recebido",Tabela1[Mês],Tabela1[[#This Row],[Mês]],Tabela1[Ano],Tabela1[[#This Row],[Ano]])/COUNTIF(Tabela1[Mês],Tabela1[[#This Row],[Mês]])</f>
        <v>0.77157360406091369</v>
      </c>
      <c r="AK857" s="20">
        <f>100%</f>
        <v>1</v>
      </c>
    </row>
    <row r="858" spans="1:37" ht="18" customHeight="1" x14ac:dyDescent="0.25">
      <c r="A858">
        <v>1190507890</v>
      </c>
      <c r="B858" t="s">
        <v>1551</v>
      </c>
      <c r="C858" t="s">
        <v>1552</v>
      </c>
      <c r="D858" t="s">
        <v>37</v>
      </c>
      <c r="E858" t="s">
        <v>31</v>
      </c>
      <c r="F858" s="2">
        <v>45876.850684212957</v>
      </c>
      <c r="AC858" s="24">
        <f t="shared" ca="1" si="27"/>
        <v>257.14931578704272</v>
      </c>
      <c r="AD858" s="25" t="str">
        <f t="shared" ca="1" si="28"/>
        <v>&gt;60 dias</v>
      </c>
      <c r="AE858" s="25">
        <f>MONTH(Tabela1[[#This Row],[Criado em]])</f>
        <v>8</v>
      </c>
      <c r="AF858" s="25">
        <f>YEAR(Tabela1[[#This Row],[Criado em]])</f>
        <v>2025</v>
      </c>
      <c r="AG858" s="25">
        <f>COUNTIFS(Tabela1[Mês],Tabela1[[#This Row],[Mês]])</f>
        <v>146</v>
      </c>
      <c r="AH858" s="25">
        <f>COUNTIFS(Tabela1[Mês],Tabela1[[#This Row],[Mês]],Tabela1[Fase atual],"Recebido")</f>
        <v>115</v>
      </c>
      <c r="AI858" s="26">
        <f>Tabela1[[#This Row],[Recebido_ Mes]]/Tabela1[[#This Row],[Total_Mes]]</f>
        <v>0.78767123287671237</v>
      </c>
      <c r="AJ858" s="19">
        <f>COUNTIFS(Tabela1[Fase atual],"Recebido",Tabela1[Mês],Tabela1[[#This Row],[Mês]],Tabela1[Ano],Tabela1[[#This Row],[Ano]])/COUNTIF(Tabela1[Mês],Tabela1[[#This Row],[Mês]])</f>
        <v>0.78767123287671237</v>
      </c>
      <c r="AK858" s="20">
        <f>100%</f>
        <v>1</v>
      </c>
    </row>
    <row r="859" spans="1:37" ht="18" customHeight="1" x14ac:dyDescent="0.25">
      <c r="A859">
        <v>1202541484</v>
      </c>
      <c r="B859" t="s">
        <v>1553</v>
      </c>
      <c r="C859" t="s">
        <v>1554</v>
      </c>
      <c r="D859" t="s">
        <v>37</v>
      </c>
      <c r="E859" t="s">
        <v>31</v>
      </c>
      <c r="F859" s="2">
        <v>45895.849844895827</v>
      </c>
      <c r="AC859" s="24">
        <f t="shared" ca="1" si="27"/>
        <v>238.15015510417288</v>
      </c>
      <c r="AD859" s="25" t="str">
        <f t="shared" ca="1" si="28"/>
        <v>&gt;60 dias</v>
      </c>
      <c r="AE859" s="25">
        <f>MONTH(Tabela1[[#This Row],[Criado em]])</f>
        <v>8</v>
      </c>
      <c r="AF859" s="25">
        <f>YEAR(Tabela1[[#This Row],[Criado em]])</f>
        <v>2025</v>
      </c>
      <c r="AG859" s="25">
        <f>COUNTIFS(Tabela1[Mês],Tabela1[[#This Row],[Mês]])</f>
        <v>146</v>
      </c>
      <c r="AH859" s="25">
        <f>COUNTIFS(Tabela1[Mês],Tabela1[[#This Row],[Mês]],Tabela1[Fase atual],"Recebido")</f>
        <v>115</v>
      </c>
      <c r="AI859" s="26">
        <f>Tabela1[[#This Row],[Recebido_ Mes]]/Tabela1[[#This Row],[Total_Mes]]</f>
        <v>0.78767123287671237</v>
      </c>
      <c r="AJ859" s="19">
        <f>COUNTIFS(Tabela1[Fase atual],"Recebido",Tabela1[Mês],Tabela1[[#This Row],[Mês]],Tabela1[Ano],Tabela1[[#This Row],[Ano]])/COUNTIF(Tabela1[Mês],Tabela1[[#This Row],[Mês]])</f>
        <v>0.78767123287671237</v>
      </c>
      <c r="AK859" s="20">
        <f>100%</f>
        <v>1</v>
      </c>
    </row>
    <row r="860" spans="1:37" ht="18" customHeight="1" x14ac:dyDescent="0.25">
      <c r="A860">
        <v>1285080680</v>
      </c>
      <c r="B860" t="s">
        <v>377</v>
      </c>
      <c r="C860" t="s">
        <v>378</v>
      </c>
      <c r="D860" t="s">
        <v>37</v>
      </c>
      <c r="E860" t="s">
        <v>31</v>
      </c>
      <c r="F860" s="2">
        <v>46043.626757048609</v>
      </c>
      <c r="AC860" s="24">
        <f t="shared" ca="1" si="27"/>
        <v>90.373242951391148</v>
      </c>
      <c r="AD860" s="25" t="str">
        <f t="shared" ca="1" si="28"/>
        <v>&gt;60 dias</v>
      </c>
      <c r="AE860" s="25">
        <f>MONTH(Tabela1[[#This Row],[Criado em]])</f>
        <v>1</v>
      </c>
      <c r="AF860" s="25">
        <f>YEAR(Tabela1[[#This Row],[Criado em]])</f>
        <v>2026</v>
      </c>
      <c r="AG860" s="25">
        <f>COUNTIFS(Tabela1[Mês],Tabela1[[#This Row],[Mês]])</f>
        <v>222</v>
      </c>
      <c r="AH860" s="25">
        <f>COUNTIFS(Tabela1[Mês],Tabela1[[#This Row],[Mês]],Tabela1[Fase atual],"Recebido")</f>
        <v>174</v>
      </c>
      <c r="AI860" s="26">
        <f>Tabela1[[#This Row],[Recebido_ Mes]]/Tabela1[[#This Row],[Total_Mes]]</f>
        <v>0.78378378378378377</v>
      </c>
      <c r="AJ860" s="19">
        <f>COUNTIFS(Tabela1[Fase atual],"Recebido",Tabela1[Mês],Tabela1[[#This Row],[Mês]],Tabela1[Ano],Tabela1[[#This Row],[Ano]])/COUNTIF(Tabela1[Mês],Tabela1[[#This Row],[Mês]])</f>
        <v>0.78378378378378377</v>
      </c>
      <c r="AK860" s="20">
        <f>100%</f>
        <v>1</v>
      </c>
    </row>
    <row r="861" spans="1:37" ht="18" customHeight="1" x14ac:dyDescent="0.25">
      <c r="A861">
        <v>1307051382</v>
      </c>
      <c r="B861" t="s">
        <v>2243</v>
      </c>
      <c r="C861" t="s">
        <v>2244</v>
      </c>
      <c r="D861" t="s">
        <v>37</v>
      </c>
      <c r="E861" t="s">
        <v>31</v>
      </c>
      <c r="F861" s="2">
        <v>46083.582025393524</v>
      </c>
      <c r="AC861" s="24">
        <f t="shared" ca="1" si="27"/>
        <v>50.417974606476491</v>
      </c>
      <c r="AD861" s="25" t="str">
        <f t="shared" ca="1" si="28"/>
        <v>31-60 dias</v>
      </c>
      <c r="AE861" s="25">
        <f>MONTH(Tabela1[[#This Row],[Criado em]])</f>
        <v>3</v>
      </c>
      <c r="AF861" s="25">
        <f>YEAR(Tabela1[[#This Row],[Criado em]])</f>
        <v>2026</v>
      </c>
      <c r="AG861" s="25">
        <f>COUNTIFS(Tabela1[Mês],Tabela1[[#This Row],[Mês]])</f>
        <v>62</v>
      </c>
      <c r="AH861" s="25">
        <f>COUNTIFS(Tabela1[Mês],Tabela1[[#This Row],[Mês]],Tabela1[Fase atual],"Recebido")</f>
        <v>13</v>
      </c>
      <c r="AI861" s="26">
        <f>Tabela1[[#This Row],[Recebido_ Mes]]/Tabela1[[#This Row],[Total_Mes]]</f>
        <v>0.20967741935483872</v>
      </c>
      <c r="AJ861" s="19">
        <f>COUNTIFS(Tabela1[Fase atual],"Recebido",Tabela1[Mês],Tabela1[[#This Row],[Mês]],Tabela1[Ano],Tabela1[[#This Row],[Ano]])/COUNTIF(Tabela1[Mês],Tabela1[[#This Row],[Mês]])</f>
        <v>0.20967741935483872</v>
      </c>
      <c r="AK861" s="20">
        <f>100%</f>
        <v>1</v>
      </c>
    </row>
    <row r="862" spans="1:37" ht="18" customHeight="1" x14ac:dyDescent="0.25">
      <c r="A862">
        <v>1307051629</v>
      </c>
      <c r="B862" t="s">
        <v>2243</v>
      </c>
      <c r="C862" t="s">
        <v>2244</v>
      </c>
      <c r="D862" t="s">
        <v>37</v>
      </c>
      <c r="E862" t="s">
        <v>31</v>
      </c>
      <c r="F862" s="2">
        <v>46083.582239537027</v>
      </c>
      <c r="AC862" s="24">
        <f t="shared" ca="1" si="27"/>
        <v>50.417760462973092</v>
      </c>
      <c r="AD862" s="25" t="str">
        <f t="shared" ca="1" si="28"/>
        <v>31-60 dias</v>
      </c>
      <c r="AE862" s="25">
        <f>MONTH(Tabela1[[#This Row],[Criado em]])</f>
        <v>3</v>
      </c>
      <c r="AF862" s="25">
        <f>YEAR(Tabela1[[#This Row],[Criado em]])</f>
        <v>2026</v>
      </c>
      <c r="AG862" s="25">
        <f>COUNTIFS(Tabela1[Mês],Tabela1[[#This Row],[Mês]])</f>
        <v>62</v>
      </c>
      <c r="AH862" s="25">
        <f>COUNTIFS(Tabela1[Mês],Tabela1[[#This Row],[Mês]],Tabela1[Fase atual],"Recebido")</f>
        <v>13</v>
      </c>
      <c r="AI862" s="26">
        <f>Tabela1[[#This Row],[Recebido_ Mes]]/Tabela1[[#This Row],[Total_Mes]]</f>
        <v>0.20967741935483872</v>
      </c>
      <c r="AJ862" s="19">
        <f>COUNTIFS(Tabela1[Fase atual],"Recebido",Tabela1[Mês],Tabela1[[#This Row],[Mês]],Tabela1[Ano],Tabela1[[#This Row],[Ano]])/COUNTIF(Tabela1[Mês],Tabela1[[#This Row],[Mês]])</f>
        <v>0.20967741935483872</v>
      </c>
      <c r="AK862" s="20">
        <f>100%</f>
        <v>1</v>
      </c>
    </row>
    <row r="863" spans="1:37" ht="18" customHeight="1" x14ac:dyDescent="0.25">
      <c r="A863">
        <v>1231463063</v>
      </c>
      <c r="B863" t="s">
        <v>1555</v>
      </c>
      <c r="C863" t="s">
        <v>1556</v>
      </c>
      <c r="D863" t="s">
        <v>37</v>
      </c>
      <c r="E863" t="s">
        <v>31</v>
      </c>
      <c r="F863" s="2">
        <v>45939.852505844901</v>
      </c>
      <c r="AC863" s="24">
        <f t="shared" ca="1" si="27"/>
        <v>194.14749415509868</v>
      </c>
      <c r="AD863" s="25" t="str">
        <f t="shared" ca="1" si="28"/>
        <v>&gt;60 dias</v>
      </c>
      <c r="AE863" s="25">
        <f>MONTH(Tabela1[[#This Row],[Criado em]])</f>
        <v>10</v>
      </c>
      <c r="AF863" s="25">
        <f>YEAR(Tabela1[[#This Row],[Criado em]])</f>
        <v>2025</v>
      </c>
      <c r="AG863" s="25">
        <f>COUNTIFS(Tabela1[Mês],Tabela1[[#This Row],[Mês]])</f>
        <v>196</v>
      </c>
      <c r="AH863" s="25">
        <f>COUNTIFS(Tabela1[Mês],Tabela1[[#This Row],[Mês]],Tabela1[Fase atual],"Recebido")</f>
        <v>138</v>
      </c>
      <c r="AI863" s="26">
        <f>Tabela1[[#This Row],[Recebido_ Mes]]/Tabela1[[#This Row],[Total_Mes]]</f>
        <v>0.70408163265306123</v>
      </c>
      <c r="AJ863" s="19">
        <f>COUNTIFS(Tabela1[Fase atual],"Recebido",Tabela1[Mês],Tabela1[[#This Row],[Mês]],Tabela1[Ano],Tabela1[[#This Row],[Ano]])/COUNTIF(Tabela1[Mês],Tabela1[[#This Row],[Mês]])</f>
        <v>0.70408163265306123</v>
      </c>
      <c r="AK863" s="20">
        <f>100%</f>
        <v>1</v>
      </c>
    </row>
    <row r="864" spans="1:37" ht="18" customHeight="1" x14ac:dyDescent="0.25">
      <c r="A864">
        <v>1191398408</v>
      </c>
      <c r="B864" t="s">
        <v>1557</v>
      </c>
      <c r="C864" t="s">
        <v>1558</v>
      </c>
      <c r="D864" t="s">
        <v>37</v>
      </c>
      <c r="E864" t="s">
        <v>31</v>
      </c>
      <c r="F864" s="2">
        <v>45877.713560625001</v>
      </c>
      <c r="AC864" s="24">
        <f t="shared" ca="1" si="27"/>
        <v>256.28643937499874</v>
      </c>
      <c r="AD864" s="25" t="str">
        <f t="shared" ca="1" si="28"/>
        <v>&gt;60 dias</v>
      </c>
      <c r="AE864" s="25">
        <f>MONTH(Tabela1[[#This Row],[Criado em]])</f>
        <v>8</v>
      </c>
      <c r="AF864" s="25">
        <f>YEAR(Tabela1[[#This Row],[Criado em]])</f>
        <v>2025</v>
      </c>
      <c r="AG864" s="25">
        <f>COUNTIFS(Tabela1[Mês],Tabela1[[#This Row],[Mês]])</f>
        <v>146</v>
      </c>
      <c r="AH864" s="25">
        <f>COUNTIFS(Tabela1[Mês],Tabela1[[#This Row],[Mês]],Tabela1[Fase atual],"Recebido")</f>
        <v>115</v>
      </c>
      <c r="AI864" s="26">
        <f>Tabela1[[#This Row],[Recebido_ Mes]]/Tabela1[[#This Row],[Total_Mes]]</f>
        <v>0.78767123287671237</v>
      </c>
      <c r="AJ864" s="19">
        <f>COUNTIFS(Tabela1[Fase atual],"Recebido",Tabela1[Mês],Tabela1[[#This Row],[Mês]],Tabela1[Ano],Tabela1[[#This Row],[Ano]])/COUNTIF(Tabela1[Mês],Tabela1[[#This Row],[Mês]])</f>
        <v>0.78767123287671237</v>
      </c>
      <c r="AK864" s="20">
        <f>100%</f>
        <v>1</v>
      </c>
    </row>
    <row r="865" spans="1:37" ht="18" customHeight="1" x14ac:dyDescent="0.25">
      <c r="A865">
        <v>1183390911</v>
      </c>
      <c r="B865" t="s">
        <v>1557</v>
      </c>
      <c r="C865" t="s">
        <v>1559</v>
      </c>
      <c r="D865" t="s">
        <v>37</v>
      </c>
      <c r="E865" t="s">
        <v>31</v>
      </c>
      <c r="F865" s="2">
        <v>45863.825447673611</v>
      </c>
      <c r="AC865" s="24">
        <f t="shared" ca="1" si="27"/>
        <v>270.17455232638895</v>
      </c>
      <c r="AD865" s="25" t="str">
        <f t="shared" ca="1" si="28"/>
        <v>&gt;60 dias</v>
      </c>
      <c r="AE865" s="25">
        <f>MONTH(Tabela1[[#This Row],[Criado em]])</f>
        <v>7</v>
      </c>
      <c r="AF865" s="25">
        <f>YEAR(Tabela1[[#This Row],[Criado em]])</f>
        <v>2025</v>
      </c>
      <c r="AG865" s="25">
        <f>COUNTIFS(Tabela1[Mês],Tabela1[[#This Row],[Mês]])</f>
        <v>177</v>
      </c>
      <c r="AH865" s="25">
        <f>COUNTIFS(Tabela1[Mês],Tabela1[[#This Row],[Mês]],Tabela1[Fase atual],"Recebido")</f>
        <v>130</v>
      </c>
      <c r="AI865" s="26">
        <f>Tabela1[[#This Row],[Recebido_ Mes]]/Tabela1[[#This Row],[Total_Mes]]</f>
        <v>0.7344632768361582</v>
      </c>
      <c r="AJ865" s="19">
        <f>COUNTIFS(Tabela1[Fase atual],"Recebido",Tabela1[Mês],Tabela1[[#This Row],[Mês]],Tabela1[Ano],Tabela1[[#This Row],[Ano]])/COUNTIF(Tabela1[Mês],Tabela1[[#This Row],[Mês]])</f>
        <v>0.7344632768361582</v>
      </c>
      <c r="AK865" s="20">
        <f>100%</f>
        <v>1</v>
      </c>
    </row>
    <row r="866" spans="1:37" ht="18" customHeight="1" x14ac:dyDescent="0.25">
      <c r="A866">
        <v>1200310849</v>
      </c>
      <c r="B866" t="s">
        <v>1560</v>
      </c>
      <c r="C866" t="s">
        <v>1561</v>
      </c>
      <c r="D866" t="s">
        <v>37</v>
      </c>
      <c r="E866" t="s">
        <v>31</v>
      </c>
      <c r="F866" s="2">
        <v>45891.851578182883</v>
      </c>
      <c r="AC866" s="24">
        <f t="shared" ca="1" si="27"/>
        <v>242.1484218171172</v>
      </c>
      <c r="AD866" s="25" t="str">
        <f t="shared" ca="1" si="28"/>
        <v>&gt;60 dias</v>
      </c>
      <c r="AE866" s="25">
        <f>MONTH(Tabela1[[#This Row],[Criado em]])</f>
        <v>8</v>
      </c>
      <c r="AF866" s="25">
        <f>YEAR(Tabela1[[#This Row],[Criado em]])</f>
        <v>2025</v>
      </c>
      <c r="AG866" s="25">
        <f>COUNTIFS(Tabela1[Mês],Tabela1[[#This Row],[Mês]])</f>
        <v>146</v>
      </c>
      <c r="AH866" s="25">
        <f>COUNTIFS(Tabela1[Mês],Tabela1[[#This Row],[Mês]],Tabela1[Fase atual],"Recebido")</f>
        <v>115</v>
      </c>
      <c r="AI866" s="26">
        <f>Tabela1[[#This Row],[Recebido_ Mes]]/Tabela1[[#This Row],[Total_Mes]]</f>
        <v>0.78767123287671237</v>
      </c>
      <c r="AJ866" s="19">
        <f>COUNTIFS(Tabela1[Fase atual],"Recebido",Tabela1[Mês],Tabela1[[#This Row],[Mês]],Tabela1[Ano],Tabela1[[#This Row],[Ano]])/COUNTIF(Tabela1[Mês],Tabela1[[#This Row],[Mês]])</f>
        <v>0.78767123287671237</v>
      </c>
      <c r="AK866" s="20">
        <f>100%</f>
        <v>1</v>
      </c>
    </row>
    <row r="867" spans="1:37" ht="18" customHeight="1" x14ac:dyDescent="0.25">
      <c r="A867">
        <v>1200310916</v>
      </c>
      <c r="B867" t="s">
        <v>1560</v>
      </c>
      <c r="C867" t="s">
        <v>1562</v>
      </c>
      <c r="D867" t="s">
        <v>37</v>
      </c>
      <c r="E867" t="s">
        <v>31</v>
      </c>
      <c r="F867" s="2">
        <v>45891.851631805563</v>
      </c>
      <c r="AC867" s="24">
        <f t="shared" ca="1" si="27"/>
        <v>242.14836819443735</v>
      </c>
      <c r="AD867" s="25" t="str">
        <f t="shared" ca="1" si="28"/>
        <v>&gt;60 dias</v>
      </c>
      <c r="AE867" s="25">
        <f>MONTH(Tabela1[[#This Row],[Criado em]])</f>
        <v>8</v>
      </c>
      <c r="AF867" s="25">
        <f>YEAR(Tabela1[[#This Row],[Criado em]])</f>
        <v>2025</v>
      </c>
      <c r="AG867" s="25">
        <f>COUNTIFS(Tabela1[Mês],Tabela1[[#This Row],[Mês]])</f>
        <v>146</v>
      </c>
      <c r="AH867" s="25">
        <f>COUNTIFS(Tabela1[Mês],Tabela1[[#This Row],[Mês]],Tabela1[Fase atual],"Recebido")</f>
        <v>115</v>
      </c>
      <c r="AI867" s="26">
        <f>Tabela1[[#This Row],[Recebido_ Mes]]/Tabela1[[#This Row],[Total_Mes]]</f>
        <v>0.78767123287671237</v>
      </c>
      <c r="AJ867" s="19">
        <f>COUNTIFS(Tabela1[Fase atual],"Recebido",Tabela1[Mês],Tabela1[[#This Row],[Mês]],Tabela1[Ano],Tabela1[[#This Row],[Ano]])/COUNTIF(Tabela1[Mês],Tabela1[[#This Row],[Mês]])</f>
        <v>0.78767123287671237</v>
      </c>
      <c r="AK867" s="20">
        <f>100%</f>
        <v>1</v>
      </c>
    </row>
    <row r="868" spans="1:37" ht="18" customHeight="1" x14ac:dyDescent="0.25">
      <c r="A868">
        <v>1171971888</v>
      </c>
      <c r="B868" t="s">
        <v>379</v>
      </c>
      <c r="C868" t="s">
        <v>1563</v>
      </c>
      <c r="D868" t="s">
        <v>784</v>
      </c>
      <c r="E868" t="s">
        <v>31</v>
      </c>
      <c r="F868" s="2">
        <v>45842.852706701393</v>
      </c>
      <c r="AC868" s="24">
        <f t="shared" ca="1" si="27"/>
        <v>291.14729329860711</v>
      </c>
      <c r="AD868" s="25" t="str">
        <f t="shared" ca="1" si="28"/>
        <v>&gt;60 dias</v>
      </c>
      <c r="AE868" s="25">
        <f>MONTH(Tabela1[[#This Row],[Criado em]])</f>
        <v>7</v>
      </c>
      <c r="AF868" s="25">
        <f>YEAR(Tabela1[[#This Row],[Criado em]])</f>
        <v>2025</v>
      </c>
      <c r="AG868" s="25">
        <f>COUNTIFS(Tabela1[Mês],Tabela1[[#This Row],[Mês]])</f>
        <v>177</v>
      </c>
      <c r="AH868" s="25">
        <f>COUNTIFS(Tabela1[Mês],Tabela1[[#This Row],[Mês]],Tabela1[Fase atual],"Recebido")</f>
        <v>130</v>
      </c>
      <c r="AI868" s="26">
        <f>Tabela1[[#This Row],[Recebido_ Mes]]/Tabela1[[#This Row],[Total_Mes]]</f>
        <v>0.7344632768361582</v>
      </c>
      <c r="AJ868" s="19">
        <f>COUNTIFS(Tabela1[Fase atual],"Recebido",Tabela1[Mês],Tabela1[[#This Row],[Mês]],Tabela1[Ano],Tabela1[[#This Row],[Ano]])/COUNTIF(Tabela1[Mês],Tabela1[[#This Row],[Mês]])</f>
        <v>0.7344632768361582</v>
      </c>
      <c r="AK868" s="20">
        <f>100%</f>
        <v>1</v>
      </c>
    </row>
    <row r="869" spans="1:37" ht="18" customHeight="1" x14ac:dyDescent="0.25">
      <c r="A869">
        <v>1286721641</v>
      </c>
      <c r="B869" t="s">
        <v>379</v>
      </c>
      <c r="C869" t="s">
        <v>380</v>
      </c>
      <c r="D869" t="s">
        <v>37</v>
      </c>
      <c r="E869" t="s">
        <v>31</v>
      </c>
      <c r="F869" s="2">
        <v>46045.796657268518</v>
      </c>
      <c r="AC869" s="24">
        <f t="shared" ca="1" si="27"/>
        <v>88.203342731481825</v>
      </c>
      <c r="AD869" s="25" t="str">
        <f t="shared" ca="1" si="28"/>
        <v>&gt;60 dias</v>
      </c>
      <c r="AE869" s="25">
        <f>MONTH(Tabela1[[#This Row],[Criado em]])</f>
        <v>1</v>
      </c>
      <c r="AF869" s="25">
        <f>YEAR(Tabela1[[#This Row],[Criado em]])</f>
        <v>2026</v>
      </c>
      <c r="AG869" s="25">
        <f>COUNTIFS(Tabela1[Mês],Tabela1[[#This Row],[Mês]])</f>
        <v>222</v>
      </c>
      <c r="AH869" s="25">
        <f>COUNTIFS(Tabela1[Mês],Tabela1[[#This Row],[Mês]],Tabela1[Fase atual],"Recebido")</f>
        <v>174</v>
      </c>
      <c r="AI869" s="26">
        <f>Tabela1[[#This Row],[Recebido_ Mes]]/Tabela1[[#This Row],[Total_Mes]]</f>
        <v>0.78378378378378377</v>
      </c>
      <c r="AJ869" s="19">
        <f>COUNTIFS(Tabela1[Fase atual],"Recebido",Tabela1[Mês],Tabela1[[#This Row],[Mês]],Tabela1[Ano],Tabela1[[#This Row],[Ano]])/COUNTIF(Tabela1[Mês],Tabela1[[#This Row],[Mês]])</f>
        <v>0.78378378378378377</v>
      </c>
      <c r="AK869" s="20">
        <f>100%</f>
        <v>1</v>
      </c>
    </row>
    <row r="870" spans="1:37" ht="18" customHeight="1" x14ac:dyDescent="0.25">
      <c r="A870">
        <v>1195440703</v>
      </c>
      <c r="B870" t="s">
        <v>379</v>
      </c>
      <c r="C870" t="s">
        <v>1564</v>
      </c>
      <c r="D870" t="s">
        <v>40</v>
      </c>
      <c r="E870" t="s">
        <v>31</v>
      </c>
      <c r="F870" s="2">
        <v>45883.851031319442</v>
      </c>
      <c r="AC870" s="24">
        <f t="shared" ca="1" si="27"/>
        <v>250.14896868055803</v>
      </c>
      <c r="AD870" s="25" t="str">
        <f t="shared" ca="1" si="28"/>
        <v>&gt;60 dias</v>
      </c>
      <c r="AE870" s="25">
        <f>MONTH(Tabela1[[#This Row],[Criado em]])</f>
        <v>8</v>
      </c>
      <c r="AF870" s="25">
        <f>YEAR(Tabela1[[#This Row],[Criado em]])</f>
        <v>2025</v>
      </c>
      <c r="AG870" s="25">
        <f>COUNTIFS(Tabela1[Mês],Tabela1[[#This Row],[Mês]])</f>
        <v>146</v>
      </c>
      <c r="AH870" s="25">
        <f>COUNTIFS(Tabela1[Mês],Tabela1[[#This Row],[Mês]],Tabela1[Fase atual],"Recebido")</f>
        <v>115</v>
      </c>
      <c r="AI870" s="26">
        <f>Tabela1[[#This Row],[Recebido_ Mes]]/Tabela1[[#This Row],[Total_Mes]]</f>
        <v>0.78767123287671237</v>
      </c>
      <c r="AJ870" s="19">
        <f>COUNTIFS(Tabela1[Fase atual],"Recebido",Tabela1[Mês],Tabela1[[#This Row],[Mês]],Tabela1[Ano],Tabela1[[#This Row],[Ano]])/COUNTIF(Tabela1[Mês],Tabela1[[#This Row],[Mês]])</f>
        <v>0.78767123287671237</v>
      </c>
      <c r="AK870" s="20">
        <f>100%</f>
        <v>1</v>
      </c>
    </row>
    <row r="871" spans="1:37" ht="18" customHeight="1" x14ac:dyDescent="0.25">
      <c r="A871">
        <v>1179654787</v>
      </c>
      <c r="B871" t="s">
        <v>381</v>
      </c>
      <c r="C871" t="s">
        <v>382</v>
      </c>
      <c r="D871" t="s">
        <v>37</v>
      </c>
      <c r="E871" t="s">
        <v>31</v>
      </c>
      <c r="F871" s="2">
        <v>45858.643862708333</v>
      </c>
      <c r="AC871" s="24">
        <f t="shared" ca="1" si="27"/>
        <v>275.35613729166653</v>
      </c>
      <c r="AD871" s="25" t="str">
        <f t="shared" ca="1" si="28"/>
        <v>&gt;60 dias</v>
      </c>
      <c r="AE871" s="25">
        <f>MONTH(Tabela1[[#This Row],[Criado em]])</f>
        <v>7</v>
      </c>
      <c r="AF871" s="25">
        <f>YEAR(Tabela1[[#This Row],[Criado em]])</f>
        <v>2025</v>
      </c>
      <c r="AG871" s="25">
        <f>COUNTIFS(Tabela1[Mês],Tabela1[[#This Row],[Mês]])</f>
        <v>177</v>
      </c>
      <c r="AH871" s="25">
        <f>COUNTIFS(Tabela1[Mês],Tabela1[[#This Row],[Mês]],Tabela1[Fase atual],"Recebido")</f>
        <v>130</v>
      </c>
      <c r="AI871" s="26">
        <f>Tabela1[[#This Row],[Recebido_ Mes]]/Tabela1[[#This Row],[Total_Mes]]</f>
        <v>0.7344632768361582</v>
      </c>
      <c r="AJ871" s="19">
        <f>COUNTIFS(Tabela1[Fase atual],"Recebido",Tabela1[Mês],Tabela1[[#This Row],[Mês]],Tabela1[Ano],Tabela1[[#This Row],[Ano]])/COUNTIF(Tabela1[Mês],Tabela1[[#This Row],[Mês]])</f>
        <v>0.7344632768361582</v>
      </c>
      <c r="AK871" s="20">
        <f>100%</f>
        <v>1</v>
      </c>
    </row>
    <row r="872" spans="1:37" ht="18" customHeight="1" x14ac:dyDescent="0.25">
      <c r="A872">
        <v>1177542755</v>
      </c>
      <c r="B872" t="s">
        <v>381</v>
      </c>
      <c r="C872" t="s">
        <v>382</v>
      </c>
      <c r="D872" t="s">
        <v>37</v>
      </c>
      <c r="E872" t="s">
        <v>31</v>
      </c>
      <c r="F872" s="2">
        <v>45854.851242766214</v>
      </c>
      <c r="AC872" s="24">
        <f t="shared" ca="1" si="27"/>
        <v>279.14875723378645</v>
      </c>
      <c r="AD872" s="25" t="str">
        <f t="shared" ca="1" si="28"/>
        <v>&gt;60 dias</v>
      </c>
      <c r="AE872" s="25">
        <f>MONTH(Tabela1[[#This Row],[Criado em]])</f>
        <v>7</v>
      </c>
      <c r="AF872" s="25">
        <f>YEAR(Tabela1[[#This Row],[Criado em]])</f>
        <v>2025</v>
      </c>
      <c r="AG872" s="25">
        <f>COUNTIFS(Tabela1[Mês],Tabela1[[#This Row],[Mês]])</f>
        <v>177</v>
      </c>
      <c r="AH872" s="25">
        <f>COUNTIFS(Tabela1[Mês],Tabela1[[#This Row],[Mês]],Tabela1[Fase atual],"Recebido")</f>
        <v>130</v>
      </c>
      <c r="AI872" s="26">
        <f>Tabela1[[#This Row],[Recebido_ Mes]]/Tabela1[[#This Row],[Total_Mes]]</f>
        <v>0.7344632768361582</v>
      </c>
      <c r="AJ872" s="19">
        <f>COUNTIFS(Tabela1[Fase atual],"Recebido",Tabela1[Mês],Tabela1[[#This Row],[Mês]],Tabela1[Ano],Tabela1[[#This Row],[Ano]])/COUNTIF(Tabela1[Mês],Tabela1[[#This Row],[Mês]])</f>
        <v>0.7344632768361582</v>
      </c>
      <c r="AK872" s="20">
        <f>100%</f>
        <v>1</v>
      </c>
    </row>
    <row r="873" spans="1:37" ht="18" customHeight="1" x14ac:dyDescent="0.25">
      <c r="A873">
        <v>1260496256</v>
      </c>
      <c r="B873" t="s">
        <v>381</v>
      </c>
      <c r="C873" t="s">
        <v>382</v>
      </c>
      <c r="D873" t="s">
        <v>37</v>
      </c>
      <c r="E873" t="s">
        <v>31</v>
      </c>
      <c r="F873" s="2">
        <v>45988.796817152783</v>
      </c>
      <c r="AC873" s="24">
        <f t="shared" ca="1" si="27"/>
        <v>145.20318284721725</v>
      </c>
      <c r="AD873" s="25" t="str">
        <f t="shared" ca="1" si="28"/>
        <v>&gt;60 dias</v>
      </c>
      <c r="AE873" s="25">
        <f>MONTH(Tabela1[[#This Row],[Criado em]])</f>
        <v>11</v>
      </c>
      <c r="AF873" s="25">
        <f>YEAR(Tabela1[[#This Row],[Criado em]])</f>
        <v>2025</v>
      </c>
      <c r="AG873" s="25">
        <f>COUNTIFS(Tabela1[Mês],Tabela1[[#This Row],[Mês]])</f>
        <v>130</v>
      </c>
      <c r="AH873" s="25">
        <f>COUNTIFS(Tabela1[Mês],Tabela1[[#This Row],[Mês]],Tabela1[Fase atual],"Recebido")</f>
        <v>100</v>
      </c>
      <c r="AI873" s="26">
        <f>Tabela1[[#This Row],[Recebido_ Mes]]/Tabela1[[#This Row],[Total_Mes]]</f>
        <v>0.76923076923076927</v>
      </c>
      <c r="AJ873" s="19">
        <f>COUNTIFS(Tabela1[Fase atual],"Recebido",Tabela1[Mês],Tabela1[[#This Row],[Mês]],Tabela1[Ano],Tabela1[[#This Row],[Ano]])/COUNTIF(Tabela1[Mês],Tabela1[[#This Row],[Mês]])</f>
        <v>0.76923076923076927</v>
      </c>
      <c r="AK873" s="20">
        <f>100%</f>
        <v>1</v>
      </c>
    </row>
    <row r="874" spans="1:37" ht="18" customHeight="1" x14ac:dyDescent="0.25">
      <c r="A874">
        <v>1198887678</v>
      </c>
      <c r="B874" t="s">
        <v>381</v>
      </c>
      <c r="C874" t="s">
        <v>382</v>
      </c>
      <c r="D874" t="s">
        <v>37</v>
      </c>
      <c r="E874" t="s">
        <v>31</v>
      </c>
      <c r="F874" s="2">
        <v>45889.852156770838</v>
      </c>
      <c r="AC874" s="24">
        <f t="shared" ca="1" si="27"/>
        <v>244.14784322916239</v>
      </c>
      <c r="AD874" s="25" t="str">
        <f t="shared" ca="1" si="28"/>
        <v>&gt;60 dias</v>
      </c>
      <c r="AE874" s="25">
        <f>MONTH(Tabela1[[#This Row],[Criado em]])</f>
        <v>8</v>
      </c>
      <c r="AF874" s="25">
        <f>YEAR(Tabela1[[#This Row],[Criado em]])</f>
        <v>2025</v>
      </c>
      <c r="AG874" s="25">
        <f>COUNTIFS(Tabela1[Mês],Tabela1[[#This Row],[Mês]])</f>
        <v>146</v>
      </c>
      <c r="AH874" s="25">
        <f>COUNTIFS(Tabela1[Mês],Tabela1[[#This Row],[Mês]],Tabela1[Fase atual],"Recebido")</f>
        <v>115</v>
      </c>
      <c r="AI874" s="26">
        <f>Tabela1[[#This Row],[Recebido_ Mes]]/Tabela1[[#This Row],[Total_Mes]]</f>
        <v>0.78767123287671237</v>
      </c>
      <c r="AJ874" s="19">
        <f>COUNTIFS(Tabela1[Fase atual],"Recebido",Tabela1[Mês],Tabela1[[#This Row],[Mês]],Tabela1[Ano],Tabela1[[#This Row],[Ano]])/COUNTIF(Tabela1[Mês],Tabela1[[#This Row],[Mês]])</f>
        <v>0.78767123287671237</v>
      </c>
      <c r="AK874" s="20">
        <f>100%</f>
        <v>1</v>
      </c>
    </row>
    <row r="875" spans="1:37" ht="18" customHeight="1" x14ac:dyDescent="0.25">
      <c r="A875">
        <v>1240711662</v>
      </c>
      <c r="B875" t="s">
        <v>381</v>
      </c>
      <c r="C875" t="s">
        <v>382</v>
      </c>
      <c r="D875" t="s">
        <v>37</v>
      </c>
      <c r="E875" t="s">
        <v>31</v>
      </c>
      <c r="F875" s="2">
        <v>45951.795797453713</v>
      </c>
      <c r="AC875" s="24">
        <f t="shared" ca="1" si="27"/>
        <v>182.20420254628698</v>
      </c>
      <c r="AD875" s="25" t="str">
        <f t="shared" ca="1" si="28"/>
        <v>&gt;60 dias</v>
      </c>
      <c r="AE875" s="25">
        <f>MONTH(Tabela1[[#This Row],[Criado em]])</f>
        <v>10</v>
      </c>
      <c r="AF875" s="25">
        <f>YEAR(Tabela1[[#This Row],[Criado em]])</f>
        <v>2025</v>
      </c>
      <c r="AG875" s="25">
        <f>COUNTIFS(Tabela1[Mês],Tabela1[[#This Row],[Mês]])</f>
        <v>196</v>
      </c>
      <c r="AH875" s="25">
        <f>COUNTIFS(Tabela1[Mês],Tabela1[[#This Row],[Mês]],Tabela1[Fase atual],"Recebido")</f>
        <v>138</v>
      </c>
      <c r="AI875" s="26">
        <f>Tabela1[[#This Row],[Recebido_ Mes]]/Tabela1[[#This Row],[Total_Mes]]</f>
        <v>0.70408163265306123</v>
      </c>
      <c r="AJ875" s="19">
        <f>COUNTIFS(Tabela1[Fase atual],"Recebido",Tabela1[Mês],Tabela1[[#This Row],[Mês]],Tabela1[Ano],Tabela1[[#This Row],[Ano]])/COUNTIF(Tabela1[Mês],Tabela1[[#This Row],[Mês]])</f>
        <v>0.70408163265306123</v>
      </c>
      <c r="AK875" s="20">
        <f>100%</f>
        <v>1</v>
      </c>
    </row>
    <row r="876" spans="1:37" ht="18" customHeight="1" x14ac:dyDescent="0.25">
      <c r="A876">
        <v>1238505860</v>
      </c>
      <c r="B876" t="s">
        <v>381</v>
      </c>
      <c r="C876" t="s">
        <v>382</v>
      </c>
      <c r="D876" t="s">
        <v>37</v>
      </c>
      <c r="E876" t="s">
        <v>31</v>
      </c>
      <c r="F876" s="2">
        <v>45947.796379594904</v>
      </c>
      <c r="AC876" s="24">
        <f t="shared" ca="1" si="27"/>
        <v>186.20362040509644</v>
      </c>
      <c r="AD876" s="25" t="str">
        <f t="shared" ca="1" si="28"/>
        <v>&gt;60 dias</v>
      </c>
      <c r="AE876" s="25">
        <f>MONTH(Tabela1[[#This Row],[Criado em]])</f>
        <v>10</v>
      </c>
      <c r="AF876" s="25">
        <f>YEAR(Tabela1[[#This Row],[Criado em]])</f>
        <v>2025</v>
      </c>
      <c r="AG876" s="25">
        <f>COUNTIFS(Tabela1[Mês],Tabela1[[#This Row],[Mês]])</f>
        <v>196</v>
      </c>
      <c r="AH876" s="25">
        <f>COUNTIFS(Tabela1[Mês],Tabela1[[#This Row],[Mês]],Tabela1[Fase atual],"Recebido")</f>
        <v>138</v>
      </c>
      <c r="AI876" s="26">
        <f>Tabela1[[#This Row],[Recebido_ Mes]]/Tabela1[[#This Row],[Total_Mes]]</f>
        <v>0.70408163265306123</v>
      </c>
      <c r="AJ876" s="19">
        <f>COUNTIFS(Tabela1[Fase atual],"Recebido",Tabela1[Mês],Tabela1[[#This Row],[Mês]],Tabela1[Ano],Tabela1[[#This Row],[Ano]])/COUNTIF(Tabela1[Mês],Tabela1[[#This Row],[Mês]])</f>
        <v>0.70408163265306123</v>
      </c>
      <c r="AK876" s="20">
        <f>100%</f>
        <v>1</v>
      </c>
    </row>
    <row r="877" spans="1:37" ht="18" customHeight="1" x14ac:dyDescent="0.25">
      <c r="A877">
        <v>1198094573</v>
      </c>
      <c r="B877" t="s">
        <v>381</v>
      </c>
      <c r="C877" t="s">
        <v>382</v>
      </c>
      <c r="D877" t="s">
        <v>37</v>
      </c>
      <c r="E877" t="s">
        <v>31</v>
      </c>
      <c r="F877" s="2">
        <v>45888.851052962957</v>
      </c>
      <c r="AC877" s="24">
        <f t="shared" ca="1" si="27"/>
        <v>245.1489470370434</v>
      </c>
      <c r="AD877" s="25" t="str">
        <f t="shared" ca="1" si="28"/>
        <v>&gt;60 dias</v>
      </c>
      <c r="AE877" s="25">
        <f>MONTH(Tabela1[[#This Row],[Criado em]])</f>
        <v>8</v>
      </c>
      <c r="AF877" s="25">
        <f>YEAR(Tabela1[[#This Row],[Criado em]])</f>
        <v>2025</v>
      </c>
      <c r="AG877" s="25">
        <f>COUNTIFS(Tabela1[Mês],Tabela1[[#This Row],[Mês]])</f>
        <v>146</v>
      </c>
      <c r="AH877" s="25">
        <f>COUNTIFS(Tabela1[Mês],Tabela1[[#This Row],[Mês]],Tabela1[Fase atual],"Recebido")</f>
        <v>115</v>
      </c>
      <c r="AI877" s="26">
        <f>Tabela1[[#This Row],[Recebido_ Mes]]/Tabela1[[#This Row],[Total_Mes]]</f>
        <v>0.78767123287671237</v>
      </c>
      <c r="AJ877" s="19">
        <f>COUNTIFS(Tabela1[Fase atual],"Recebido",Tabela1[Mês],Tabela1[[#This Row],[Mês]],Tabela1[Ano],Tabela1[[#This Row],[Ano]])/COUNTIF(Tabela1[Mês],Tabela1[[#This Row],[Mês]])</f>
        <v>0.78767123287671237</v>
      </c>
      <c r="AK877" s="20">
        <f>100%</f>
        <v>1</v>
      </c>
    </row>
    <row r="878" spans="1:37" ht="18" customHeight="1" x14ac:dyDescent="0.25">
      <c r="A878">
        <v>1299777975</v>
      </c>
      <c r="B878" t="s">
        <v>381</v>
      </c>
      <c r="C878" t="s">
        <v>382</v>
      </c>
      <c r="D878" t="s">
        <v>37</v>
      </c>
      <c r="E878" t="s">
        <v>31</v>
      </c>
      <c r="F878" s="2">
        <v>46072.796372928242</v>
      </c>
      <c r="AC878" s="24">
        <f t="shared" ca="1" si="27"/>
        <v>61.203627071758092</v>
      </c>
      <c r="AD878" s="25" t="str">
        <f t="shared" ca="1" si="28"/>
        <v>&gt;60 dias</v>
      </c>
      <c r="AE878" s="25">
        <f>MONTH(Tabela1[[#This Row],[Criado em]])</f>
        <v>2</v>
      </c>
      <c r="AF878" s="25">
        <f>YEAR(Tabela1[[#This Row],[Criado em]])</f>
        <v>2026</v>
      </c>
      <c r="AG878" s="25">
        <f>COUNTIFS(Tabela1[Mês],Tabela1[[#This Row],[Mês]])</f>
        <v>197</v>
      </c>
      <c r="AH878" s="25">
        <f>COUNTIFS(Tabela1[Mês],Tabela1[[#This Row],[Mês]],Tabela1[Fase atual],"Recebido")</f>
        <v>124</v>
      </c>
      <c r="AI878" s="26">
        <f>Tabela1[[#This Row],[Recebido_ Mes]]/Tabela1[[#This Row],[Total_Mes]]</f>
        <v>0.62944162436548223</v>
      </c>
      <c r="AJ878" s="19">
        <f>COUNTIFS(Tabela1[Fase atual],"Recebido",Tabela1[Mês],Tabela1[[#This Row],[Mês]],Tabela1[Ano],Tabela1[[#This Row],[Ano]])/COUNTIF(Tabela1[Mês],Tabela1[[#This Row],[Mês]])</f>
        <v>0.62944162436548223</v>
      </c>
      <c r="AK878" s="20">
        <f>100%</f>
        <v>1</v>
      </c>
    </row>
    <row r="879" spans="1:37" ht="18" customHeight="1" x14ac:dyDescent="0.25">
      <c r="A879">
        <v>1255066095</v>
      </c>
      <c r="B879" t="s">
        <v>381</v>
      </c>
      <c r="C879" t="s">
        <v>382</v>
      </c>
      <c r="D879" t="s">
        <v>37</v>
      </c>
      <c r="E879" t="s">
        <v>31</v>
      </c>
      <c r="F879" s="2">
        <v>45975.795390416657</v>
      </c>
      <c r="AC879" s="24">
        <f t="shared" ca="1" si="27"/>
        <v>158.20460958334297</v>
      </c>
      <c r="AD879" s="25" t="str">
        <f t="shared" ca="1" si="28"/>
        <v>&gt;60 dias</v>
      </c>
      <c r="AE879" s="25">
        <f>MONTH(Tabela1[[#This Row],[Criado em]])</f>
        <v>11</v>
      </c>
      <c r="AF879" s="25">
        <f>YEAR(Tabela1[[#This Row],[Criado em]])</f>
        <v>2025</v>
      </c>
      <c r="AG879" s="25">
        <f>COUNTIFS(Tabela1[Mês],Tabela1[[#This Row],[Mês]])</f>
        <v>130</v>
      </c>
      <c r="AH879" s="25">
        <f>COUNTIFS(Tabela1[Mês],Tabela1[[#This Row],[Mês]],Tabela1[Fase atual],"Recebido")</f>
        <v>100</v>
      </c>
      <c r="AI879" s="26">
        <f>Tabela1[[#This Row],[Recebido_ Mes]]/Tabela1[[#This Row],[Total_Mes]]</f>
        <v>0.76923076923076927</v>
      </c>
      <c r="AJ879" s="19">
        <f>COUNTIFS(Tabela1[Fase atual],"Recebido",Tabela1[Mês],Tabela1[[#This Row],[Mês]],Tabela1[Ano],Tabela1[[#This Row],[Ano]])/COUNTIF(Tabela1[Mês],Tabela1[[#This Row],[Mês]])</f>
        <v>0.76923076923076927</v>
      </c>
      <c r="AK879" s="20">
        <f>100%</f>
        <v>1</v>
      </c>
    </row>
    <row r="880" spans="1:37" ht="18" customHeight="1" x14ac:dyDescent="0.25">
      <c r="A880">
        <v>1265627822</v>
      </c>
      <c r="B880" t="s">
        <v>381</v>
      </c>
      <c r="C880" t="s">
        <v>382</v>
      </c>
      <c r="D880" t="s">
        <v>37</v>
      </c>
      <c r="E880" t="s">
        <v>31</v>
      </c>
      <c r="F880" s="2">
        <v>45999.922541111111</v>
      </c>
      <c r="AC880" s="24">
        <f t="shared" ca="1" si="27"/>
        <v>134.07745888888894</v>
      </c>
      <c r="AD880" s="25" t="str">
        <f t="shared" ca="1" si="28"/>
        <v>&gt;60 dias</v>
      </c>
      <c r="AE880" s="25">
        <f>MONTH(Tabela1[[#This Row],[Criado em]])</f>
        <v>12</v>
      </c>
      <c r="AF880" s="25">
        <f>YEAR(Tabela1[[#This Row],[Criado em]])</f>
        <v>2025</v>
      </c>
      <c r="AG880" s="25">
        <f>COUNTIFS(Tabela1[Mês],Tabela1[[#This Row],[Mês]])</f>
        <v>207</v>
      </c>
      <c r="AH880" s="25">
        <f>COUNTIFS(Tabela1[Mês],Tabela1[[#This Row],[Mês]],Tabela1[Fase atual],"Recebido")</f>
        <v>155</v>
      </c>
      <c r="AI880" s="26">
        <f>Tabela1[[#This Row],[Recebido_ Mes]]/Tabela1[[#This Row],[Total_Mes]]</f>
        <v>0.74879227053140096</v>
      </c>
      <c r="AJ880" s="19">
        <f>COUNTIFS(Tabela1[Fase atual],"Recebido",Tabela1[Mês],Tabela1[[#This Row],[Mês]],Tabela1[Ano],Tabela1[[#This Row],[Ano]])/COUNTIF(Tabela1[Mês],Tabela1[[#This Row],[Mês]])</f>
        <v>0.74879227053140096</v>
      </c>
      <c r="AK880" s="20">
        <f>100%</f>
        <v>1</v>
      </c>
    </row>
    <row r="881" spans="1:37" ht="18" customHeight="1" x14ac:dyDescent="0.25">
      <c r="A881">
        <v>1279608360</v>
      </c>
      <c r="B881" t="s">
        <v>381</v>
      </c>
      <c r="C881" t="s">
        <v>383</v>
      </c>
      <c r="D881" t="s">
        <v>37</v>
      </c>
      <c r="E881" t="s">
        <v>31</v>
      </c>
      <c r="F881" s="2">
        <v>46031.794292094914</v>
      </c>
      <c r="AC881" s="24">
        <f t="shared" ca="1" si="27"/>
        <v>102.20570790508646</v>
      </c>
      <c r="AD881" s="25" t="str">
        <f t="shared" ca="1" si="28"/>
        <v>&gt;60 dias</v>
      </c>
      <c r="AE881" s="25">
        <f>MONTH(Tabela1[[#This Row],[Criado em]])</f>
        <v>1</v>
      </c>
      <c r="AF881" s="25">
        <f>YEAR(Tabela1[[#This Row],[Criado em]])</f>
        <v>2026</v>
      </c>
      <c r="AG881" s="25">
        <f>COUNTIFS(Tabela1[Mês],Tabela1[[#This Row],[Mês]])</f>
        <v>222</v>
      </c>
      <c r="AH881" s="25">
        <f>COUNTIFS(Tabela1[Mês],Tabela1[[#This Row],[Mês]],Tabela1[Fase atual],"Recebido")</f>
        <v>174</v>
      </c>
      <c r="AI881" s="26">
        <f>Tabela1[[#This Row],[Recebido_ Mes]]/Tabela1[[#This Row],[Total_Mes]]</f>
        <v>0.78378378378378377</v>
      </c>
      <c r="AJ881" s="19">
        <f>COUNTIFS(Tabela1[Fase atual],"Recebido",Tabela1[Mês],Tabela1[[#This Row],[Mês]],Tabela1[Ano],Tabela1[[#This Row],[Ano]])/COUNTIF(Tabela1[Mês],Tabela1[[#This Row],[Mês]])</f>
        <v>0.78378378378378377</v>
      </c>
      <c r="AK881" s="20">
        <f>100%</f>
        <v>1</v>
      </c>
    </row>
    <row r="882" spans="1:37" ht="18" customHeight="1" x14ac:dyDescent="0.25">
      <c r="A882">
        <v>1279607805</v>
      </c>
      <c r="B882" t="s">
        <v>381</v>
      </c>
      <c r="C882" t="s">
        <v>384</v>
      </c>
      <c r="D882" t="s">
        <v>37</v>
      </c>
      <c r="E882" t="s">
        <v>31</v>
      </c>
      <c r="F882" s="2">
        <v>46031.793842407409</v>
      </c>
      <c r="AC882" s="24">
        <f t="shared" ca="1" si="27"/>
        <v>102.2061575925909</v>
      </c>
      <c r="AD882" s="25" t="str">
        <f t="shared" ca="1" si="28"/>
        <v>&gt;60 dias</v>
      </c>
      <c r="AE882" s="25">
        <f>MONTH(Tabela1[[#This Row],[Criado em]])</f>
        <v>1</v>
      </c>
      <c r="AF882" s="25">
        <f>YEAR(Tabela1[[#This Row],[Criado em]])</f>
        <v>2026</v>
      </c>
      <c r="AG882" s="25">
        <f>COUNTIFS(Tabela1[Mês],Tabela1[[#This Row],[Mês]])</f>
        <v>222</v>
      </c>
      <c r="AH882" s="25">
        <f>COUNTIFS(Tabela1[Mês],Tabela1[[#This Row],[Mês]],Tabela1[Fase atual],"Recebido")</f>
        <v>174</v>
      </c>
      <c r="AI882" s="26">
        <f>Tabela1[[#This Row],[Recebido_ Mes]]/Tabela1[[#This Row],[Total_Mes]]</f>
        <v>0.78378378378378377</v>
      </c>
      <c r="AJ882" s="19">
        <f>COUNTIFS(Tabela1[Fase atual],"Recebido",Tabela1[Mês],Tabela1[[#This Row],[Mês]],Tabela1[Ano],Tabela1[[#This Row],[Ano]])/COUNTIF(Tabela1[Mês],Tabela1[[#This Row],[Mês]])</f>
        <v>0.78378378378378377</v>
      </c>
      <c r="AK882" s="20">
        <f>100%</f>
        <v>1</v>
      </c>
    </row>
    <row r="883" spans="1:37" ht="18" customHeight="1" x14ac:dyDescent="0.25">
      <c r="A883">
        <v>1203713495</v>
      </c>
      <c r="B883" t="s">
        <v>1565</v>
      </c>
      <c r="C883" t="s">
        <v>1566</v>
      </c>
      <c r="D883" t="s">
        <v>37</v>
      </c>
      <c r="E883" t="s">
        <v>31</v>
      </c>
      <c r="F883" s="2">
        <v>45897.643475798614</v>
      </c>
      <c r="AC883" s="24">
        <f t="shared" ca="1" si="27"/>
        <v>236.35652420138649</v>
      </c>
      <c r="AD883" s="25" t="str">
        <f t="shared" ca="1" si="28"/>
        <v>&gt;60 dias</v>
      </c>
      <c r="AE883" s="25">
        <f>MONTH(Tabela1[[#This Row],[Criado em]])</f>
        <v>8</v>
      </c>
      <c r="AF883" s="25">
        <f>YEAR(Tabela1[[#This Row],[Criado em]])</f>
        <v>2025</v>
      </c>
      <c r="AG883" s="25">
        <f>COUNTIFS(Tabela1[Mês],Tabela1[[#This Row],[Mês]])</f>
        <v>146</v>
      </c>
      <c r="AH883" s="25">
        <f>COUNTIFS(Tabela1[Mês],Tabela1[[#This Row],[Mês]],Tabela1[Fase atual],"Recebido")</f>
        <v>115</v>
      </c>
      <c r="AI883" s="26">
        <f>Tabela1[[#This Row],[Recebido_ Mes]]/Tabela1[[#This Row],[Total_Mes]]</f>
        <v>0.78767123287671237</v>
      </c>
      <c r="AJ883" s="19">
        <f>COUNTIFS(Tabela1[Fase atual],"Recebido",Tabela1[Mês],Tabela1[[#This Row],[Mês]],Tabela1[Ano],Tabela1[[#This Row],[Ano]])/COUNTIF(Tabela1[Mês],Tabela1[[#This Row],[Mês]])</f>
        <v>0.78767123287671237</v>
      </c>
      <c r="AK883" s="20">
        <f>100%</f>
        <v>1</v>
      </c>
    </row>
    <row r="884" spans="1:37" ht="18" customHeight="1" x14ac:dyDescent="0.25">
      <c r="A884">
        <v>1216185896</v>
      </c>
      <c r="B884" t="s">
        <v>1565</v>
      </c>
      <c r="C884" t="s">
        <v>1566</v>
      </c>
      <c r="D884" t="s">
        <v>37</v>
      </c>
      <c r="E884" t="s">
        <v>31</v>
      </c>
      <c r="F884" s="2">
        <v>45917.851470381938</v>
      </c>
      <c r="AC884" s="24">
        <f t="shared" ca="1" si="27"/>
        <v>216.14852961806173</v>
      </c>
      <c r="AD884" s="25" t="str">
        <f t="shared" ca="1" si="28"/>
        <v>&gt;60 dias</v>
      </c>
      <c r="AE884" s="25">
        <f>MONTH(Tabela1[[#This Row],[Criado em]])</f>
        <v>9</v>
      </c>
      <c r="AF884" s="25">
        <f>YEAR(Tabela1[[#This Row],[Criado em]])</f>
        <v>2025</v>
      </c>
      <c r="AG884" s="25">
        <f>COUNTIFS(Tabela1[Mês],Tabela1[[#This Row],[Mês]])</f>
        <v>197</v>
      </c>
      <c r="AH884" s="25">
        <f>COUNTIFS(Tabela1[Mês],Tabela1[[#This Row],[Mês]],Tabela1[Fase atual],"Recebido")</f>
        <v>152</v>
      </c>
      <c r="AI884" s="26">
        <f>Tabela1[[#This Row],[Recebido_ Mes]]/Tabela1[[#This Row],[Total_Mes]]</f>
        <v>0.77157360406091369</v>
      </c>
      <c r="AJ884" s="19">
        <f>COUNTIFS(Tabela1[Fase atual],"Recebido",Tabela1[Mês],Tabela1[[#This Row],[Mês]],Tabela1[Ano],Tabela1[[#This Row],[Ano]])/COUNTIF(Tabela1[Mês],Tabela1[[#This Row],[Mês]])</f>
        <v>0.77157360406091369</v>
      </c>
      <c r="AK884" s="20">
        <f>100%</f>
        <v>1</v>
      </c>
    </row>
    <row r="885" spans="1:37" ht="18" customHeight="1" x14ac:dyDescent="0.25">
      <c r="A885">
        <v>1207416175</v>
      </c>
      <c r="B885" t="s">
        <v>1567</v>
      </c>
      <c r="C885" t="s">
        <v>1568</v>
      </c>
      <c r="D885" t="s">
        <v>37</v>
      </c>
      <c r="E885" t="s">
        <v>31</v>
      </c>
      <c r="F885" s="2">
        <v>45903.642015023142</v>
      </c>
      <c r="AC885" s="24">
        <f t="shared" ca="1" si="27"/>
        <v>230.35798497685755</v>
      </c>
      <c r="AD885" s="25" t="str">
        <f t="shared" ca="1" si="28"/>
        <v>&gt;60 dias</v>
      </c>
      <c r="AE885" s="25">
        <f>MONTH(Tabela1[[#This Row],[Criado em]])</f>
        <v>9</v>
      </c>
      <c r="AF885" s="25">
        <f>YEAR(Tabela1[[#This Row],[Criado em]])</f>
        <v>2025</v>
      </c>
      <c r="AG885" s="25">
        <f>COUNTIFS(Tabela1[Mês],Tabela1[[#This Row],[Mês]])</f>
        <v>197</v>
      </c>
      <c r="AH885" s="25">
        <f>COUNTIFS(Tabela1[Mês],Tabela1[[#This Row],[Mês]],Tabela1[Fase atual],"Recebido")</f>
        <v>152</v>
      </c>
      <c r="AI885" s="26">
        <f>Tabela1[[#This Row],[Recebido_ Mes]]/Tabela1[[#This Row],[Total_Mes]]</f>
        <v>0.77157360406091369</v>
      </c>
      <c r="AJ885" s="19">
        <f>COUNTIFS(Tabela1[Fase atual],"Recebido",Tabela1[Mês],Tabela1[[#This Row],[Mês]],Tabela1[Ano],Tabela1[[#This Row],[Ano]])/COUNTIF(Tabela1[Mês],Tabela1[[#This Row],[Mês]])</f>
        <v>0.77157360406091369</v>
      </c>
      <c r="AK885" s="20">
        <f>100%</f>
        <v>1</v>
      </c>
    </row>
    <row r="886" spans="1:37" ht="18" customHeight="1" x14ac:dyDescent="0.25">
      <c r="A886">
        <v>1240025756</v>
      </c>
      <c r="B886" t="s">
        <v>1567</v>
      </c>
      <c r="C886" t="s">
        <v>1569</v>
      </c>
      <c r="D886" t="s">
        <v>37</v>
      </c>
      <c r="E886" t="s">
        <v>31</v>
      </c>
      <c r="F886" s="2">
        <v>45950.793826250003</v>
      </c>
      <c r="AC886" s="24">
        <f t="shared" ca="1" si="27"/>
        <v>183.20617374999711</v>
      </c>
      <c r="AD886" s="25" t="str">
        <f t="shared" ca="1" si="28"/>
        <v>&gt;60 dias</v>
      </c>
      <c r="AE886" s="25">
        <f>MONTH(Tabela1[[#This Row],[Criado em]])</f>
        <v>10</v>
      </c>
      <c r="AF886" s="25">
        <f>YEAR(Tabela1[[#This Row],[Criado em]])</f>
        <v>2025</v>
      </c>
      <c r="AG886" s="25">
        <f>COUNTIFS(Tabela1[Mês],Tabela1[[#This Row],[Mês]])</f>
        <v>196</v>
      </c>
      <c r="AH886" s="25">
        <f>COUNTIFS(Tabela1[Mês],Tabela1[[#This Row],[Mês]],Tabela1[Fase atual],"Recebido")</f>
        <v>138</v>
      </c>
      <c r="AI886" s="26">
        <f>Tabela1[[#This Row],[Recebido_ Mes]]/Tabela1[[#This Row],[Total_Mes]]</f>
        <v>0.70408163265306123</v>
      </c>
      <c r="AJ886" s="19">
        <f>COUNTIFS(Tabela1[Fase atual],"Recebido",Tabela1[Mês],Tabela1[[#This Row],[Mês]],Tabela1[Ano],Tabela1[[#This Row],[Ano]])/COUNTIF(Tabela1[Mês],Tabela1[[#This Row],[Mês]])</f>
        <v>0.70408163265306123</v>
      </c>
      <c r="AK886" s="20">
        <f>100%</f>
        <v>1</v>
      </c>
    </row>
    <row r="887" spans="1:37" ht="18" customHeight="1" x14ac:dyDescent="0.25">
      <c r="A887">
        <v>1270951550</v>
      </c>
      <c r="B887" t="s">
        <v>1570</v>
      </c>
      <c r="C887" t="s">
        <v>1571</v>
      </c>
      <c r="D887" t="s">
        <v>37</v>
      </c>
      <c r="E887" t="s">
        <v>31</v>
      </c>
      <c r="F887" s="2">
        <v>46011.596203518522</v>
      </c>
      <c r="AC887" s="24">
        <f t="shared" ca="1" si="27"/>
        <v>122.40379648147791</v>
      </c>
      <c r="AD887" s="25" t="str">
        <f t="shared" ca="1" si="28"/>
        <v>&gt;60 dias</v>
      </c>
      <c r="AE887" s="25">
        <f>MONTH(Tabela1[[#This Row],[Criado em]])</f>
        <v>12</v>
      </c>
      <c r="AF887" s="25">
        <f>YEAR(Tabela1[[#This Row],[Criado em]])</f>
        <v>2025</v>
      </c>
      <c r="AG887" s="25">
        <f>COUNTIFS(Tabela1[Mês],Tabela1[[#This Row],[Mês]])</f>
        <v>207</v>
      </c>
      <c r="AH887" s="25">
        <f>COUNTIFS(Tabela1[Mês],Tabela1[[#This Row],[Mês]],Tabela1[Fase atual],"Recebido")</f>
        <v>155</v>
      </c>
      <c r="AI887" s="26">
        <f>Tabela1[[#This Row],[Recebido_ Mes]]/Tabela1[[#This Row],[Total_Mes]]</f>
        <v>0.74879227053140096</v>
      </c>
      <c r="AJ887" s="19">
        <f>COUNTIFS(Tabela1[Fase atual],"Recebido",Tabela1[Mês],Tabela1[[#This Row],[Mês]],Tabela1[Ano],Tabela1[[#This Row],[Ano]])/COUNTIF(Tabela1[Mês],Tabela1[[#This Row],[Mês]])</f>
        <v>0.74879227053140096</v>
      </c>
      <c r="AK887" s="20">
        <f>100%</f>
        <v>1</v>
      </c>
    </row>
    <row r="888" spans="1:37" ht="18" customHeight="1" x14ac:dyDescent="0.25">
      <c r="A888">
        <v>1266404579</v>
      </c>
      <c r="B888" t="s">
        <v>1570</v>
      </c>
      <c r="C888" t="s">
        <v>1571</v>
      </c>
      <c r="D888" t="s">
        <v>37</v>
      </c>
      <c r="E888" t="s">
        <v>31</v>
      </c>
      <c r="F888" s="2">
        <v>46001.517050208327</v>
      </c>
      <c r="AC888" s="24">
        <f t="shared" ca="1" si="27"/>
        <v>132.48294979167258</v>
      </c>
      <c r="AD888" s="25" t="str">
        <f t="shared" ca="1" si="28"/>
        <v>&gt;60 dias</v>
      </c>
      <c r="AE888" s="25">
        <f>MONTH(Tabela1[[#This Row],[Criado em]])</f>
        <v>12</v>
      </c>
      <c r="AF888" s="25">
        <f>YEAR(Tabela1[[#This Row],[Criado em]])</f>
        <v>2025</v>
      </c>
      <c r="AG888" s="25">
        <f>COUNTIFS(Tabela1[Mês],Tabela1[[#This Row],[Mês]])</f>
        <v>207</v>
      </c>
      <c r="AH888" s="25">
        <f>COUNTIFS(Tabela1[Mês],Tabela1[[#This Row],[Mês]],Tabela1[Fase atual],"Recebido")</f>
        <v>155</v>
      </c>
      <c r="AI888" s="26">
        <f>Tabela1[[#This Row],[Recebido_ Mes]]/Tabela1[[#This Row],[Total_Mes]]</f>
        <v>0.74879227053140096</v>
      </c>
      <c r="AJ888" s="19">
        <f>COUNTIFS(Tabela1[Fase atual],"Recebido",Tabela1[Mês],Tabela1[[#This Row],[Mês]],Tabela1[Ano],Tabela1[[#This Row],[Ano]])/COUNTIF(Tabela1[Mês],Tabela1[[#This Row],[Mês]])</f>
        <v>0.74879227053140096</v>
      </c>
      <c r="AK888" s="20">
        <f>100%</f>
        <v>1</v>
      </c>
    </row>
    <row r="889" spans="1:37" ht="18" customHeight="1" x14ac:dyDescent="0.25">
      <c r="A889">
        <v>1294280028</v>
      </c>
      <c r="B889" t="s">
        <v>288</v>
      </c>
      <c r="C889" t="s">
        <v>385</v>
      </c>
      <c r="D889" t="s">
        <v>40</v>
      </c>
      <c r="E889" t="s">
        <v>31</v>
      </c>
      <c r="F889" s="2">
        <v>46059.567838807867</v>
      </c>
      <c r="AC889" s="24">
        <f t="shared" ca="1" si="27"/>
        <v>74.432161192133208</v>
      </c>
      <c r="AD889" s="25" t="str">
        <f t="shared" ca="1" si="28"/>
        <v>&gt;60 dias</v>
      </c>
      <c r="AE889" s="25">
        <f>MONTH(Tabela1[[#This Row],[Criado em]])</f>
        <v>2</v>
      </c>
      <c r="AF889" s="25">
        <f>YEAR(Tabela1[[#This Row],[Criado em]])</f>
        <v>2026</v>
      </c>
      <c r="AG889" s="25">
        <f>COUNTIFS(Tabela1[Mês],Tabela1[[#This Row],[Mês]])</f>
        <v>197</v>
      </c>
      <c r="AH889" s="25">
        <f>COUNTIFS(Tabela1[Mês],Tabela1[[#This Row],[Mês]],Tabela1[Fase atual],"Recebido")</f>
        <v>124</v>
      </c>
      <c r="AI889" s="26">
        <f>Tabela1[[#This Row],[Recebido_ Mes]]/Tabela1[[#This Row],[Total_Mes]]</f>
        <v>0.62944162436548223</v>
      </c>
      <c r="AJ889" s="19">
        <f>COUNTIFS(Tabela1[Fase atual],"Recebido",Tabela1[Mês],Tabela1[[#This Row],[Mês]],Tabela1[Ano],Tabela1[[#This Row],[Ano]])/COUNTIF(Tabela1[Mês],Tabela1[[#This Row],[Mês]])</f>
        <v>0.62944162436548223</v>
      </c>
      <c r="AK889" s="20">
        <f>100%</f>
        <v>1</v>
      </c>
    </row>
    <row r="890" spans="1:37" ht="18" customHeight="1" x14ac:dyDescent="0.25">
      <c r="A890">
        <v>1308579608</v>
      </c>
      <c r="B890" t="s">
        <v>2245</v>
      </c>
      <c r="C890" t="s">
        <v>2246</v>
      </c>
      <c r="D890" t="s">
        <v>2179</v>
      </c>
      <c r="E890" t="s">
        <v>31</v>
      </c>
      <c r="F890" s="2">
        <v>46084.919481296303</v>
      </c>
      <c r="AC890" s="24">
        <f t="shared" ca="1" si="27"/>
        <v>49.080518703696725</v>
      </c>
      <c r="AD890" s="25" t="str">
        <f t="shared" ca="1" si="28"/>
        <v>31-60 dias</v>
      </c>
      <c r="AE890" s="25">
        <f>MONTH(Tabela1[[#This Row],[Criado em]])</f>
        <v>3</v>
      </c>
      <c r="AF890" s="25">
        <f>YEAR(Tabela1[[#This Row],[Criado em]])</f>
        <v>2026</v>
      </c>
      <c r="AG890" s="25">
        <f>COUNTIFS(Tabela1[Mês],Tabela1[[#This Row],[Mês]])</f>
        <v>62</v>
      </c>
      <c r="AH890" s="25">
        <f>COUNTIFS(Tabela1[Mês],Tabela1[[#This Row],[Mês]],Tabela1[Fase atual],"Recebido")</f>
        <v>13</v>
      </c>
      <c r="AI890" s="26">
        <f>Tabela1[[#This Row],[Recebido_ Mes]]/Tabela1[[#This Row],[Total_Mes]]</f>
        <v>0.20967741935483872</v>
      </c>
      <c r="AJ890" s="19">
        <f>COUNTIFS(Tabela1[Fase atual],"Recebido",Tabela1[Mês],Tabela1[[#This Row],[Mês]],Tabela1[Ano],Tabela1[[#This Row],[Ano]])/COUNTIF(Tabela1[Mês],Tabela1[[#This Row],[Mês]])</f>
        <v>0.20967741935483872</v>
      </c>
      <c r="AK890" s="20">
        <f>100%</f>
        <v>1</v>
      </c>
    </row>
    <row r="891" spans="1:37" ht="18" customHeight="1" x14ac:dyDescent="0.25">
      <c r="A891">
        <v>1216480451</v>
      </c>
      <c r="B891" t="s">
        <v>1572</v>
      </c>
      <c r="C891" t="s">
        <v>1573</v>
      </c>
      <c r="D891" t="s">
        <v>37</v>
      </c>
      <c r="E891" t="s">
        <v>31</v>
      </c>
      <c r="F891" s="2">
        <v>45918.529362881942</v>
      </c>
      <c r="AC891" s="24">
        <f t="shared" ca="1" si="27"/>
        <v>215.47063711805822</v>
      </c>
      <c r="AD891" s="25" t="str">
        <f t="shared" ca="1" si="28"/>
        <v>&gt;60 dias</v>
      </c>
      <c r="AE891" s="25">
        <f>MONTH(Tabela1[[#This Row],[Criado em]])</f>
        <v>9</v>
      </c>
      <c r="AF891" s="25">
        <f>YEAR(Tabela1[[#This Row],[Criado em]])</f>
        <v>2025</v>
      </c>
      <c r="AG891" s="25">
        <f>COUNTIFS(Tabela1[Mês],Tabela1[[#This Row],[Mês]])</f>
        <v>197</v>
      </c>
      <c r="AH891" s="25">
        <f>COUNTIFS(Tabela1[Mês],Tabela1[[#This Row],[Mês]],Tabela1[Fase atual],"Recebido")</f>
        <v>152</v>
      </c>
      <c r="AI891" s="26">
        <f>Tabela1[[#This Row],[Recebido_ Mes]]/Tabela1[[#This Row],[Total_Mes]]</f>
        <v>0.77157360406091369</v>
      </c>
      <c r="AJ891" s="19">
        <f>COUNTIFS(Tabela1[Fase atual],"Recebido",Tabela1[Mês],Tabela1[[#This Row],[Mês]],Tabela1[Ano],Tabela1[[#This Row],[Ano]])/COUNTIF(Tabela1[Mês],Tabela1[[#This Row],[Mês]])</f>
        <v>0.77157360406091369</v>
      </c>
      <c r="AK891" s="20">
        <f>100%</f>
        <v>1</v>
      </c>
    </row>
    <row r="892" spans="1:37" ht="18" customHeight="1" x14ac:dyDescent="0.25">
      <c r="A892">
        <v>1254842601</v>
      </c>
      <c r="B892" t="s">
        <v>1574</v>
      </c>
      <c r="C892" t="s">
        <v>1575</v>
      </c>
      <c r="D892" t="s">
        <v>37</v>
      </c>
      <c r="E892" t="s">
        <v>31</v>
      </c>
      <c r="F892" s="2">
        <v>45975.535548506938</v>
      </c>
      <c r="AC892" s="24">
        <f t="shared" ca="1" si="27"/>
        <v>158.46445149306237</v>
      </c>
      <c r="AD892" s="25" t="str">
        <f t="shared" ca="1" si="28"/>
        <v>&gt;60 dias</v>
      </c>
      <c r="AE892" s="25">
        <f>MONTH(Tabela1[[#This Row],[Criado em]])</f>
        <v>11</v>
      </c>
      <c r="AF892" s="25">
        <f>YEAR(Tabela1[[#This Row],[Criado em]])</f>
        <v>2025</v>
      </c>
      <c r="AG892" s="25">
        <f>COUNTIFS(Tabela1[Mês],Tabela1[[#This Row],[Mês]])</f>
        <v>130</v>
      </c>
      <c r="AH892" s="25">
        <f>COUNTIFS(Tabela1[Mês],Tabela1[[#This Row],[Mês]],Tabela1[Fase atual],"Recebido")</f>
        <v>100</v>
      </c>
      <c r="AI892" s="26">
        <f>Tabela1[[#This Row],[Recebido_ Mes]]/Tabela1[[#This Row],[Total_Mes]]</f>
        <v>0.76923076923076927</v>
      </c>
      <c r="AJ892" s="19">
        <f>COUNTIFS(Tabela1[Fase atual],"Recebido",Tabela1[Mês],Tabela1[[#This Row],[Mês]],Tabela1[Ano],Tabela1[[#This Row],[Ano]])/COUNTIF(Tabela1[Mês],Tabela1[[#This Row],[Mês]])</f>
        <v>0.76923076923076927</v>
      </c>
      <c r="AK892" s="20">
        <f>100%</f>
        <v>1</v>
      </c>
    </row>
    <row r="893" spans="1:37" ht="18" customHeight="1" x14ac:dyDescent="0.25">
      <c r="A893">
        <v>1219402199</v>
      </c>
      <c r="B893" t="s">
        <v>1576</v>
      </c>
      <c r="C893" t="s">
        <v>1577</v>
      </c>
      <c r="D893" t="s">
        <v>37</v>
      </c>
      <c r="E893" t="s">
        <v>31</v>
      </c>
      <c r="F893" s="2">
        <v>45922.851466250002</v>
      </c>
      <c r="AC893" s="24">
        <f t="shared" ca="1" si="27"/>
        <v>211.14853374999802</v>
      </c>
      <c r="AD893" s="25" t="str">
        <f t="shared" ca="1" si="28"/>
        <v>&gt;60 dias</v>
      </c>
      <c r="AE893" s="25">
        <f>MONTH(Tabela1[[#This Row],[Criado em]])</f>
        <v>9</v>
      </c>
      <c r="AF893" s="25">
        <f>YEAR(Tabela1[[#This Row],[Criado em]])</f>
        <v>2025</v>
      </c>
      <c r="AG893" s="25">
        <f>COUNTIFS(Tabela1[Mês],Tabela1[[#This Row],[Mês]])</f>
        <v>197</v>
      </c>
      <c r="AH893" s="25">
        <f>COUNTIFS(Tabela1[Mês],Tabela1[[#This Row],[Mês]],Tabela1[Fase atual],"Recebido")</f>
        <v>152</v>
      </c>
      <c r="AI893" s="26">
        <f>Tabela1[[#This Row],[Recebido_ Mes]]/Tabela1[[#This Row],[Total_Mes]]</f>
        <v>0.77157360406091369</v>
      </c>
      <c r="AJ893" s="19">
        <f>COUNTIFS(Tabela1[Fase atual],"Recebido",Tabela1[Mês],Tabela1[[#This Row],[Mês]],Tabela1[Ano],Tabela1[[#This Row],[Ano]])/COUNTIF(Tabela1[Mês],Tabela1[[#This Row],[Mês]])</f>
        <v>0.77157360406091369</v>
      </c>
      <c r="AK893" s="20">
        <f>100%</f>
        <v>1</v>
      </c>
    </row>
    <row r="894" spans="1:37" ht="18" customHeight="1" x14ac:dyDescent="0.25">
      <c r="A894">
        <v>1226265115</v>
      </c>
      <c r="B894" t="s">
        <v>1576</v>
      </c>
      <c r="C894" t="s">
        <v>1578</v>
      </c>
      <c r="D894" t="s">
        <v>37</v>
      </c>
      <c r="E894" t="s">
        <v>31</v>
      </c>
      <c r="F894" s="2">
        <v>45932.850643611113</v>
      </c>
      <c r="AC894" s="24">
        <f t="shared" ca="1" si="27"/>
        <v>201.1493563888871</v>
      </c>
      <c r="AD894" s="25" t="str">
        <f t="shared" ca="1" si="28"/>
        <v>&gt;60 dias</v>
      </c>
      <c r="AE894" s="25">
        <f>MONTH(Tabela1[[#This Row],[Criado em]])</f>
        <v>10</v>
      </c>
      <c r="AF894" s="25">
        <f>YEAR(Tabela1[[#This Row],[Criado em]])</f>
        <v>2025</v>
      </c>
      <c r="AG894" s="25">
        <f>COUNTIFS(Tabela1[Mês],Tabela1[[#This Row],[Mês]])</f>
        <v>196</v>
      </c>
      <c r="AH894" s="25">
        <f>COUNTIFS(Tabela1[Mês],Tabela1[[#This Row],[Mês]],Tabela1[Fase atual],"Recebido")</f>
        <v>138</v>
      </c>
      <c r="AI894" s="26">
        <f>Tabela1[[#This Row],[Recebido_ Mes]]/Tabela1[[#This Row],[Total_Mes]]</f>
        <v>0.70408163265306123</v>
      </c>
      <c r="AJ894" s="19">
        <f>COUNTIFS(Tabela1[Fase atual],"Recebido",Tabela1[Mês],Tabela1[[#This Row],[Mês]],Tabela1[Ano],Tabela1[[#This Row],[Ano]])/COUNTIF(Tabela1[Mês],Tabela1[[#This Row],[Mês]])</f>
        <v>0.70408163265306123</v>
      </c>
      <c r="AK894" s="20">
        <f>100%</f>
        <v>1</v>
      </c>
    </row>
    <row r="895" spans="1:37" ht="18" customHeight="1" x14ac:dyDescent="0.25">
      <c r="A895">
        <v>1270278539</v>
      </c>
      <c r="B895" t="s">
        <v>1579</v>
      </c>
      <c r="C895" t="s">
        <v>1580</v>
      </c>
      <c r="D895" t="s">
        <v>40</v>
      </c>
      <c r="E895" t="s">
        <v>31</v>
      </c>
      <c r="F895" s="2">
        <v>46009.922271296287</v>
      </c>
      <c r="AC895" s="24">
        <f t="shared" ca="1" si="27"/>
        <v>124.07772870371264</v>
      </c>
      <c r="AD895" s="25" t="str">
        <f t="shared" ca="1" si="28"/>
        <v>&gt;60 dias</v>
      </c>
      <c r="AE895" s="25">
        <f>MONTH(Tabela1[[#This Row],[Criado em]])</f>
        <v>12</v>
      </c>
      <c r="AF895" s="25">
        <f>YEAR(Tabela1[[#This Row],[Criado em]])</f>
        <v>2025</v>
      </c>
      <c r="AG895" s="25">
        <f>COUNTIFS(Tabela1[Mês],Tabela1[[#This Row],[Mês]])</f>
        <v>207</v>
      </c>
      <c r="AH895" s="25">
        <f>COUNTIFS(Tabela1[Mês],Tabela1[[#This Row],[Mês]],Tabela1[Fase atual],"Recebido")</f>
        <v>155</v>
      </c>
      <c r="AI895" s="26">
        <f>Tabela1[[#This Row],[Recebido_ Mes]]/Tabela1[[#This Row],[Total_Mes]]</f>
        <v>0.74879227053140096</v>
      </c>
      <c r="AJ895" s="19">
        <f>COUNTIFS(Tabela1[Fase atual],"Recebido",Tabela1[Mês],Tabela1[[#This Row],[Mês]],Tabela1[Ano],Tabela1[[#This Row],[Ano]])/COUNTIF(Tabela1[Mês],Tabela1[[#This Row],[Mês]])</f>
        <v>0.74879227053140096</v>
      </c>
      <c r="AK895" s="20">
        <f>100%</f>
        <v>1</v>
      </c>
    </row>
    <row r="896" spans="1:37" ht="18" customHeight="1" x14ac:dyDescent="0.25">
      <c r="A896">
        <v>1270278513</v>
      </c>
      <c r="B896" t="s">
        <v>1579</v>
      </c>
      <c r="C896" t="s">
        <v>1580</v>
      </c>
      <c r="D896" t="s">
        <v>37</v>
      </c>
      <c r="E896" t="s">
        <v>31</v>
      </c>
      <c r="F896" s="2">
        <v>46009.92221016204</v>
      </c>
      <c r="AC896" s="24">
        <f t="shared" ca="1" si="27"/>
        <v>124.07778983796015</v>
      </c>
      <c r="AD896" s="25" t="str">
        <f t="shared" ca="1" si="28"/>
        <v>&gt;60 dias</v>
      </c>
      <c r="AE896" s="25">
        <f>MONTH(Tabela1[[#This Row],[Criado em]])</f>
        <v>12</v>
      </c>
      <c r="AF896" s="25">
        <f>YEAR(Tabela1[[#This Row],[Criado em]])</f>
        <v>2025</v>
      </c>
      <c r="AG896" s="25">
        <f>COUNTIFS(Tabela1[Mês],Tabela1[[#This Row],[Mês]])</f>
        <v>207</v>
      </c>
      <c r="AH896" s="25">
        <f>COUNTIFS(Tabela1[Mês],Tabela1[[#This Row],[Mês]],Tabela1[Fase atual],"Recebido")</f>
        <v>155</v>
      </c>
      <c r="AI896" s="26">
        <f>Tabela1[[#This Row],[Recebido_ Mes]]/Tabela1[[#This Row],[Total_Mes]]</f>
        <v>0.74879227053140096</v>
      </c>
      <c r="AJ896" s="19">
        <f>COUNTIFS(Tabela1[Fase atual],"Recebido",Tabela1[Mês],Tabela1[[#This Row],[Mês]],Tabela1[Ano],Tabela1[[#This Row],[Ano]])/COUNTIF(Tabela1[Mês],Tabela1[[#This Row],[Mês]])</f>
        <v>0.74879227053140096</v>
      </c>
      <c r="AK896" s="20">
        <f>100%</f>
        <v>1</v>
      </c>
    </row>
    <row r="897" spans="1:37" ht="18" customHeight="1" x14ac:dyDescent="0.25">
      <c r="A897">
        <v>1172779780</v>
      </c>
      <c r="B897" t="s">
        <v>1581</v>
      </c>
      <c r="C897" t="s">
        <v>1582</v>
      </c>
      <c r="D897" t="s">
        <v>784</v>
      </c>
      <c r="E897" t="s">
        <v>31</v>
      </c>
      <c r="F897" s="2">
        <v>45845.850123738433</v>
      </c>
      <c r="AC897" s="24">
        <f t="shared" ca="1" si="27"/>
        <v>288.14987626156653</v>
      </c>
      <c r="AD897" s="25" t="str">
        <f t="shared" ca="1" si="28"/>
        <v>&gt;60 dias</v>
      </c>
      <c r="AE897" s="25">
        <f>MONTH(Tabela1[[#This Row],[Criado em]])</f>
        <v>7</v>
      </c>
      <c r="AF897" s="25">
        <f>YEAR(Tabela1[[#This Row],[Criado em]])</f>
        <v>2025</v>
      </c>
      <c r="AG897" s="25">
        <f>COUNTIFS(Tabela1[Mês],Tabela1[[#This Row],[Mês]])</f>
        <v>177</v>
      </c>
      <c r="AH897" s="25">
        <f>COUNTIFS(Tabela1[Mês],Tabela1[[#This Row],[Mês]],Tabela1[Fase atual],"Recebido")</f>
        <v>130</v>
      </c>
      <c r="AI897" s="26">
        <f>Tabela1[[#This Row],[Recebido_ Mes]]/Tabela1[[#This Row],[Total_Mes]]</f>
        <v>0.7344632768361582</v>
      </c>
      <c r="AJ897" s="19">
        <f>COUNTIFS(Tabela1[Fase atual],"Recebido",Tabela1[Mês],Tabela1[[#This Row],[Mês]],Tabela1[Ano],Tabela1[[#This Row],[Ano]])/COUNTIF(Tabela1[Mês],Tabela1[[#This Row],[Mês]])</f>
        <v>0.7344632768361582</v>
      </c>
      <c r="AK897" s="20">
        <f>100%</f>
        <v>1</v>
      </c>
    </row>
    <row r="898" spans="1:37" ht="18" customHeight="1" x14ac:dyDescent="0.25">
      <c r="A898">
        <v>1264271941</v>
      </c>
      <c r="B898" t="s">
        <v>1583</v>
      </c>
      <c r="C898" t="s">
        <v>1584</v>
      </c>
      <c r="D898" t="s">
        <v>37</v>
      </c>
      <c r="E898" t="s">
        <v>31</v>
      </c>
      <c r="F898" s="2">
        <v>45995.797317581018</v>
      </c>
      <c r="AC898" s="24">
        <f t="shared" ca="1" si="27"/>
        <v>138.20268241898157</v>
      </c>
      <c r="AD898" s="25" t="str">
        <f t="shared" ca="1" si="28"/>
        <v>&gt;60 dias</v>
      </c>
      <c r="AE898" s="25">
        <f>MONTH(Tabela1[[#This Row],[Criado em]])</f>
        <v>12</v>
      </c>
      <c r="AF898" s="25">
        <f>YEAR(Tabela1[[#This Row],[Criado em]])</f>
        <v>2025</v>
      </c>
      <c r="AG898" s="25">
        <f>COUNTIFS(Tabela1[Mês],Tabela1[[#This Row],[Mês]])</f>
        <v>207</v>
      </c>
      <c r="AH898" s="25">
        <f>COUNTIFS(Tabela1[Mês],Tabela1[[#This Row],[Mês]],Tabela1[Fase atual],"Recebido")</f>
        <v>155</v>
      </c>
      <c r="AI898" s="26">
        <f>Tabela1[[#This Row],[Recebido_ Mes]]/Tabela1[[#This Row],[Total_Mes]]</f>
        <v>0.74879227053140096</v>
      </c>
      <c r="AJ898" s="19">
        <f>COUNTIFS(Tabela1[Fase atual],"Recebido",Tabela1[Mês],Tabela1[[#This Row],[Mês]],Tabela1[Ano],Tabela1[[#This Row],[Ano]])/COUNTIF(Tabela1[Mês],Tabela1[[#This Row],[Mês]])</f>
        <v>0.74879227053140096</v>
      </c>
      <c r="AK898" s="20">
        <f>100%</f>
        <v>1</v>
      </c>
    </row>
    <row r="899" spans="1:37" ht="18" customHeight="1" x14ac:dyDescent="0.25">
      <c r="A899">
        <v>1216800265</v>
      </c>
      <c r="B899" t="s">
        <v>1585</v>
      </c>
      <c r="C899" t="s">
        <v>1586</v>
      </c>
      <c r="D899" t="s">
        <v>784</v>
      </c>
      <c r="E899" t="s">
        <v>31</v>
      </c>
      <c r="F899" s="2">
        <v>45918.829528194437</v>
      </c>
      <c r="AC899" s="24">
        <f t="shared" ref="AC899:AC962" ca="1" si="29">TODAY() - F899</f>
        <v>215.17047180556256</v>
      </c>
      <c r="AD899" s="25" t="str">
        <f t="shared" ref="AD899:AD962" ca="1" si="30">IF(AC899&lt;=14,"0-14 dias",
IF(AC899&lt;=19,"15-19 dias",
IF(AC899&lt;=24,"20-24 dias",
IF(AC899&lt;=30,"25-30 dias",
IF(AC899&lt;=60,"31-60 dias",
"&gt;60 dias")))))</f>
        <v>&gt;60 dias</v>
      </c>
      <c r="AE899" s="25">
        <f>MONTH(Tabela1[[#This Row],[Criado em]])</f>
        <v>9</v>
      </c>
      <c r="AF899" s="25">
        <f>YEAR(Tabela1[[#This Row],[Criado em]])</f>
        <v>2025</v>
      </c>
      <c r="AG899" s="25">
        <f>COUNTIFS(Tabela1[Mês],Tabela1[[#This Row],[Mês]])</f>
        <v>197</v>
      </c>
      <c r="AH899" s="25">
        <f>COUNTIFS(Tabela1[Mês],Tabela1[[#This Row],[Mês]],Tabela1[Fase atual],"Recebido")</f>
        <v>152</v>
      </c>
      <c r="AI899" s="26">
        <f>Tabela1[[#This Row],[Recebido_ Mes]]/Tabela1[[#This Row],[Total_Mes]]</f>
        <v>0.77157360406091369</v>
      </c>
      <c r="AJ899" s="19">
        <f>COUNTIFS(Tabela1[Fase atual],"Recebido",Tabela1[Mês],Tabela1[[#This Row],[Mês]],Tabela1[Ano],Tabela1[[#This Row],[Ano]])/COUNTIF(Tabela1[Mês],Tabela1[[#This Row],[Mês]])</f>
        <v>0.77157360406091369</v>
      </c>
      <c r="AK899" s="20">
        <f>100%</f>
        <v>1</v>
      </c>
    </row>
    <row r="900" spans="1:37" ht="18" customHeight="1" x14ac:dyDescent="0.25">
      <c r="A900">
        <v>1289705475</v>
      </c>
      <c r="B900" t="s">
        <v>386</v>
      </c>
      <c r="C900" t="s">
        <v>387</v>
      </c>
      <c r="D900" t="s">
        <v>37</v>
      </c>
      <c r="E900" t="s">
        <v>31</v>
      </c>
      <c r="F900" s="2">
        <v>46050.795675277783</v>
      </c>
      <c r="AC900" s="24">
        <f t="shared" ca="1" si="29"/>
        <v>83.204324722217279</v>
      </c>
      <c r="AD900" s="25" t="str">
        <f t="shared" ca="1" si="30"/>
        <v>&gt;60 dias</v>
      </c>
      <c r="AE900" s="25">
        <f>MONTH(Tabela1[[#This Row],[Criado em]])</f>
        <v>1</v>
      </c>
      <c r="AF900" s="25">
        <f>YEAR(Tabela1[[#This Row],[Criado em]])</f>
        <v>2026</v>
      </c>
      <c r="AG900" s="25">
        <f>COUNTIFS(Tabela1[Mês],Tabela1[[#This Row],[Mês]])</f>
        <v>222</v>
      </c>
      <c r="AH900" s="25">
        <f>COUNTIFS(Tabela1[Mês],Tabela1[[#This Row],[Mês]],Tabela1[Fase atual],"Recebido")</f>
        <v>174</v>
      </c>
      <c r="AI900" s="26">
        <f>Tabela1[[#This Row],[Recebido_ Mes]]/Tabela1[[#This Row],[Total_Mes]]</f>
        <v>0.78378378378378377</v>
      </c>
      <c r="AJ900" s="19">
        <f>COUNTIFS(Tabela1[Fase atual],"Recebido",Tabela1[Mês],Tabela1[[#This Row],[Mês]],Tabela1[Ano],Tabela1[[#This Row],[Ano]])/COUNTIF(Tabela1[Mês],Tabela1[[#This Row],[Mês]])</f>
        <v>0.78378378378378377</v>
      </c>
      <c r="AK900" s="20">
        <f>100%</f>
        <v>1</v>
      </c>
    </row>
    <row r="901" spans="1:37" ht="18" customHeight="1" x14ac:dyDescent="0.25">
      <c r="A901">
        <v>1267210463</v>
      </c>
      <c r="B901" t="s">
        <v>1587</v>
      </c>
      <c r="C901" t="s">
        <v>1588</v>
      </c>
      <c r="D901" t="s">
        <v>37</v>
      </c>
      <c r="E901" t="s">
        <v>31</v>
      </c>
      <c r="F901" s="2">
        <v>46002.797788344913</v>
      </c>
      <c r="AC901" s="24">
        <f t="shared" ca="1" si="29"/>
        <v>131.20221165508701</v>
      </c>
      <c r="AD901" s="25" t="str">
        <f t="shared" ca="1" si="30"/>
        <v>&gt;60 dias</v>
      </c>
      <c r="AE901" s="25">
        <f>MONTH(Tabela1[[#This Row],[Criado em]])</f>
        <v>12</v>
      </c>
      <c r="AF901" s="25">
        <f>YEAR(Tabela1[[#This Row],[Criado em]])</f>
        <v>2025</v>
      </c>
      <c r="AG901" s="25">
        <f>COUNTIFS(Tabela1[Mês],Tabela1[[#This Row],[Mês]])</f>
        <v>207</v>
      </c>
      <c r="AH901" s="25">
        <f>COUNTIFS(Tabela1[Mês],Tabela1[[#This Row],[Mês]],Tabela1[Fase atual],"Recebido")</f>
        <v>155</v>
      </c>
      <c r="AI901" s="26">
        <f>Tabela1[[#This Row],[Recebido_ Mes]]/Tabela1[[#This Row],[Total_Mes]]</f>
        <v>0.74879227053140096</v>
      </c>
      <c r="AJ901" s="19">
        <f>COUNTIFS(Tabela1[Fase atual],"Recebido",Tabela1[Mês],Tabela1[[#This Row],[Mês]],Tabela1[Ano],Tabela1[[#This Row],[Ano]])/COUNTIF(Tabela1[Mês],Tabela1[[#This Row],[Mês]])</f>
        <v>0.74879227053140096</v>
      </c>
      <c r="AK901" s="20">
        <f>100%</f>
        <v>1</v>
      </c>
    </row>
    <row r="902" spans="1:37" ht="18" customHeight="1" x14ac:dyDescent="0.25">
      <c r="A902">
        <v>1171971285</v>
      </c>
      <c r="B902" t="s">
        <v>162</v>
      </c>
      <c r="C902" t="s">
        <v>1589</v>
      </c>
      <c r="D902" t="s">
        <v>37</v>
      </c>
      <c r="E902" t="s">
        <v>31</v>
      </c>
      <c r="F902" s="2">
        <v>45842.851465983797</v>
      </c>
      <c r="AC902" s="24">
        <f t="shared" ca="1" si="29"/>
        <v>291.14853401620348</v>
      </c>
      <c r="AD902" s="25" t="str">
        <f t="shared" ca="1" si="30"/>
        <v>&gt;60 dias</v>
      </c>
      <c r="AE902" s="25">
        <f>MONTH(Tabela1[[#This Row],[Criado em]])</f>
        <v>7</v>
      </c>
      <c r="AF902" s="25">
        <f>YEAR(Tabela1[[#This Row],[Criado em]])</f>
        <v>2025</v>
      </c>
      <c r="AG902" s="25">
        <f>COUNTIFS(Tabela1[Mês],Tabela1[[#This Row],[Mês]])</f>
        <v>177</v>
      </c>
      <c r="AH902" s="25">
        <f>COUNTIFS(Tabela1[Mês],Tabela1[[#This Row],[Mês]],Tabela1[Fase atual],"Recebido")</f>
        <v>130</v>
      </c>
      <c r="AI902" s="26">
        <f>Tabela1[[#This Row],[Recebido_ Mes]]/Tabela1[[#This Row],[Total_Mes]]</f>
        <v>0.7344632768361582</v>
      </c>
      <c r="AJ902" s="19">
        <f>COUNTIFS(Tabela1[Fase atual],"Recebido",Tabela1[Mês],Tabela1[[#This Row],[Mês]],Tabela1[Ano],Tabela1[[#This Row],[Ano]])/COUNTIF(Tabela1[Mês],Tabela1[[#This Row],[Mês]])</f>
        <v>0.7344632768361582</v>
      </c>
      <c r="AK902" s="20">
        <f>100%</f>
        <v>1</v>
      </c>
    </row>
    <row r="903" spans="1:37" ht="18" customHeight="1" x14ac:dyDescent="0.25">
      <c r="A903">
        <v>1169857192</v>
      </c>
      <c r="B903" t="s">
        <v>1590</v>
      </c>
      <c r="C903" t="s">
        <v>1591</v>
      </c>
      <c r="D903" t="s">
        <v>784</v>
      </c>
      <c r="E903" t="s">
        <v>31</v>
      </c>
      <c r="F903" s="2">
        <v>45839.850964768513</v>
      </c>
      <c r="AC903" s="24">
        <f t="shared" ca="1" si="29"/>
        <v>294.14903523148678</v>
      </c>
      <c r="AD903" s="25" t="str">
        <f t="shared" ca="1" si="30"/>
        <v>&gt;60 dias</v>
      </c>
      <c r="AE903" s="25">
        <f>MONTH(Tabela1[[#This Row],[Criado em]])</f>
        <v>7</v>
      </c>
      <c r="AF903" s="25">
        <f>YEAR(Tabela1[[#This Row],[Criado em]])</f>
        <v>2025</v>
      </c>
      <c r="AG903" s="25">
        <f>COUNTIFS(Tabela1[Mês],Tabela1[[#This Row],[Mês]])</f>
        <v>177</v>
      </c>
      <c r="AH903" s="25">
        <f>COUNTIFS(Tabela1[Mês],Tabela1[[#This Row],[Mês]],Tabela1[Fase atual],"Recebido")</f>
        <v>130</v>
      </c>
      <c r="AI903" s="26">
        <f>Tabela1[[#This Row],[Recebido_ Mes]]/Tabela1[[#This Row],[Total_Mes]]</f>
        <v>0.7344632768361582</v>
      </c>
      <c r="AJ903" s="19">
        <f>COUNTIFS(Tabela1[Fase atual],"Recebido",Tabela1[Mês],Tabela1[[#This Row],[Mês]],Tabela1[Ano],Tabela1[[#This Row],[Ano]])/COUNTIF(Tabela1[Mês],Tabela1[[#This Row],[Mês]])</f>
        <v>0.7344632768361582</v>
      </c>
      <c r="AK903" s="20">
        <f>100%</f>
        <v>1</v>
      </c>
    </row>
    <row r="904" spans="1:37" ht="18" customHeight="1" x14ac:dyDescent="0.25">
      <c r="A904">
        <v>1262626685</v>
      </c>
      <c r="B904" t="s">
        <v>1592</v>
      </c>
      <c r="C904" t="s">
        <v>1593</v>
      </c>
      <c r="D904" t="s">
        <v>37</v>
      </c>
      <c r="E904" t="s">
        <v>31</v>
      </c>
      <c r="F904" s="2">
        <v>45993.795808726849</v>
      </c>
      <c r="AC904" s="24">
        <f t="shared" ca="1" si="29"/>
        <v>140.20419127315108</v>
      </c>
      <c r="AD904" s="25" t="str">
        <f t="shared" ca="1" si="30"/>
        <v>&gt;60 dias</v>
      </c>
      <c r="AE904" s="25">
        <f>MONTH(Tabela1[[#This Row],[Criado em]])</f>
        <v>12</v>
      </c>
      <c r="AF904" s="25">
        <f>YEAR(Tabela1[[#This Row],[Criado em]])</f>
        <v>2025</v>
      </c>
      <c r="AG904" s="25">
        <f>COUNTIFS(Tabela1[Mês],Tabela1[[#This Row],[Mês]])</f>
        <v>207</v>
      </c>
      <c r="AH904" s="25">
        <f>COUNTIFS(Tabela1[Mês],Tabela1[[#This Row],[Mês]],Tabela1[Fase atual],"Recebido")</f>
        <v>155</v>
      </c>
      <c r="AI904" s="26">
        <f>Tabela1[[#This Row],[Recebido_ Mes]]/Tabela1[[#This Row],[Total_Mes]]</f>
        <v>0.74879227053140096</v>
      </c>
      <c r="AJ904" s="19">
        <f>COUNTIFS(Tabela1[Fase atual],"Recebido",Tabela1[Mês],Tabela1[[#This Row],[Mês]],Tabela1[Ano],Tabela1[[#This Row],[Ano]])/COUNTIF(Tabela1[Mês],Tabela1[[#This Row],[Mês]])</f>
        <v>0.74879227053140096</v>
      </c>
      <c r="AK904" s="20">
        <f>100%</f>
        <v>1</v>
      </c>
    </row>
    <row r="905" spans="1:37" ht="18" customHeight="1" x14ac:dyDescent="0.25">
      <c r="A905">
        <v>1236816337</v>
      </c>
      <c r="B905" t="s">
        <v>1592</v>
      </c>
      <c r="C905" t="s">
        <v>1594</v>
      </c>
      <c r="D905" t="s">
        <v>37</v>
      </c>
      <c r="E905" t="s">
        <v>31</v>
      </c>
      <c r="F905" s="2">
        <v>45945.919686527777</v>
      </c>
      <c r="AC905" s="24">
        <f t="shared" ca="1" si="29"/>
        <v>188.08031347222277</v>
      </c>
      <c r="AD905" s="25" t="str">
        <f t="shared" ca="1" si="30"/>
        <v>&gt;60 dias</v>
      </c>
      <c r="AE905" s="25">
        <f>MONTH(Tabela1[[#This Row],[Criado em]])</f>
        <v>10</v>
      </c>
      <c r="AF905" s="25">
        <f>YEAR(Tabela1[[#This Row],[Criado em]])</f>
        <v>2025</v>
      </c>
      <c r="AG905" s="25">
        <f>COUNTIFS(Tabela1[Mês],Tabela1[[#This Row],[Mês]])</f>
        <v>196</v>
      </c>
      <c r="AH905" s="25">
        <f>COUNTIFS(Tabela1[Mês],Tabela1[[#This Row],[Mês]],Tabela1[Fase atual],"Recebido")</f>
        <v>138</v>
      </c>
      <c r="AI905" s="26">
        <f>Tabela1[[#This Row],[Recebido_ Mes]]/Tabela1[[#This Row],[Total_Mes]]</f>
        <v>0.70408163265306123</v>
      </c>
      <c r="AJ905" s="19">
        <f>COUNTIFS(Tabela1[Fase atual],"Recebido",Tabela1[Mês],Tabela1[[#This Row],[Mês]],Tabela1[Ano],Tabela1[[#This Row],[Ano]])/COUNTIF(Tabela1[Mês],Tabela1[[#This Row],[Mês]])</f>
        <v>0.70408163265306123</v>
      </c>
      <c r="AK905" s="20">
        <f>100%</f>
        <v>1</v>
      </c>
    </row>
    <row r="906" spans="1:37" ht="18" customHeight="1" x14ac:dyDescent="0.25">
      <c r="A906">
        <v>1261737733</v>
      </c>
      <c r="B906" t="s">
        <v>1595</v>
      </c>
      <c r="C906" t="s">
        <v>1596</v>
      </c>
      <c r="D906" t="s">
        <v>40</v>
      </c>
      <c r="E906" t="s">
        <v>31</v>
      </c>
      <c r="F906" s="2">
        <v>45992.54158041667</v>
      </c>
      <c r="AC906" s="24">
        <f t="shared" ca="1" si="29"/>
        <v>141.4584195833304</v>
      </c>
      <c r="AD906" s="25" t="str">
        <f t="shared" ca="1" si="30"/>
        <v>&gt;60 dias</v>
      </c>
      <c r="AE906" s="25">
        <f>MONTH(Tabela1[[#This Row],[Criado em]])</f>
        <v>12</v>
      </c>
      <c r="AF906" s="25">
        <f>YEAR(Tabela1[[#This Row],[Criado em]])</f>
        <v>2025</v>
      </c>
      <c r="AG906" s="25">
        <f>COUNTIFS(Tabela1[Mês],Tabela1[[#This Row],[Mês]])</f>
        <v>207</v>
      </c>
      <c r="AH906" s="25">
        <f>COUNTIFS(Tabela1[Mês],Tabela1[[#This Row],[Mês]],Tabela1[Fase atual],"Recebido")</f>
        <v>155</v>
      </c>
      <c r="AI906" s="26">
        <f>Tabela1[[#This Row],[Recebido_ Mes]]/Tabela1[[#This Row],[Total_Mes]]</f>
        <v>0.74879227053140096</v>
      </c>
      <c r="AJ906" s="19">
        <f>COUNTIFS(Tabela1[Fase atual],"Recebido",Tabela1[Mês],Tabela1[[#This Row],[Mês]],Tabela1[Ano],Tabela1[[#This Row],[Ano]])/COUNTIF(Tabela1[Mês],Tabela1[[#This Row],[Mês]])</f>
        <v>0.74879227053140096</v>
      </c>
      <c r="AK906" s="20">
        <f>100%</f>
        <v>1</v>
      </c>
    </row>
    <row r="907" spans="1:37" ht="18" customHeight="1" x14ac:dyDescent="0.25">
      <c r="A907">
        <v>1309288469</v>
      </c>
      <c r="B907" t="s">
        <v>1595</v>
      </c>
      <c r="C907" t="s">
        <v>1596</v>
      </c>
      <c r="D907" t="s">
        <v>2179</v>
      </c>
      <c r="E907" t="s">
        <v>31</v>
      </c>
      <c r="F907" s="2">
        <v>46085.795192141202</v>
      </c>
      <c r="AC907" s="24">
        <f t="shared" ca="1" si="29"/>
        <v>48.204807858797722</v>
      </c>
      <c r="AD907" s="25" t="str">
        <f t="shared" ca="1" si="30"/>
        <v>31-60 dias</v>
      </c>
      <c r="AE907" s="25">
        <f>MONTH(Tabela1[[#This Row],[Criado em]])</f>
        <v>3</v>
      </c>
      <c r="AF907" s="25">
        <f>YEAR(Tabela1[[#This Row],[Criado em]])</f>
        <v>2026</v>
      </c>
      <c r="AG907" s="25">
        <f>COUNTIFS(Tabela1[Mês],Tabela1[[#This Row],[Mês]])</f>
        <v>62</v>
      </c>
      <c r="AH907" s="25">
        <f>COUNTIFS(Tabela1[Mês],Tabela1[[#This Row],[Mês]],Tabela1[Fase atual],"Recebido")</f>
        <v>13</v>
      </c>
      <c r="AI907" s="26">
        <f>Tabela1[[#This Row],[Recebido_ Mes]]/Tabela1[[#This Row],[Total_Mes]]</f>
        <v>0.20967741935483872</v>
      </c>
      <c r="AJ907" s="19">
        <f>COUNTIFS(Tabela1[Fase atual],"Recebido",Tabela1[Mês],Tabela1[[#This Row],[Mês]],Tabela1[Ano],Tabela1[[#This Row],[Ano]])/COUNTIF(Tabela1[Mês],Tabela1[[#This Row],[Mês]])</f>
        <v>0.20967741935483872</v>
      </c>
      <c r="AK907" s="20">
        <f>100%</f>
        <v>1</v>
      </c>
    </row>
    <row r="908" spans="1:37" ht="18" customHeight="1" x14ac:dyDescent="0.25">
      <c r="A908">
        <v>1229910115</v>
      </c>
      <c r="B908" t="s">
        <v>1597</v>
      </c>
      <c r="C908" t="s">
        <v>1598</v>
      </c>
      <c r="D908" t="s">
        <v>37</v>
      </c>
      <c r="E908" t="s">
        <v>31</v>
      </c>
      <c r="F908" s="2">
        <v>45937.860869629629</v>
      </c>
      <c r="AC908" s="24">
        <f t="shared" ca="1" si="29"/>
        <v>196.13913037037128</v>
      </c>
      <c r="AD908" s="25" t="str">
        <f t="shared" ca="1" si="30"/>
        <v>&gt;60 dias</v>
      </c>
      <c r="AE908" s="25">
        <f>MONTH(Tabela1[[#This Row],[Criado em]])</f>
        <v>10</v>
      </c>
      <c r="AF908" s="25">
        <f>YEAR(Tabela1[[#This Row],[Criado em]])</f>
        <v>2025</v>
      </c>
      <c r="AG908" s="25">
        <f>COUNTIFS(Tabela1[Mês],Tabela1[[#This Row],[Mês]])</f>
        <v>196</v>
      </c>
      <c r="AH908" s="25">
        <f>COUNTIFS(Tabela1[Mês],Tabela1[[#This Row],[Mês]],Tabela1[Fase atual],"Recebido")</f>
        <v>138</v>
      </c>
      <c r="AI908" s="26">
        <f>Tabela1[[#This Row],[Recebido_ Mes]]/Tabela1[[#This Row],[Total_Mes]]</f>
        <v>0.70408163265306123</v>
      </c>
      <c r="AJ908" s="19">
        <f>COUNTIFS(Tabela1[Fase atual],"Recebido",Tabela1[Mês],Tabela1[[#This Row],[Mês]],Tabela1[Ano],Tabela1[[#This Row],[Ano]])/COUNTIF(Tabela1[Mês],Tabela1[[#This Row],[Mês]])</f>
        <v>0.70408163265306123</v>
      </c>
      <c r="AK908" s="20">
        <f>100%</f>
        <v>1</v>
      </c>
    </row>
    <row r="909" spans="1:37" ht="18" customHeight="1" x14ac:dyDescent="0.25">
      <c r="A909">
        <v>1207537226</v>
      </c>
      <c r="B909" t="s">
        <v>700</v>
      </c>
      <c r="C909" t="s">
        <v>1599</v>
      </c>
      <c r="D909" t="s">
        <v>202</v>
      </c>
      <c r="E909" t="s">
        <v>31</v>
      </c>
      <c r="F909" s="2">
        <v>45903.750161793992</v>
      </c>
      <c r="AC909" s="24">
        <f t="shared" ca="1" si="29"/>
        <v>230.24983820600755</v>
      </c>
      <c r="AD909" s="25" t="str">
        <f t="shared" ca="1" si="30"/>
        <v>&gt;60 dias</v>
      </c>
      <c r="AE909" s="25">
        <f>MONTH(Tabela1[[#This Row],[Criado em]])</f>
        <v>9</v>
      </c>
      <c r="AF909" s="25">
        <f>YEAR(Tabela1[[#This Row],[Criado em]])</f>
        <v>2025</v>
      </c>
      <c r="AG909" s="25">
        <f>COUNTIFS(Tabela1[Mês],Tabela1[[#This Row],[Mês]])</f>
        <v>197</v>
      </c>
      <c r="AH909" s="25">
        <f>COUNTIFS(Tabela1[Mês],Tabela1[[#This Row],[Mês]],Tabela1[Fase atual],"Recebido")</f>
        <v>152</v>
      </c>
      <c r="AI909" s="26">
        <f>Tabela1[[#This Row],[Recebido_ Mes]]/Tabela1[[#This Row],[Total_Mes]]</f>
        <v>0.77157360406091369</v>
      </c>
      <c r="AJ909" s="19">
        <f>COUNTIFS(Tabela1[Fase atual],"Recebido",Tabela1[Mês],Tabela1[[#This Row],[Mês]],Tabela1[Ano],Tabela1[[#This Row],[Ano]])/COUNTIF(Tabela1[Mês],Tabela1[[#This Row],[Mês]])</f>
        <v>0.77157360406091369</v>
      </c>
      <c r="AK909" s="20">
        <f>100%</f>
        <v>1</v>
      </c>
    </row>
    <row r="910" spans="1:37" ht="18" customHeight="1" x14ac:dyDescent="0.25">
      <c r="A910">
        <v>1248229905</v>
      </c>
      <c r="B910" t="s">
        <v>1600</v>
      </c>
      <c r="C910" t="s">
        <v>1601</v>
      </c>
      <c r="D910" t="s">
        <v>37</v>
      </c>
      <c r="E910" t="s">
        <v>31</v>
      </c>
      <c r="F910" s="2">
        <v>45961.795145902783</v>
      </c>
      <c r="AC910" s="24">
        <f t="shared" ca="1" si="29"/>
        <v>172.20485409721732</v>
      </c>
      <c r="AD910" s="25" t="str">
        <f t="shared" ca="1" si="30"/>
        <v>&gt;60 dias</v>
      </c>
      <c r="AE910" s="25">
        <f>MONTH(Tabela1[[#This Row],[Criado em]])</f>
        <v>10</v>
      </c>
      <c r="AF910" s="25">
        <f>YEAR(Tabela1[[#This Row],[Criado em]])</f>
        <v>2025</v>
      </c>
      <c r="AG910" s="25">
        <f>COUNTIFS(Tabela1[Mês],Tabela1[[#This Row],[Mês]])</f>
        <v>196</v>
      </c>
      <c r="AH910" s="25">
        <f>COUNTIFS(Tabela1[Mês],Tabela1[[#This Row],[Mês]],Tabela1[Fase atual],"Recebido")</f>
        <v>138</v>
      </c>
      <c r="AI910" s="26">
        <f>Tabela1[[#This Row],[Recebido_ Mes]]/Tabela1[[#This Row],[Total_Mes]]</f>
        <v>0.70408163265306123</v>
      </c>
      <c r="AJ910" s="19">
        <f>COUNTIFS(Tabela1[Fase atual],"Recebido",Tabela1[Mês],Tabela1[[#This Row],[Mês]],Tabela1[Ano],Tabela1[[#This Row],[Ano]])/COUNTIF(Tabela1[Mês],Tabela1[[#This Row],[Mês]])</f>
        <v>0.70408163265306123</v>
      </c>
      <c r="AK910" s="20">
        <f>100%</f>
        <v>1</v>
      </c>
    </row>
    <row r="911" spans="1:37" ht="18" customHeight="1" x14ac:dyDescent="0.25">
      <c r="A911">
        <v>1295251924</v>
      </c>
      <c r="B911" t="s">
        <v>388</v>
      </c>
      <c r="C911" t="s">
        <v>389</v>
      </c>
      <c r="D911" t="s">
        <v>40</v>
      </c>
      <c r="E911" t="s">
        <v>31</v>
      </c>
      <c r="F911" s="2">
        <v>46062.655947361112</v>
      </c>
      <c r="AC911" s="24">
        <f t="shared" ca="1" si="29"/>
        <v>71.344052638887661</v>
      </c>
      <c r="AD911" s="25" t="str">
        <f t="shared" ca="1" si="30"/>
        <v>&gt;60 dias</v>
      </c>
      <c r="AE911" s="25">
        <f>MONTH(Tabela1[[#This Row],[Criado em]])</f>
        <v>2</v>
      </c>
      <c r="AF911" s="25">
        <f>YEAR(Tabela1[[#This Row],[Criado em]])</f>
        <v>2026</v>
      </c>
      <c r="AG911" s="25">
        <f>COUNTIFS(Tabela1[Mês],Tabela1[[#This Row],[Mês]])</f>
        <v>197</v>
      </c>
      <c r="AH911" s="25">
        <f>COUNTIFS(Tabela1[Mês],Tabela1[[#This Row],[Mês]],Tabela1[Fase atual],"Recebido")</f>
        <v>124</v>
      </c>
      <c r="AI911" s="26">
        <f>Tabela1[[#This Row],[Recebido_ Mes]]/Tabela1[[#This Row],[Total_Mes]]</f>
        <v>0.62944162436548223</v>
      </c>
      <c r="AJ911" s="19">
        <f>COUNTIFS(Tabela1[Fase atual],"Recebido",Tabela1[Mês],Tabela1[[#This Row],[Mês]],Tabela1[Ano],Tabela1[[#This Row],[Ano]])/COUNTIF(Tabela1[Mês],Tabela1[[#This Row],[Mês]])</f>
        <v>0.62944162436548223</v>
      </c>
      <c r="AK911" s="20">
        <f>100%</f>
        <v>1</v>
      </c>
    </row>
    <row r="912" spans="1:37" ht="18" customHeight="1" x14ac:dyDescent="0.25">
      <c r="A912">
        <v>1294279392</v>
      </c>
      <c r="B912" t="s">
        <v>388</v>
      </c>
      <c r="C912" t="s">
        <v>389</v>
      </c>
      <c r="D912" t="s">
        <v>40</v>
      </c>
      <c r="E912" t="s">
        <v>31</v>
      </c>
      <c r="F912" s="2">
        <v>46059.567302847223</v>
      </c>
      <c r="AC912" s="24">
        <f t="shared" ca="1" si="29"/>
        <v>74.432697152777109</v>
      </c>
      <c r="AD912" s="25" t="str">
        <f t="shared" ca="1" si="30"/>
        <v>&gt;60 dias</v>
      </c>
      <c r="AE912" s="25">
        <f>MONTH(Tabela1[[#This Row],[Criado em]])</f>
        <v>2</v>
      </c>
      <c r="AF912" s="25">
        <f>YEAR(Tabela1[[#This Row],[Criado em]])</f>
        <v>2026</v>
      </c>
      <c r="AG912" s="25">
        <f>COUNTIFS(Tabela1[Mês],Tabela1[[#This Row],[Mês]])</f>
        <v>197</v>
      </c>
      <c r="AH912" s="25">
        <f>COUNTIFS(Tabela1[Mês],Tabela1[[#This Row],[Mês]],Tabela1[Fase atual],"Recebido")</f>
        <v>124</v>
      </c>
      <c r="AI912" s="26">
        <f>Tabela1[[#This Row],[Recebido_ Mes]]/Tabela1[[#This Row],[Total_Mes]]</f>
        <v>0.62944162436548223</v>
      </c>
      <c r="AJ912" s="19">
        <f>COUNTIFS(Tabela1[Fase atual],"Recebido",Tabela1[Mês],Tabela1[[#This Row],[Mês]],Tabela1[Ano],Tabela1[[#This Row],[Ano]])/COUNTIF(Tabela1[Mês],Tabela1[[#This Row],[Mês]])</f>
        <v>0.62944162436548223</v>
      </c>
      <c r="AK912" s="20">
        <f>100%</f>
        <v>1</v>
      </c>
    </row>
    <row r="913" spans="1:37" ht="18" customHeight="1" x14ac:dyDescent="0.25">
      <c r="A913">
        <v>1240027133</v>
      </c>
      <c r="B913" t="s">
        <v>1602</v>
      </c>
      <c r="C913" t="s">
        <v>1603</v>
      </c>
      <c r="D913" t="s">
        <v>40</v>
      </c>
      <c r="E913" t="s">
        <v>31</v>
      </c>
      <c r="F913" s="2">
        <v>45950.795210173623</v>
      </c>
      <c r="AC913" s="24">
        <f t="shared" ca="1" si="29"/>
        <v>183.20478982637724</v>
      </c>
      <c r="AD913" s="25" t="str">
        <f t="shared" ca="1" si="30"/>
        <v>&gt;60 dias</v>
      </c>
      <c r="AE913" s="25">
        <f>MONTH(Tabela1[[#This Row],[Criado em]])</f>
        <v>10</v>
      </c>
      <c r="AF913" s="25">
        <f>YEAR(Tabela1[[#This Row],[Criado em]])</f>
        <v>2025</v>
      </c>
      <c r="AG913" s="25">
        <f>COUNTIFS(Tabela1[Mês],Tabela1[[#This Row],[Mês]])</f>
        <v>196</v>
      </c>
      <c r="AH913" s="25">
        <f>COUNTIFS(Tabela1[Mês],Tabela1[[#This Row],[Mês]],Tabela1[Fase atual],"Recebido")</f>
        <v>138</v>
      </c>
      <c r="AI913" s="26">
        <f>Tabela1[[#This Row],[Recebido_ Mes]]/Tabela1[[#This Row],[Total_Mes]]</f>
        <v>0.70408163265306123</v>
      </c>
      <c r="AJ913" s="19">
        <f>COUNTIFS(Tabela1[Fase atual],"Recebido",Tabela1[Mês],Tabela1[[#This Row],[Mês]],Tabela1[Ano],Tabela1[[#This Row],[Ano]])/COUNTIF(Tabela1[Mês],Tabela1[[#This Row],[Mês]])</f>
        <v>0.70408163265306123</v>
      </c>
      <c r="AK913" s="20">
        <f>100%</f>
        <v>1</v>
      </c>
    </row>
    <row r="914" spans="1:37" ht="18" customHeight="1" x14ac:dyDescent="0.25">
      <c r="A914">
        <v>1188379280</v>
      </c>
      <c r="B914" t="s">
        <v>1604</v>
      </c>
      <c r="C914" t="s">
        <v>1605</v>
      </c>
      <c r="D914" t="s">
        <v>37</v>
      </c>
      <c r="E914" t="s">
        <v>31</v>
      </c>
      <c r="F914" s="2">
        <v>45873.85014451389</v>
      </c>
      <c r="AC914" s="24">
        <f t="shared" ca="1" si="29"/>
        <v>260.14985548611003</v>
      </c>
      <c r="AD914" s="25" t="str">
        <f t="shared" ca="1" si="30"/>
        <v>&gt;60 dias</v>
      </c>
      <c r="AE914" s="25">
        <f>MONTH(Tabela1[[#This Row],[Criado em]])</f>
        <v>8</v>
      </c>
      <c r="AF914" s="25">
        <f>YEAR(Tabela1[[#This Row],[Criado em]])</f>
        <v>2025</v>
      </c>
      <c r="AG914" s="25">
        <f>COUNTIFS(Tabela1[Mês],Tabela1[[#This Row],[Mês]])</f>
        <v>146</v>
      </c>
      <c r="AH914" s="25">
        <f>COUNTIFS(Tabela1[Mês],Tabela1[[#This Row],[Mês]],Tabela1[Fase atual],"Recebido")</f>
        <v>115</v>
      </c>
      <c r="AI914" s="26">
        <f>Tabela1[[#This Row],[Recebido_ Mes]]/Tabela1[[#This Row],[Total_Mes]]</f>
        <v>0.78767123287671237</v>
      </c>
      <c r="AJ914" s="19">
        <f>COUNTIFS(Tabela1[Fase atual],"Recebido",Tabela1[Mês],Tabela1[[#This Row],[Mês]],Tabela1[Ano],Tabela1[[#This Row],[Ano]])/COUNTIF(Tabela1[Mês],Tabela1[[#This Row],[Mês]])</f>
        <v>0.78767123287671237</v>
      </c>
      <c r="AK914" s="20">
        <f>100%</f>
        <v>1</v>
      </c>
    </row>
    <row r="915" spans="1:37" ht="18" customHeight="1" x14ac:dyDescent="0.25">
      <c r="A915">
        <v>1270549479</v>
      </c>
      <c r="B915" t="s">
        <v>1606</v>
      </c>
      <c r="C915" t="s">
        <v>1607</v>
      </c>
      <c r="D915" t="s">
        <v>37</v>
      </c>
      <c r="E915" t="s">
        <v>31</v>
      </c>
      <c r="F915" s="2">
        <v>46010.611016076393</v>
      </c>
      <c r="AC915" s="24">
        <f t="shared" ca="1" si="29"/>
        <v>123.38898392360716</v>
      </c>
      <c r="AD915" s="25" t="str">
        <f t="shared" ca="1" si="30"/>
        <v>&gt;60 dias</v>
      </c>
      <c r="AE915" s="25">
        <f>MONTH(Tabela1[[#This Row],[Criado em]])</f>
        <v>12</v>
      </c>
      <c r="AF915" s="25">
        <f>YEAR(Tabela1[[#This Row],[Criado em]])</f>
        <v>2025</v>
      </c>
      <c r="AG915" s="25">
        <f>COUNTIFS(Tabela1[Mês],Tabela1[[#This Row],[Mês]])</f>
        <v>207</v>
      </c>
      <c r="AH915" s="25">
        <f>COUNTIFS(Tabela1[Mês],Tabela1[[#This Row],[Mês]],Tabela1[Fase atual],"Recebido")</f>
        <v>155</v>
      </c>
      <c r="AI915" s="26">
        <f>Tabela1[[#This Row],[Recebido_ Mes]]/Tabela1[[#This Row],[Total_Mes]]</f>
        <v>0.74879227053140096</v>
      </c>
      <c r="AJ915" s="19">
        <f>COUNTIFS(Tabela1[Fase atual],"Recebido",Tabela1[Mês],Tabela1[[#This Row],[Mês]],Tabela1[Ano],Tabela1[[#This Row],[Ano]])/COUNTIF(Tabela1[Mês],Tabela1[[#This Row],[Mês]])</f>
        <v>0.74879227053140096</v>
      </c>
      <c r="AK915" s="20">
        <f>100%</f>
        <v>1</v>
      </c>
    </row>
    <row r="916" spans="1:37" ht="18" customHeight="1" x14ac:dyDescent="0.25">
      <c r="A916">
        <v>1299038091</v>
      </c>
      <c r="B916" t="s">
        <v>390</v>
      </c>
      <c r="C916" t="s">
        <v>391</v>
      </c>
      <c r="D916" t="s">
        <v>37</v>
      </c>
      <c r="E916" t="s">
        <v>31</v>
      </c>
      <c r="F916" s="2">
        <v>46071.793839456019</v>
      </c>
      <c r="AC916" s="24">
        <f t="shared" ca="1" si="29"/>
        <v>62.206160543981241</v>
      </c>
      <c r="AD916" s="25" t="str">
        <f t="shared" ca="1" si="30"/>
        <v>&gt;60 dias</v>
      </c>
      <c r="AE916" s="25">
        <f>MONTH(Tabela1[[#This Row],[Criado em]])</f>
        <v>2</v>
      </c>
      <c r="AF916" s="25">
        <f>YEAR(Tabela1[[#This Row],[Criado em]])</f>
        <v>2026</v>
      </c>
      <c r="AG916" s="25">
        <f>COUNTIFS(Tabela1[Mês],Tabela1[[#This Row],[Mês]])</f>
        <v>197</v>
      </c>
      <c r="AH916" s="25">
        <f>COUNTIFS(Tabela1[Mês],Tabela1[[#This Row],[Mês]],Tabela1[Fase atual],"Recebido")</f>
        <v>124</v>
      </c>
      <c r="AI916" s="26">
        <f>Tabela1[[#This Row],[Recebido_ Mes]]/Tabela1[[#This Row],[Total_Mes]]</f>
        <v>0.62944162436548223</v>
      </c>
      <c r="AJ916" s="19">
        <f>COUNTIFS(Tabela1[Fase atual],"Recebido",Tabela1[Mês],Tabela1[[#This Row],[Mês]],Tabela1[Ano],Tabela1[[#This Row],[Ano]])/COUNTIF(Tabela1[Mês],Tabela1[[#This Row],[Mês]])</f>
        <v>0.62944162436548223</v>
      </c>
      <c r="AK916" s="20">
        <f>100%</f>
        <v>1</v>
      </c>
    </row>
    <row r="917" spans="1:37" ht="18" customHeight="1" x14ac:dyDescent="0.25">
      <c r="A917">
        <v>1240027334</v>
      </c>
      <c r="B917" t="s">
        <v>726</v>
      </c>
      <c r="C917" t="s">
        <v>1608</v>
      </c>
      <c r="D917" t="s">
        <v>40</v>
      </c>
      <c r="E917" t="s">
        <v>31</v>
      </c>
      <c r="F917" s="2">
        <v>45950.795418981477</v>
      </c>
      <c r="AC917" s="24">
        <f t="shared" ca="1" si="29"/>
        <v>183.20458101852273</v>
      </c>
      <c r="AD917" s="25" t="str">
        <f t="shared" ca="1" si="30"/>
        <v>&gt;60 dias</v>
      </c>
      <c r="AE917" s="25">
        <f>MONTH(Tabela1[[#This Row],[Criado em]])</f>
        <v>10</v>
      </c>
      <c r="AF917" s="25">
        <f>YEAR(Tabela1[[#This Row],[Criado em]])</f>
        <v>2025</v>
      </c>
      <c r="AG917" s="25">
        <f>COUNTIFS(Tabela1[Mês],Tabela1[[#This Row],[Mês]])</f>
        <v>196</v>
      </c>
      <c r="AH917" s="25">
        <f>COUNTIFS(Tabela1[Mês],Tabela1[[#This Row],[Mês]],Tabela1[Fase atual],"Recebido")</f>
        <v>138</v>
      </c>
      <c r="AI917" s="26">
        <f>Tabela1[[#This Row],[Recebido_ Mes]]/Tabela1[[#This Row],[Total_Mes]]</f>
        <v>0.70408163265306123</v>
      </c>
      <c r="AJ917" s="19">
        <f>COUNTIFS(Tabela1[Fase atual],"Recebido",Tabela1[Mês],Tabela1[[#This Row],[Mês]],Tabela1[Ano],Tabela1[[#This Row],[Ano]])/COUNTIF(Tabela1[Mês],Tabela1[[#This Row],[Mês]])</f>
        <v>0.70408163265306123</v>
      </c>
      <c r="AK917" s="20">
        <f>100%</f>
        <v>1</v>
      </c>
    </row>
    <row r="918" spans="1:37" ht="18" customHeight="1" x14ac:dyDescent="0.25">
      <c r="A918">
        <v>1269991149</v>
      </c>
      <c r="B918" t="s">
        <v>1609</v>
      </c>
      <c r="C918" t="s">
        <v>1610</v>
      </c>
      <c r="D918" t="s">
        <v>37</v>
      </c>
      <c r="E918" t="s">
        <v>31</v>
      </c>
      <c r="F918" s="2">
        <v>46009.630218333332</v>
      </c>
      <c r="AC918" s="24">
        <f t="shared" ca="1" si="29"/>
        <v>124.36978166666813</v>
      </c>
      <c r="AD918" s="25" t="str">
        <f t="shared" ca="1" si="30"/>
        <v>&gt;60 dias</v>
      </c>
      <c r="AE918" s="25">
        <f>MONTH(Tabela1[[#This Row],[Criado em]])</f>
        <v>12</v>
      </c>
      <c r="AF918" s="25">
        <f>YEAR(Tabela1[[#This Row],[Criado em]])</f>
        <v>2025</v>
      </c>
      <c r="AG918" s="25">
        <f>COUNTIFS(Tabela1[Mês],Tabela1[[#This Row],[Mês]])</f>
        <v>207</v>
      </c>
      <c r="AH918" s="25">
        <f>COUNTIFS(Tabela1[Mês],Tabela1[[#This Row],[Mês]],Tabela1[Fase atual],"Recebido")</f>
        <v>155</v>
      </c>
      <c r="AI918" s="26">
        <f>Tabela1[[#This Row],[Recebido_ Mes]]/Tabela1[[#This Row],[Total_Mes]]</f>
        <v>0.74879227053140096</v>
      </c>
      <c r="AJ918" s="19">
        <f>COUNTIFS(Tabela1[Fase atual],"Recebido",Tabela1[Mês],Tabela1[[#This Row],[Mês]],Tabela1[Ano],Tabela1[[#This Row],[Ano]])/COUNTIF(Tabela1[Mês],Tabela1[[#This Row],[Mês]])</f>
        <v>0.74879227053140096</v>
      </c>
      <c r="AK918" s="20">
        <f>100%</f>
        <v>1</v>
      </c>
    </row>
    <row r="919" spans="1:37" ht="18" customHeight="1" x14ac:dyDescent="0.25">
      <c r="A919">
        <v>1268335130</v>
      </c>
      <c r="B919" t="s">
        <v>1611</v>
      </c>
      <c r="C919" t="s">
        <v>1612</v>
      </c>
      <c r="D919" t="s">
        <v>40</v>
      </c>
      <c r="E919" t="s">
        <v>31</v>
      </c>
      <c r="F919" s="2">
        <v>46006.544806377322</v>
      </c>
      <c r="AC919" s="24">
        <f t="shared" ca="1" si="29"/>
        <v>127.45519362267805</v>
      </c>
      <c r="AD919" s="25" t="str">
        <f t="shared" ca="1" si="30"/>
        <v>&gt;60 dias</v>
      </c>
      <c r="AE919" s="25">
        <f>MONTH(Tabela1[[#This Row],[Criado em]])</f>
        <v>12</v>
      </c>
      <c r="AF919" s="25">
        <f>YEAR(Tabela1[[#This Row],[Criado em]])</f>
        <v>2025</v>
      </c>
      <c r="AG919" s="25">
        <f>COUNTIFS(Tabela1[Mês],Tabela1[[#This Row],[Mês]])</f>
        <v>207</v>
      </c>
      <c r="AH919" s="25">
        <f>COUNTIFS(Tabela1[Mês],Tabela1[[#This Row],[Mês]],Tabela1[Fase atual],"Recebido")</f>
        <v>155</v>
      </c>
      <c r="AI919" s="26">
        <f>Tabela1[[#This Row],[Recebido_ Mes]]/Tabela1[[#This Row],[Total_Mes]]</f>
        <v>0.74879227053140096</v>
      </c>
      <c r="AJ919" s="19">
        <f>COUNTIFS(Tabela1[Fase atual],"Recebido",Tabela1[Mês],Tabela1[[#This Row],[Mês]],Tabela1[Ano],Tabela1[[#This Row],[Ano]])/COUNTIF(Tabela1[Mês],Tabela1[[#This Row],[Mês]])</f>
        <v>0.74879227053140096</v>
      </c>
      <c r="AK919" s="20">
        <f>100%</f>
        <v>1</v>
      </c>
    </row>
    <row r="920" spans="1:37" ht="18" customHeight="1" x14ac:dyDescent="0.25">
      <c r="A920">
        <v>1288135223</v>
      </c>
      <c r="B920" t="s">
        <v>392</v>
      </c>
      <c r="C920" t="s">
        <v>393</v>
      </c>
      <c r="D920" t="s">
        <v>37</v>
      </c>
      <c r="E920" t="s">
        <v>31</v>
      </c>
      <c r="F920" s="2">
        <v>46048.629129479174</v>
      </c>
      <c r="AC920" s="24">
        <f t="shared" ca="1" si="29"/>
        <v>85.370870520826429</v>
      </c>
      <c r="AD920" s="25" t="str">
        <f t="shared" ca="1" si="30"/>
        <v>&gt;60 dias</v>
      </c>
      <c r="AE920" s="25">
        <f>MONTH(Tabela1[[#This Row],[Criado em]])</f>
        <v>1</v>
      </c>
      <c r="AF920" s="25">
        <f>YEAR(Tabela1[[#This Row],[Criado em]])</f>
        <v>2026</v>
      </c>
      <c r="AG920" s="25">
        <f>COUNTIFS(Tabela1[Mês],Tabela1[[#This Row],[Mês]])</f>
        <v>222</v>
      </c>
      <c r="AH920" s="25">
        <f>COUNTIFS(Tabela1[Mês],Tabela1[[#This Row],[Mês]],Tabela1[Fase atual],"Recebido")</f>
        <v>174</v>
      </c>
      <c r="AI920" s="26">
        <f>Tabela1[[#This Row],[Recebido_ Mes]]/Tabela1[[#This Row],[Total_Mes]]</f>
        <v>0.78378378378378377</v>
      </c>
      <c r="AJ920" s="19">
        <f>COUNTIFS(Tabela1[Fase atual],"Recebido",Tabela1[Mês],Tabela1[[#This Row],[Mês]],Tabela1[Ano],Tabela1[[#This Row],[Ano]])/COUNTIF(Tabela1[Mês],Tabela1[[#This Row],[Mês]])</f>
        <v>0.78378378378378377</v>
      </c>
      <c r="AK920" s="20">
        <f>100%</f>
        <v>1</v>
      </c>
    </row>
    <row r="921" spans="1:37" ht="18" customHeight="1" x14ac:dyDescent="0.25">
      <c r="A921">
        <v>1302004468</v>
      </c>
      <c r="B921" t="s">
        <v>394</v>
      </c>
      <c r="C921" t="s">
        <v>395</v>
      </c>
      <c r="D921" t="s">
        <v>37</v>
      </c>
      <c r="E921" t="s">
        <v>31</v>
      </c>
      <c r="F921" s="2">
        <v>46076.918466689807</v>
      </c>
      <c r="AC921" s="24">
        <f t="shared" ca="1" si="29"/>
        <v>57.081533310192754</v>
      </c>
      <c r="AD921" s="25" t="str">
        <f t="shared" ca="1" si="30"/>
        <v>31-60 dias</v>
      </c>
      <c r="AE921" s="25">
        <f>MONTH(Tabela1[[#This Row],[Criado em]])</f>
        <v>2</v>
      </c>
      <c r="AF921" s="25">
        <f>YEAR(Tabela1[[#This Row],[Criado em]])</f>
        <v>2026</v>
      </c>
      <c r="AG921" s="25">
        <f>COUNTIFS(Tabela1[Mês],Tabela1[[#This Row],[Mês]])</f>
        <v>197</v>
      </c>
      <c r="AH921" s="25">
        <f>COUNTIFS(Tabela1[Mês],Tabela1[[#This Row],[Mês]],Tabela1[Fase atual],"Recebido")</f>
        <v>124</v>
      </c>
      <c r="AI921" s="26">
        <f>Tabela1[[#This Row],[Recebido_ Mes]]/Tabela1[[#This Row],[Total_Mes]]</f>
        <v>0.62944162436548223</v>
      </c>
      <c r="AJ921" s="19">
        <f>COUNTIFS(Tabela1[Fase atual],"Recebido",Tabela1[Mês],Tabela1[[#This Row],[Mês]],Tabela1[Ano],Tabela1[[#This Row],[Ano]])/COUNTIF(Tabela1[Mês],Tabela1[[#This Row],[Mês]])</f>
        <v>0.62944162436548223</v>
      </c>
      <c r="AK921" s="20">
        <f>100%</f>
        <v>1</v>
      </c>
    </row>
    <row r="922" spans="1:37" ht="18" customHeight="1" x14ac:dyDescent="0.25">
      <c r="A922">
        <v>1281987762</v>
      </c>
      <c r="B922" t="s">
        <v>396</v>
      </c>
      <c r="C922" t="s">
        <v>397</v>
      </c>
      <c r="D922" t="s">
        <v>37</v>
      </c>
      <c r="E922" t="s">
        <v>31</v>
      </c>
      <c r="F922" s="2">
        <v>46036.919445057873</v>
      </c>
      <c r="AC922" s="24">
        <f t="shared" ca="1" si="29"/>
        <v>97.080554942127492</v>
      </c>
      <c r="AD922" s="25" t="str">
        <f t="shared" ca="1" si="30"/>
        <v>&gt;60 dias</v>
      </c>
      <c r="AE922" s="25">
        <f>MONTH(Tabela1[[#This Row],[Criado em]])</f>
        <v>1</v>
      </c>
      <c r="AF922" s="25">
        <f>YEAR(Tabela1[[#This Row],[Criado em]])</f>
        <v>2026</v>
      </c>
      <c r="AG922" s="25">
        <f>COUNTIFS(Tabela1[Mês],Tabela1[[#This Row],[Mês]])</f>
        <v>222</v>
      </c>
      <c r="AH922" s="25">
        <f>COUNTIFS(Tabela1[Mês],Tabela1[[#This Row],[Mês]],Tabela1[Fase atual],"Recebido")</f>
        <v>174</v>
      </c>
      <c r="AI922" s="26">
        <f>Tabela1[[#This Row],[Recebido_ Mes]]/Tabela1[[#This Row],[Total_Mes]]</f>
        <v>0.78378378378378377</v>
      </c>
      <c r="AJ922" s="19">
        <f>COUNTIFS(Tabela1[Fase atual],"Recebido",Tabela1[Mês],Tabela1[[#This Row],[Mês]],Tabela1[Ano],Tabela1[[#This Row],[Ano]])/COUNTIF(Tabela1[Mês],Tabela1[[#This Row],[Mês]])</f>
        <v>0.78378378378378377</v>
      </c>
      <c r="AK922" s="20">
        <f>100%</f>
        <v>1</v>
      </c>
    </row>
    <row r="923" spans="1:37" ht="18" customHeight="1" x14ac:dyDescent="0.25">
      <c r="A923">
        <v>1268336497</v>
      </c>
      <c r="B923" t="s">
        <v>396</v>
      </c>
      <c r="C923" t="s">
        <v>1613</v>
      </c>
      <c r="D923" t="s">
        <v>37</v>
      </c>
      <c r="E923" t="s">
        <v>31</v>
      </c>
      <c r="F923" s="2">
        <v>46006.545445069452</v>
      </c>
      <c r="AC923" s="24">
        <f t="shared" ca="1" si="29"/>
        <v>127.4545549305476</v>
      </c>
      <c r="AD923" s="25" t="str">
        <f t="shared" ca="1" si="30"/>
        <v>&gt;60 dias</v>
      </c>
      <c r="AE923" s="25">
        <f>MONTH(Tabela1[[#This Row],[Criado em]])</f>
        <v>12</v>
      </c>
      <c r="AF923" s="25">
        <f>YEAR(Tabela1[[#This Row],[Criado em]])</f>
        <v>2025</v>
      </c>
      <c r="AG923" s="25">
        <f>COUNTIFS(Tabela1[Mês],Tabela1[[#This Row],[Mês]])</f>
        <v>207</v>
      </c>
      <c r="AH923" s="25">
        <f>COUNTIFS(Tabela1[Mês],Tabela1[[#This Row],[Mês]],Tabela1[Fase atual],"Recebido")</f>
        <v>155</v>
      </c>
      <c r="AI923" s="26">
        <f>Tabela1[[#This Row],[Recebido_ Mes]]/Tabela1[[#This Row],[Total_Mes]]</f>
        <v>0.74879227053140096</v>
      </c>
      <c r="AJ923" s="19">
        <f>COUNTIFS(Tabela1[Fase atual],"Recebido",Tabela1[Mês],Tabela1[[#This Row],[Mês]],Tabela1[Ano],Tabela1[[#This Row],[Ano]])/COUNTIF(Tabela1[Mês],Tabela1[[#This Row],[Mês]])</f>
        <v>0.74879227053140096</v>
      </c>
      <c r="AK923" s="20">
        <f>100%</f>
        <v>1</v>
      </c>
    </row>
    <row r="924" spans="1:37" ht="18" customHeight="1" x14ac:dyDescent="0.25">
      <c r="A924">
        <v>1229666764</v>
      </c>
      <c r="B924" t="s">
        <v>1614</v>
      </c>
      <c r="C924" t="s">
        <v>1615</v>
      </c>
      <c r="D924" t="s">
        <v>37</v>
      </c>
      <c r="E924" t="s">
        <v>31</v>
      </c>
      <c r="F924" s="2">
        <v>45937.642796203712</v>
      </c>
      <c r="AC924" s="24">
        <f t="shared" ca="1" si="29"/>
        <v>196.35720379628765</v>
      </c>
      <c r="AD924" s="25" t="str">
        <f t="shared" ca="1" si="30"/>
        <v>&gt;60 dias</v>
      </c>
      <c r="AE924" s="25">
        <f>MONTH(Tabela1[[#This Row],[Criado em]])</f>
        <v>10</v>
      </c>
      <c r="AF924" s="25">
        <f>YEAR(Tabela1[[#This Row],[Criado em]])</f>
        <v>2025</v>
      </c>
      <c r="AG924" s="25">
        <f>COUNTIFS(Tabela1[Mês],Tabela1[[#This Row],[Mês]])</f>
        <v>196</v>
      </c>
      <c r="AH924" s="25">
        <f>COUNTIFS(Tabela1[Mês],Tabela1[[#This Row],[Mês]],Tabela1[Fase atual],"Recebido")</f>
        <v>138</v>
      </c>
      <c r="AI924" s="26">
        <f>Tabela1[[#This Row],[Recebido_ Mes]]/Tabela1[[#This Row],[Total_Mes]]</f>
        <v>0.70408163265306123</v>
      </c>
      <c r="AJ924" s="19">
        <f>COUNTIFS(Tabela1[Fase atual],"Recebido",Tabela1[Mês],Tabela1[[#This Row],[Mês]],Tabela1[Ano],Tabela1[[#This Row],[Ano]])/COUNTIF(Tabela1[Mês],Tabela1[[#This Row],[Mês]])</f>
        <v>0.70408163265306123</v>
      </c>
      <c r="AK924" s="20">
        <f>100%</f>
        <v>1</v>
      </c>
    </row>
    <row r="925" spans="1:37" ht="18" customHeight="1" x14ac:dyDescent="0.25">
      <c r="A925">
        <v>1299194174</v>
      </c>
      <c r="B925" t="s">
        <v>398</v>
      </c>
      <c r="C925" t="s">
        <v>399</v>
      </c>
      <c r="D925" t="s">
        <v>37</v>
      </c>
      <c r="E925" t="s">
        <v>31</v>
      </c>
      <c r="F925" s="2">
        <v>46071.918694652777</v>
      </c>
      <c r="AC925" s="24">
        <f t="shared" ca="1" si="29"/>
        <v>62.081305347222951</v>
      </c>
      <c r="AD925" s="25" t="str">
        <f t="shared" ca="1" si="30"/>
        <v>&gt;60 dias</v>
      </c>
      <c r="AE925" s="25">
        <f>MONTH(Tabela1[[#This Row],[Criado em]])</f>
        <v>2</v>
      </c>
      <c r="AF925" s="25">
        <f>YEAR(Tabela1[[#This Row],[Criado em]])</f>
        <v>2026</v>
      </c>
      <c r="AG925" s="25">
        <f>COUNTIFS(Tabela1[Mês],Tabela1[[#This Row],[Mês]])</f>
        <v>197</v>
      </c>
      <c r="AH925" s="25">
        <f>COUNTIFS(Tabela1[Mês],Tabela1[[#This Row],[Mês]],Tabela1[Fase atual],"Recebido")</f>
        <v>124</v>
      </c>
      <c r="AI925" s="26">
        <f>Tabela1[[#This Row],[Recebido_ Mes]]/Tabela1[[#This Row],[Total_Mes]]</f>
        <v>0.62944162436548223</v>
      </c>
      <c r="AJ925" s="19">
        <f>COUNTIFS(Tabela1[Fase atual],"Recebido",Tabela1[Mês],Tabela1[[#This Row],[Mês]],Tabela1[Ano],Tabela1[[#This Row],[Ano]])/COUNTIF(Tabela1[Mês],Tabela1[[#This Row],[Mês]])</f>
        <v>0.62944162436548223</v>
      </c>
      <c r="AK925" s="20">
        <f>100%</f>
        <v>1</v>
      </c>
    </row>
    <row r="926" spans="1:37" ht="18" customHeight="1" x14ac:dyDescent="0.25">
      <c r="A926">
        <v>1299775906</v>
      </c>
      <c r="B926" t="s">
        <v>398</v>
      </c>
      <c r="C926" t="s">
        <v>400</v>
      </c>
      <c r="D926" t="s">
        <v>37</v>
      </c>
      <c r="E926" t="s">
        <v>31</v>
      </c>
      <c r="F926" s="2">
        <v>46072.794721967592</v>
      </c>
      <c r="AC926" s="24">
        <f t="shared" ca="1" si="29"/>
        <v>61.205278032408387</v>
      </c>
      <c r="AD926" s="25" t="str">
        <f t="shared" ca="1" si="30"/>
        <v>&gt;60 dias</v>
      </c>
      <c r="AE926" s="25">
        <f>MONTH(Tabela1[[#This Row],[Criado em]])</f>
        <v>2</v>
      </c>
      <c r="AF926" s="25">
        <f>YEAR(Tabela1[[#This Row],[Criado em]])</f>
        <v>2026</v>
      </c>
      <c r="AG926" s="25">
        <f>COUNTIFS(Tabela1[Mês],Tabela1[[#This Row],[Mês]])</f>
        <v>197</v>
      </c>
      <c r="AH926" s="25">
        <f>COUNTIFS(Tabela1[Mês],Tabela1[[#This Row],[Mês]],Tabela1[Fase atual],"Recebido")</f>
        <v>124</v>
      </c>
      <c r="AI926" s="26">
        <f>Tabela1[[#This Row],[Recebido_ Mes]]/Tabela1[[#This Row],[Total_Mes]]</f>
        <v>0.62944162436548223</v>
      </c>
      <c r="AJ926" s="19">
        <f>COUNTIFS(Tabela1[Fase atual],"Recebido",Tabela1[Mês],Tabela1[[#This Row],[Mês]],Tabela1[Ano],Tabela1[[#This Row],[Ano]])/COUNTIF(Tabela1[Mês],Tabela1[[#This Row],[Mês]])</f>
        <v>0.62944162436548223</v>
      </c>
      <c r="AK926" s="20">
        <f>100%</f>
        <v>1</v>
      </c>
    </row>
    <row r="927" spans="1:37" ht="18" customHeight="1" x14ac:dyDescent="0.25">
      <c r="A927">
        <v>1211284989</v>
      </c>
      <c r="B927" t="s">
        <v>1616</v>
      </c>
      <c r="C927" t="s">
        <v>1617</v>
      </c>
      <c r="D927" t="s">
        <v>37</v>
      </c>
      <c r="E927" t="s">
        <v>31</v>
      </c>
      <c r="F927" s="2">
        <v>45909.850468229168</v>
      </c>
      <c r="AC927" s="24">
        <f t="shared" ca="1" si="29"/>
        <v>224.14953177083225</v>
      </c>
      <c r="AD927" s="25" t="str">
        <f t="shared" ca="1" si="30"/>
        <v>&gt;60 dias</v>
      </c>
      <c r="AE927" s="25">
        <f>MONTH(Tabela1[[#This Row],[Criado em]])</f>
        <v>9</v>
      </c>
      <c r="AF927" s="25">
        <f>YEAR(Tabela1[[#This Row],[Criado em]])</f>
        <v>2025</v>
      </c>
      <c r="AG927" s="25">
        <f>COUNTIFS(Tabela1[Mês],Tabela1[[#This Row],[Mês]])</f>
        <v>197</v>
      </c>
      <c r="AH927" s="25">
        <f>COUNTIFS(Tabela1[Mês],Tabela1[[#This Row],[Mês]],Tabela1[Fase atual],"Recebido")</f>
        <v>152</v>
      </c>
      <c r="AI927" s="26">
        <f>Tabela1[[#This Row],[Recebido_ Mes]]/Tabela1[[#This Row],[Total_Mes]]</f>
        <v>0.77157360406091369</v>
      </c>
      <c r="AJ927" s="19">
        <f>COUNTIFS(Tabela1[Fase atual],"Recebido",Tabela1[Mês],Tabela1[[#This Row],[Mês]],Tabela1[Ano],Tabela1[[#This Row],[Ano]])/COUNTIF(Tabela1[Mês],Tabela1[[#This Row],[Mês]])</f>
        <v>0.77157360406091369</v>
      </c>
      <c r="AK927" s="20">
        <f>100%</f>
        <v>1</v>
      </c>
    </row>
    <row r="928" spans="1:37" ht="18" customHeight="1" x14ac:dyDescent="0.25">
      <c r="A928">
        <v>1194446146</v>
      </c>
      <c r="B928" t="s">
        <v>1616</v>
      </c>
      <c r="C928" t="s">
        <v>1617</v>
      </c>
      <c r="D928" t="s">
        <v>37</v>
      </c>
      <c r="E928" t="s">
        <v>31</v>
      </c>
      <c r="F928" s="2">
        <v>45882.641918194451</v>
      </c>
      <c r="AC928" s="24">
        <f t="shared" ca="1" si="29"/>
        <v>251.35808180554886</v>
      </c>
      <c r="AD928" s="25" t="str">
        <f t="shared" ca="1" si="30"/>
        <v>&gt;60 dias</v>
      </c>
      <c r="AE928" s="25">
        <f>MONTH(Tabela1[[#This Row],[Criado em]])</f>
        <v>8</v>
      </c>
      <c r="AF928" s="25">
        <f>YEAR(Tabela1[[#This Row],[Criado em]])</f>
        <v>2025</v>
      </c>
      <c r="AG928" s="25">
        <f>COUNTIFS(Tabela1[Mês],Tabela1[[#This Row],[Mês]])</f>
        <v>146</v>
      </c>
      <c r="AH928" s="25">
        <f>COUNTIFS(Tabela1[Mês],Tabela1[[#This Row],[Mês]],Tabela1[Fase atual],"Recebido")</f>
        <v>115</v>
      </c>
      <c r="AI928" s="26">
        <f>Tabela1[[#This Row],[Recebido_ Mes]]/Tabela1[[#This Row],[Total_Mes]]</f>
        <v>0.78767123287671237</v>
      </c>
      <c r="AJ928" s="19">
        <f>COUNTIFS(Tabela1[Fase atual],"Recebido",Tabela1[Mês],Tabela1[[#This Row],[Mês]],Tabela1[Ano],Tabela1[[#This Row],[Ano]])/COUNTIF(Tabela1[Mês],Tabela1[[#This Row],[Mês]])</f>
        <v>0.78767123287671237</v>
      </c>
      <c r="AK928" s="20">
        <f>100%</f>
        <v>1</v>
      </c>
    </row>
    <row r="929" spans="1:37" ht="18" customHeight="1" x14ac:dyDescent="0.25">
      <c r="A929">
        <v>1265514130</v>
      </c>
      <c r="B929" t="s">
        <v>1618</v>
      </c>
      <c r="C929" t="s">
        <v>1619</v>
      </c>
      <c r="D929" t="s">
        <v>37</v>
      </c>
      <c r="E929" t="s">
        <v>31</v>
      </c>
      <c r="F929" s="2">
        <v>45999.797788263888</v>
      </c>
      <c r="AC929" s="24">
        <f t="shared" ca="1" si="29"/>
        <v>134.20221173611208</v>
      </c>
      <c r="AD929" s="25" t="str">
        <f t="shared" ca="1" si="30"/>
        <v>&gt;60 dias</v>
      </c>
      <c r="AE929" s="25">
        <f>MONTH(Tabela1[[#This Row],[Criado em]])</f>
        <v>12</v>
      </c>
      <c r="AF929" s="25">
        <f>YEAR(Tabela1[[#This Row],[Criado em]])</f>
        <v>2025</v>
      </c>
      <c r="AG929" s="25">
        <f>COUNTIFS(Tabela1[Mês],Tabela1[[#This Row],[Mês]])</f>
        <v>207</v>
      </c>
      <c r="AH929" s="25">
        <f>COUNTIFS(Tabela1[Mês],Tabela1[[#This Row],[Mês]],Tabela1[Fase atual],"Recebido")</f>
        <v>155</v>
      </c>
      <c r="AI929" s="26">
        <f>Tabela1[[#This Row],[Recebido_ Mes]]/Tabela1[[#This Row],[Total_Mes]]</f>
        <v>0.74879227053140096</v>
      </c>
      <c r="AJ929" s="19">
        <f>COUNTIFS(Tabela1[Fase atual],"Recebido",Tabela1[Mês],Tabela1[[#This Row],[Mês]],Tabela1[Ano],Tabela1[[#This Row],[Ano]])/COUNTIF(Tabela1[Mês],Tabela1[[#This Row],[Mês]])</f>
        <v>0.74879227053140096</v>
      </c>
      <c r="AK929" s="20">
        <f>100%</f>
        <v>1</v>
      </c>
    </row>
    <row r="930" spans="1:37" ht="18" customHeight="1" x14ac:dyDescent="0.25">
      <c r="A930">
        <v>1267758056</v>
      </c>
      <c r="B930" t="s">
        <v>1620</v>
      </c>
      <c r="C930" t="s">
        <v>1621</v>
      </c>
      <c r="D930" t="s">
        <v>40</v>
      </c>
      <c r="E930" t="s">
        <v>31</v>
      </c>
      <c r="F930" s="2">
        <v>46003.832677245373</v>
      </c>
      <c r="AC930" s="24">
        <f t="shared" ca="1" si="29"/>
        <v>130.16732275462709</v>
      </c>
      <c r="AD930" s="25" t="str">
        <f t="shared" ca="1" si="30"/>
        <v>&gt;60 dias</v>
      </c>
      <c r="AE930" s="25">
        <f>MONTH(Tabela1[[#This Row],[Criado em]])</f>
        <v>12</v>
      </c>
      <c r="AF930" s="25">
        <f>YEAR(Tabela1[[#This Row],[Criado em]])</f>
        <v>2025</v>
      </c>
      <c r="AG930" s="25">
        <f>COUNTIFS(Tabela1[Mês],Tabela1[[#This Row],[Mês]])</f>
        <v>207</v>
      </c>
      <c r="AH930" s="25">
        <f>COUNTIFS(Tabela1[Mês],Tabela1[[#This Row],[Mês]],Tabela1[Fase atual],"Recebido")</f>
        <v>155</v>
      </c>
      <c r="AI930" s="26">
        <f>Tabela1[[#This Row],[Recebido_ Mes]]/Tabela1[[#This Row],[Total_Mes]]</f>
        <v>0.74879227053140096</v>
      </c>
      <c r="AJ930" s="19">
        <f>COUNTIFS(Tabela1[Fase atual],"Recebido",Tabela1[Mês],Tabela1[[#This Row],[Mês]],Tabela1[Ano],Tabela1[[#This Row],[Ano]])/COUNTIF(Tabela1[Mês],Tabela1[[#This Row],[Mês]])</f>
        <v>0.74879227053140096</v>
      </c>
      <c r="AK930" s="20">
        <f>100%</f>
        <v>1</v>
      </c>
    </row>
    <row r="931" spans="1:37" ht="18" customHeight="1" x14ac:dyDescent="0.25">
      <c r="A931">
        <v>1171784363</v>
      </c>
      <c r="B931" t="s">
        <v>1481</v>
      </c>
      <c r="C931" t="s">
        <v>1622</v>
      </c>
      <c r="D931" t="s">
        <v>37</v>
      </c>
      <c r="E931" t="s">
        <v>31</v>
      </c>
      <c r="F931" s="2">
        <v>45842.643561354169</v>
      </c>
      <c r="AC931" s="24">
        <f t="shared" ca="1" si="29"/>
        <v>291.35643864583108</v>
      </c>
      <c r="AD931" s="25" t="str">
        <f t="shared" ca="1" si="30"/>
        <v>&gt;60 dias</v>
      </c>
      <c r="AE931" s="25">
        <f>MONTH(Tabela1[[#This Row],[Criado em]])</f>
        <v>7</v>
      </c>
      <c r="AF931" s="25">
        <f>YEAR(Tabela1[[#This Row],[Criado em]])</f>
        <v>2025</v>
      </c>
      <c r="AG931" s="25">
        <f>COUNTIFS(Tabela1[Mês],Tabela1[[#This Row],[Mês]])</f>
        <v>177</v>
      </c>
      <c r="AH931" s="25">
        <f>COUNTIFS(Tabela1[Mês],Tabela1[[#This Row],[Mês]],Tabela1[Fase atual],"Recebido")</f>
        <v>130</v>
      </c>
      <c r="AI931" s="26">
        <f>Tabela1[[#This Row],[Recebido_ Mes]]/Tabela1[[#This Row],[Total_Mes]]</f>
        <v>0.7344632768361582</v>
      </c>
      <c r="AJ931" s="19">
        <f>COUNTIFS(Tabela1[Fase atual],"Recebido",Tabela1[Mês],Tabela1[[#This Row],[Mês]],Tabela1[Ano],Tabela1[[#This Row],[Ano]])/COUNTIF(Tabela1[Mês],Tabela1[[#This Row],[Mês]])</f>
        <v>0.7344632768361582</v>
      </c>
      <c r="AK931" s="20">
        <f>100%</f>
        <v>1</v>
      </c>
    </row>
    <row r="932" spans="1:37" ht="18" customHeight="1" x14ac:dyDescent="0.25">
      <c r="A932">
        <v>1294277809</v>
      </c>
      <c r="B932" t="s">
        <v>401</v>
      </c>
      <c r="C932" t="s">
        <v>402</v>
      </c>
      <c r="D932" t="s">
        <v>40</v>
      </c>
      <c r="E932" t="s">
        <v>31</v>
      </c>
      <c r="F932" s="2">
        <v>46059.565890740741</v>
      </c>
      <c r="AC932" s="24">
        <f t="shared" ca="1" si="29"/>
        <v>74.434109259258548</v>
      </c>
      <c r="AD932" s="25" t="str">
        <f t="shared" ca="1" si="30"/>
        <v>&gt;60 dias</v>
      </c>
      <c r="AE932" s="25">
        <f>MONTH(Tabela1[[#This Row],[Criado em]])</f>
        <v>2</v>
      </c>
      <c r="AF932" s="25">
        <f>YEAR(Tabela1[[#This Row],[Criado em]])</f>
        <v>2026</v>
      </c>
      <c r="AG932" s="25">
        <f>COUNTIFS(Tabela1[Mês],Tabela1[[#This Row],[Mês]])</f>
        <v>197</v>
      </c>
      <c r="AH932" s="25">
        <f>COUNTIFS(Tabela1[Mês],Tabela1[[#This Row],[Mês]],Tabela1[Fase atual],"Recebido")</f>
        <v>124</v>
      </c>
      <c r="AI932" s="26">
        <f>Tabela1[[#This Row],[Recebido_ Mes]]/Tabela1[[#This Row],[Total_Mes]]</f>
        <v>0.62944162436548223</v>
      </c>
      <c r="AJ932" s="19">
        <f>COUNTIFS(Tabela1[Fase atual],"Recebido",Tabela1[Mês],Tabela1[[#This Row],[Mês]],Tabela1[Ano],Tabela1[[#This Row],[Ano]])/COUNTIF(Tabela1[Mês],Tabela1[[#This Row],[Mês]])</f>
        <v>0.62944162436548223</v>
      </c>
      <c r="AK932" s="20">
        <f>100%</f>
        <v>1</v>
      </c>
    </row>
    <row r="933" spans="1:37" ht="18" customHeight="1" x14ac:dyDescent="0.25">
      <c r="A933">
        <v>1251842101</v>
      </c>
      <c r="C933" t="s">
        <v>402</v>
      </c>
      <c r="D933" t="s">
        <v>37</v>
      </c>
      <c r="E933" t="s">
        <v>31</v>
      </c>
      <c r="F933" s="2">
        <v>45968.892244652772</v>
      </c>
      <c r="AC933" s="24">
        <f t="shared" ca="1" si="29"/>
        <v>165.10775534722779</v>
      </c>
      <c r="AD933" s="25" t="str">
        <f t="shared" ca="1" si="30"/>
        <v>&gt;60 dias</v>
      </c>
      <c r="AE933" s="25">
        <f>MONTH(Tabela1[[#This Row],[Criado em]])</f>
        <v>11</v>
      </c>
      <c r="AF933" s="25">
        <f>YEAR(Tabela1[[#This Row],[Criado em]])</f>
        <v>2025</v>
      </c>
      <c r="AG933" s="25">
        <f>COUNTIFS(Tabela1[Mês],Tabela1[[#This Row],[Mês]])</f>
        <v>130</v>
      </c>
      <c r="AH933" s="25">
        <f>COUNTIFS(Tabela1[Mês],Tabela1[[#This Row],[Mês]],Tabela1[Fase atual],"Recebido")</f>
        <v>100</v>
      </c>
      <c r="AI933" s="26">
        <f>Tabela1[[#This Row],[Recebido_ Mes]]/Tabela1[[#This Row],[Total_Mes]]</f>
        <v>0.76923076923076927</v>
      </c>
      <c r="AJ933" s="19">
        <f>COUNTIFS(Tabela1[Fase atual],"Recebido",Tabela1[Mês],Tabela1[[#This Row],[Mês]],Tabela1[Ano],Tabela1[[#This Row],[Ano]])/COUNTIF(Tabela1[Mês],Tabela1[[#This Row],[Mês]])</f>
        <v>0.76923076923076927</v>
      </c>
      <c r="AK933" s="20">
        <f>100%</f>
        <v>1</v>
      </c>
    </row>
    <row r="934" spans="1:37" ht="18" customHeight="1" x14ac:dyDescent="0.25">
      <c r="A934">
        <v>1256130004</v>
      </c>
      <c r="B934" t="s">
        <v>401</v>
      </c>
      <c r="C934" t="s">
        <v>1623</v>
      </c>
      <c r="D934" t="s">
        <v>37</v>
      </c>
      <c r="E934" t="s">
        <v>31</v>
      </c>
      <c r="F934" s="2">
        <v>45979.506762870369</v>
      </c>
      <c r="AC934" s="24">
        <f t="shared" ca="1" si="29"/>
        <v>154.49323712963087</v>
      </c>
      <c r="AD934" s="25" t="str">
        <f t="shared" ca="1" si="30"/>
        <v>&gt;60 dias</v>
      </c>
      <c r="AE934" s="25">
        <f>MONTH(Tabela1[[#This Row],[Criado em]])</f>
        <v>11</v>
      </c>
      <c r="AF934" s="25">
        <f>YEAR(Tabela1[[#This Row],[Criado em]])</f>
        <v>2025</v>
      </c>
      <c r="AG934" s="25">
        <f>COUNTIFS(Tabela1[Mês],Tabela1[[#This Row],[Mês]])</f>
        <v>130</v>
      </c>
      <c r="AH934" s="25">
        <f>COUNTIFS(Tabela1[Mês],Tabela1[[#This Row],[Mês]],Tabela1[Fase atual],"Recebido")</f>
        <v>100</v>
      </c>
      <c r="AI934" s="26">
        <f>Tabela1[[#This Row],[Recebido_ Mes]]/Tabela1[[#This Row],[Total_Mes]]</f>
        <v>0.76923076923076927</v>
      </c>
      <c r="AJ934" s="19">
        <f>COUNTIFS(Tabela1[Fase atual],"Recebido",Tabela1[Mês],Tabela1[[#This Row],[Mês]],Tabela1[Ano],Tabela1[[#This Row],[Ano]])/COUNTIF(Tabela1[Mês],Tabela1[[#This Row],[Mês]])</f>
        <v>0.76923076923076927</v>
      </c>
      <c r="AK934" s="20">
        <f>100%</f>
        <v>1</v>
      </c>
    </row>
    <row r="935" spans="1:37" ht="18" customHeight="1" x14ac:dyDescent="0.25">
      <c r="A935">
        <v>1296637631</v>
      </c>
      <c r="B935" t="s">
        <v>403</v>
      </c>
      <c r="C935" t="s">
        <v>404</v>
      </c>
      <c r="D935" t="s">
        <v>37</v>
      </c>
      <c r="E935" t="s">
        <v>31</v>
      </c>
      <c r="F935" s="2">
        <v>46064.921593946747</v>
      </c>
      <c r="AC935" s="24">
        <f t="shared" ca="1" si="29"/>
        <v>69.078406053253275</v>
      </c>
      <c r="AD935" s="25" t="str">
        <f t="shared" ca="1" si="30"/>
        <v>&gt;60 dias</v>
      </c>
      <c r="AE935" s="25">
        <f>MONTH(Tabela1[[#This Row],[Criado em]])</f>
        <v>2</v>
      </c>
      <c r="AF935" s="25">
        <f>YEAR(Tabela1[[#This Row],[Criado em]])</f>
        <v>2026</v>
      </c>
      <c r="AG935" s="25">
        <f>COUNTIFS(Tabela1[Mês],Tabela1[[#This Row],[Mês]])</f>
        <v>197</v>
      </c>
      <c r="AH935" s="25">
        <f>COUNTIFS(Tabela1[Mês],Tabela1[[#This Row],[Mês]],Tabela1[Fase atual],"Recebido")</f>
        <v>124</v>
      </c>
      <c r="AI935" s="26">
        <f>Tabela1[[#This Row],[Recebido_ Mes]]/Tabela1[[#This Row],[Total_Mes]]</f>
        <v>0.62944162436548223</v>
      </c>
      <c r="AJ935" s="19">
        <f>COUNTIFS(Tabela1[Fase atual],"Recebido",Tabela1[Mês],Tabela1[[#This Row],[Mês]],Tabela1[Ano],Tabela1[[#This Row],[Ano]])/COUNTIF(Tabela1[Mês],Tabela1[[#This Row],[Mês]])</f>
        <v>0.62944162436548223</v>
      </c>
      <c r="AK935" s="20">
        <f>100%</f>
        <v>1</v>
      </c>
    </row>
    <row r="936" spans="1:37" ht="18" customHeight="1" x14ac:dyDescent="0.25">
      <c r="A936">
        <v>1299779053</v>
      </c>
      <c r="B936" t="s">
        <v>403</v>
      </c>
      <c r="C936" t="s">
        <v>405</v>
      </c>
      <c r="D936" t="s">
        <v>37</v>
      </c>
      <c r="E936" t="s">
        <v>31</v>
      </c>
      <c r="F936" s="2">
        <v>46072.797545474532</v>
      </c>
      <c r="AC936" s="24">
        <f t="shared" ca="1" si="29"/>
        <v>61.202454525468056</v>
      </c>
      <c r="AD936" s="25" t="str">
        <f t="shared" ca="1" si="30"/>
        <v>&gt;60 dias</v>
      </c>
      <c r="AE936" s="25">
        <f>MONTH(Tabela1[[#This Row],[Criado em]])</f>
        <v>2</v>
      </c>
      <c r="AF936" s="25">
        <f>YEAR(Tabela1[[#This Row],[Criado em]])</f>
        <v>2026</v>
      </c>
      <c r="AG936" s="25">
        <f>COUNTIFS(Tabela1[Mês],Tabela1[[#This Row],[Mês]])</f>
        <v>197</v>
      </c>
      <c r="AH936" s="25">
        <f>COUNTIFS(Tabela1[Mês],Tabela1[[#This Row],[Mês]],Tabela1[Fase atual],"Recebido")</f>
        <v>124</v>
      </c>
      <c r="AI936" s="26">
        <f>Tabela1[[#This Row],[Recebido_ Mes]]/Tabela1[[#This Row],[Total_Mes]]</f>
        <v>0.62944162436548223</v>
      </c>
      <c r="AJ936" s="19">
        <f>COUNTIFS(Tabela1[Fase atual],"Recebido",Tabela1[Mês],Tabela1[[#This Row],[Mês]],Tabela1[Ano],Tabela1[[#This Row],[Ano]])/COUNTIF(Tabela1[Mês],Tabela1[[#This Row],[Mês]])</f>
        <v>0.62944162436548223</v>
      </c>
      <c r="AK936" s="20">
        <f>100%</f>
        <v>1</v>
      </c>
    </row>
    <row r="937" spans="1:37" ht="18" customHeight="1" x14ac:dyDescent="0.25">
      <c r="A937">
        <v>1173790666</v>
      </c>
      <c r="B937" t="s">
        <v>1624</v>
      </c>
      <c r="C937" t="s">
        <v>1625</v>
      </c>
      <c r="D937" t="s">
        <v>202</v>
      </c>
      <c r="E937" t="s">
        <v>31</v>
      </c>
      <c r="F937" s="2">
        <v>45847.850885324078</v>
      </c>
      <c r="AC937" s="24">
        <f t="shared" ca="1" si="29"/>
        <v>286.14911467592174</v>
      </c>
      <c r="AD937" s="25" t="str">
        <f t="shared" ca="1" si="30"/>
        <v>&gt;60 dias</v>
      </c>
      <c r="AE937" s="25">
        <f>MONTH(Tabela1[[#This Row],[Criado em]])</f>
        <v>7</v>
      </c>
      <c r="AF937" s="25">
        <f>YEAR(Tabela1[[#This Row],[Criado em]])</f>
        <v>2025</v>
      </c>
      <c r="AG937" s="25">
        <f>COUNTIFS(Tabela1[Mês],Tabela1[[#This Row],[Mês]])</f>
        <v>177</v>
      </c>
      <c r="AH937" s="25">
        <f>COUNTIFS(Tabela1[Mês],Tabela1[[#This Row],[Mês]],Tabela1[Fase atual],"Recebido")</f>
        <v>130</v>
      </c>
      <c r="AI937" s="26">
        <f>Tabela1[[#This Row],[Recebido_ Mes]]/Tabela1[[#This Row],[Total_Mes]]</f>
        <v>0.7344632768361582</v>
      </c>
      <c r="AJ937" s="19">
        <f>COUNTIFS(Tabela1[Fase atual],"Recebido",Tabela1[Mês],Tabela1[[#This Row],[Mês]],Tabela1[Ano],Tabela1[[#This Row],[Ano]])/COUNTIF(Tabela1[Mês],Tabela1[[#This Row],[Mês]])</f>
        <v>0.7344632768361582</v>
      </c>
      <c r="AK937" s="20">
        <f>100%</f>
        <v>1</v>
      </c>
    </row>
    <row r="938" spans="1:37" ht="18" customHeight="1" x14ac:dyDescent="0.25">
      <c r="A938">
        <v>1200644964</v>
      </c>
      <c r="B938" t="s">
        <v>1626</v>
      </c>
      <c r="C938" t="s">
        <v>1627</v>
      </c>
      <c r="D938" t="s">
        <v>37</v>
      </c>
      <c r="E938" t="s">
        <v>31</v>
      </c>
      <c r="F938" s="2">
        <v>45892.643316585643</v>
      </c>
      <c r="AC938" s="24">
        <f t="shared" ca="1" si="29"/>
        <v>241.35668341435667</v>
      </c>
      <c r="AD938" s="25" t="str">
        <f t="shared" ca="1" si="30"/>
        <v>&gt;60 dias</v>
      </c>
      <c r="AE938" s="25">
        <f>MONTH(Tabela1[[#This Row],[Criado em]])</f>
        <v>8</v>
      </c>
      <c r="AF938" s="25">
        <f>YEAR(Tabela1[[#This Row],[Criado em]])</f>
        <v>2025</v>
      </c>
      <c r="AG938" s="25">
        <f>COUNTIFS(Tabela1[Mês],Tabela1[[#This Row],[Mês]])</f>
        <v>146</v>
      </c>
      <c r="AH938" s="25">
        <f>COUNTIFS(Tabela1[Mês],Tabela1[[#This Row],[Mês]],Tabela1[Fase atual],"Recebido")</f>
        <v>115</v>
      </c>
      <c r="AI938" s="26">
        <f>Tabela1[[#This Row],[Recebido_ Mes]]/Tabela1[[#This Row],[Total_Mes]]</f>
        <v>0.78767123287671237</v>
      </c>
      <c r="AJ938" s="19">
        <f>COUNTIFS(Tabela1[Fase atual],"Recebido",Tabela1[Mês],Tabela1[[#This Row],[Mês]],Tabela1[Ano],Tabela1[[#This Row],[Ano]])/COUNTIF(Tabela1[Mês],Tabela1[[#This Row],[Mês]])</f>
        <v>0.78767123287671237</v>
      </c>
      <c r="AK938" s="20">
        <f>100%</f>
        <v>1</v>
      </c>
    </row>
    <row r="939" spans="1:37" ht="18" customHeight="1" x14ac:dyDescent="0.25">
      <c r="A939">
        <v>1245632839</v>
      </c>
      <c r="B939" t="s">
        <v>1628</v>
      </c>
      <c r="C939" t="s">
        <v>1629</v>
      </c>
      <c r="D939" t="s">
        <v>784</v>
      </c>
      <c r="E939" t="s">
        <v>31</v>
      </c>
      <c r="F939" s="2">
        <v>45957.795809363422</v>
      </c>
      <c r="AC939" s="24">
        <f t="shared" ca="1" si="29"/>
        <v>176.20419063657755</v>
      </c>
      <c r="AD939" s="25" t="str">
        <f t="shared" ca="1" si="30"/>
        <v>&gt;60 dias</v>
      </c>
      <c r="AE939" s="25">
        <f>MONTH(Tabela1[[#This Row],[Criado em]])</f>
        <v>10</v>
      </c>
      <c r="AF939" s="25">
        <f>YEAR(Tabela1[[#This Row],[Criado em]])</f>
        <v>2025</v>
      </c>
      <c r="AG939" s="25">
        <f>COUNTIFS(Tabela1[Mês],Tabela1[[#This Row],[Mês]])</f>
        <v>196</v>
      </c>
      <c r="AH939" s="25">
        <f>COUNTIFS(Tabela1[Mês],Tabela1[[#This Row],[Mês]],Tabela1[Fase atual],"Recebido")</f>
        <v>138</v>
      </c>
      <c r="AI939" s="26">
        <f>Tabela1[[#This Row],[Recebido_ Mes]]/Tabela1[[#This Row],[Total_Mes]]</f>
        <v>0.70408163265306123</v>
      </c>
      <c r="AJ939" s="19">
        <f>COUNTIFS(Tabela1[Fase atual],"Recebido",Tabela1[Mês],Tabela1[[#This Row],[Mês]],Tabela1[Ano],Tabela1[[#This Row],[Ano]])/COUNTIF(Tabela1[Mês],Tabela1[[#This Row],[Mês]])</f>
        <v>0.70408163265306123</v>
      </c>
      <c r="AK939" s="20">
        <f>100%</f>
        <v>1</v>
      </c>
    </row>
    <row r="940" spans="1:37" ht="18" customHeight="1" x14ac:dyDescent="0.25">
      <c r="A940">
        <v>1248815705</v>
      </c>
      <c r="B940" t="s">
        <v>1628</v>
      </c>
      <c r="C940" t="s">
        <v>1630</v>
      </c>
      <c r="D940" t="s">
        <v>37</v>
      </c>
      <c r="E940" t="s">
        <v>31</v>
      </c>
      <c r="F940" s="2">
        <v>45964.545159259258</v>
      </c>
      <c r="AC940" s="24">
        <f t="shared" ca="1" si="29"/>
        <v>169.45484074074193</v>
      </c>
      <c r="AD940" s="25" t="str">
        <f t="shared" ca="1" si="30"/>
        <v>&gt;60 dias</v>
      </c>
      <c r="AE940" s="25">
        <f>MONTH(Tabela1[[#This Row],[Criado em]])</f>
        <v>11</v>
      </c>
      <c r="AF940" s="25">
        <f>YEAR(Tabela1[[#This Row],[Criado em]])</f>
        <v>2025</v>
      </c>
      <c r="AG940" s="25">
        <f>COUNTIFS(Tabela1[Mês],Tabela1[[#This Row],[Mês]])</f>
        <v>130</v>
      </c>
      <c r="AH940" s="25">
        <f>COUNTIFS(Tabela1[Mês],Tabela1[[#This Row],[Mês]],Tabela1[Fase atual],"Recebido")</f>
        <v>100</v>
      </c>
      <c r="AI940" s="26">
        <f>Tabela1[[#This Row],[Recebido_ Mes]]/Tabela1[[#This Row],[Total_Mes]]</f>
        <v>0.76923076923076927</v>
      </c>
      <c r="AJ940" s="19">
        <f>COUNTIFS(Tabela1[Fase atual],"Recebido",Tabela1[Mês],Tabela1[[#This Row],[Mês]],Tabela1[Ano],Tabela1[[#This Row],[Ano]])/COUNTIF(Tabela1[Mês],Tabela1[[#This Row],[Mês]])</f>
        <v>0.76923076923076927</v>
      </c>
      <c r="AK940" s="20">
        <f>100%</f>
        <v>1</v>
      </c>
    </row>
    <row r="941" spans="1:37" ht="18" customHeight="1" x14ac:dyDescent="0.25">
      <c r="A941">
        <v>1185030411</v>
      </c>
      <c r="C941" t="s">
        <v>1631</v>
      </c>
      <c r="D941" t="s">
        <v>37</v>
      </c>
      <c r="E941" t="s">
        <v>31</v>
      </c>
      <c r="F941" s="2">
        <v>45867.535602013893</v>
      </c>
      <c r="AC941" s="24">
        <f t="shared" ca="1" si="29"/>
        <v>266.46439798610663</v>
      </c>
      <c r="AD941" s="25" t="str">
        <f t="shared" ca="1" si="30"/>
        <v>&gt;60 dias</v>
      </c>
      <c r="AE941" s="25">
        <f>MONTH(Tabela1[[#This Row],[Criado em]])</f>
        <v>7</v>
      </c>
      <c r="AF941" s="25">
        <f>YEAR(Tabela1[[#This Row],[Criado em]])</f>
        <v>2025</v>
      </c>
      <c r="AG941" s="25">
        <f>COUNTIFS(Tabela1[Mês],Tabela1[[#This Row],[Mês]])</f>
        <v>177</v>
      </c>
      <c r="AH941" s="25">
        <f>COUNTIFS(Tabela1[Mês],Tabela1[[#This Row],[Mês]],Tabela1[Fase atual],"Recebido")</f>
        <v>130</v>
      </c>
      <c r="AI941" s="26">
        <f>Tabela1[[#This Row],[Recebido_ Mes]]/Tabela1[[#This Row],[Total_Mes]]</f>
        <v>0.7344632768361582</v>
      </c>
      <c r="AJ941" s="19">
        <f>COUNTIFS(Tabela1[Fase atual],"Recebido",Tabela1[Mês],Tabela1[[#This Row],[Mês]],Tabela1[Ano],Tabela1[[#This Row],[Ano]])/COUNTIF(Tabela1[Mês],Tabela1[[#This Row],[Mês]])</f>
        <v>0.7344632768361582</v>
      </c>
      <c r="AK941" s="20">
        <f>100%</f>
        <v>1</v>
      </c>
    </row>
    <row r="942" spans="1:37" ht="18" customHeight="1" x14ac:dyDescent="0.25">
      <c r="A942">
        <v>1266785501</v>
      </c>
      <c r="B942" t="s">
        <v>1632</v>
      </c>
      <c r="C942" t="s">
        <v>1633</v>
      </c>
      <c r="D942" t="s">
        <v>37</v>
      </c>
      <c r="E942" t="s">
        <v>31</v>
      </c>
      <c r="F942" s="2">
        <v>46001.923060555549</v>
      </c>
      <c r="AC942" s="24">
        <f t="shared" ca="1" si="29"/>
        <v>132.07693944445055</v>
      </c>
      <c r="AD942" s="25" t="str">
        <f t="shared" ca="1" si="30"/>
        <v>&gt;60 dias</v>
      </c>
      <c r="AE942" s="25">
        <f>MONTH(Tabela1[[#This Row],[Criado em]])</f>
        <v>12</v>
      </c>
      <c r="AF942" s="25">
        <f>YEAR(Tabela1[[#This Row],[Criado em]])</f>
        <v>2025</v>
      </c>
      <c r="AG942" s="25">
        <f>COUNTIFS(Tabela1[Mês],Tabela1[[#This Row],[Mês]])</f>
        <v>207</v>
      </c>
      <c r="AH942" s="25">
        <f>COUNTIFS(Tabela1[Mês],Tabela1[[#This Row],[Mês]],Tabela1[Fase atual],"Recebido")</f>
        <v>155</v>
      </c>
      <c r="AI942" s="26">
        <f>Tabela1[[#This Row],[Recebido_ Mes]]/Tabela1[[#This Row],[Total_Mes]]</f>
        <v>0.74879227053140096</v>
      </c>
      <c r="AJ942" s="19">
        <f>COUNTIFS(Tabela1[Fase atual],"Recebido",Tabela1[Mês],Tabela1[[#This Row],[Mês]],Tabela1[Ano],Tabela1[[#This Row],[Ano]])/COUNTIF(Tabela1[Mês],Tabela1[[#This Row],[Mês]])</f>
        <v>0.74879227053140096</v>
      </c>
      <c r="AK942" s="20">
        <f>100%</f>
        <v>1</v>
      </c>
    </row>
    <row r="943" spans="1:37" ht="18" customHeight="1" x14ac:dyDescent="0.25">
      <c r="A943">
        <v>1238505819</v>
      </c>
      <c r="B943" t="s">
        <v>1632</v>
      </c>
      <c r="C943" t="s">
        <v>1634</v>
      </c>
      <c r="D943" t="s">
        <v>784</v>
      </c>
      <c r="E943" t="s">
        <v>31</v>
      </c>
      <c r="F943" s="2">
        <v>45947.796318310182</v>
      </c>
      <c r="AC943" s="24">
        <f t="shared" ca="1" si="29"/>
        <v>186.20368168981804</v>
      </c>
      <c r="AD943" s="25" t="str">
        <f t="shared" ca="1" si="30"/>
        <v>&gt;60 dias</v>
      </c>
      <c r="AE943" s="25">
        <f>MONTH(Tabela1[[#This Row],[Criado em]])</f>
        <v>10</v>
      </c>
      <c r="AF943" s="25">
        <f>YEAR(Tabela1[[#This Row],[Criado em]])</f>
        <v>2025</v>
      </c>
      <c r="AG943" s="25">
        <f>COUNTIFS(Tabela1[Mês],Tabela1[[#This Row],[Mês]])</f>
        <v>196</v>
      </c>
      <c r="AH943" s="25">
        <f>COUNTIFS(Tabela1[Mês],Tabela1[[#This Row],[Mês]],Tabela1[Fase atual],"Recebido")</f>
        <v>138</v>
      </c>
      <c r="AI943" s="26">
        <f>Tabela1[[#This Row],[Recebido_ Mes]]/Tabela1[[#This Row],[Total_Mes]]</f>
        <v>0.70408163265306123</v>
      </c>
      <c r="AJ943" s="19">
        <f>COUNTIFS(Tabela1[Fase atual],"Recebido",Tabela1[Mês],Tabela1[[#This Row],[Mês]],Tabela1[Ano],Tabela1[[#This Row],[Ano]])/COUNTIF(Tabela1[Mês],Tabela1[[#This Row],[Mês]])</f>
        <v>0.70408163265306123</v>
      </c>
      <c r="AK943" s="20">
        <f>100%</f>
        <v>1</v>
      </c>
    </row>
    <row r="944" spans="1:37" ht="18" customHeight="1" x14ac:dyDescent="0.25">
      <c r="A944">
        <v>1190508299</v>
      </c>
      <c r="B944" t="s">
        <v>1635</v>
      </c>
      <c r="C944" t="s">
        <v>1636</v>
      </c>
      <c r="D944" t="s">
        <v>37</v>
      </c>
      <c r="E944" t="s">
        <v>31</v>
      </c>
      <c r="F944" s="2">
        <v>45876.851166493063</v>
      </c>
      <c r="AC944" s="24">
        <f t="shared" ca="1" si="29"/>
        <v>257.14883350693708</v>
      </c>
      <c r="AD944" s="25" t="str">
        <f t="shared" ca="1" si="30"/>
        <v>&gt;60 dias</v>
      </c>
      <c r="AE944" s="25">
        <f>MONTH(Tabela1[[#This Row],[Criado em]])</f>
        <v>8</v>
      </c>
      <c r="AF944" s="25">
        <f>YEAR(Tabela1[[#This Row],[Criado em]])</f>
        <v>2025</v>
      </c>
      <c r="AG944" s="25">
        <f>COUNTIFS(Tabela1[Mês],Tabela1[[#This Row],[Mês]])</f>
        <v>146</v>
      </c>
      <c r="AH944" s="25">
        <f>COUNTIFS(Tabela1[Mês],Tabela1[[#This Row],[Mês]],Tabela1[Fase atual],"Recebido")</f>
        <v>115</v>
      </c>
      <c r="AI944" s="26">
        <f>Tabela1[[#This Row],[Recebido_ Mes]]/Tabela1[[#This Row],[Total_Mes]]</f>
        <v>0.78767123287671237</v>
      </c>
      <c r="AJ944" s="19">
        <f>COUNTIFS(Tabela1[Fase atual],"Recebido",Tabela1[Mês],Tabela1[[#This Row],[Mês]],Tabela1[Ano],Tabela1[[#This Row],[Ano]])/COUNTIF(Tabela1[Mês],Tabela1[[#This Row],[Mês]])</f>
        <v>0.78767123287671237</v>
      </c>
      <c r="AK944" s="20">
        <f>100%</f>
        <v>1</v>
      </c>
    </row>
    <row r="945" spans="1:37" ht="18" customHeight="1" x14ac:dyDescent="0.25">
      <c r="A945">
        <v>1226088784</v>
      </c>
      <c r="B945" t="s">
        <v>922</v>
      </c>
      <c r="C945" t="s">
        <v>1637</v>
      </c>
      <c r="D945" t="s">
        <v>37</v>
      </c>
      <c r="E945" t="s">
        <v>31</v>
      </c>
      <c r="F945" s="2">
        <v>45932.734693009261</v>
      </c>
      <c r="AC945" s="24">
        <f t="shared" ca="1" si="29"/>
        <v>201.26530699073919</v>
      </c>
      <c r="AD945" s="25" t="str">
        <f t="shared" ca="1" si="30"/>
        <v>&gt;60 dias</v>
      </c>
      <c r="AE945" s="25">
        <f>MONTH(Tabela1[[#This Row],[Criado em]])</f>
        <v>10</v>
      </c>
      <c r="AF945" s="25">
        <f>YEAR(Tabela1[[#This Row],[Criado em]])</f>
        <v>2025</v>
      </c>
      <c r="AG945" s="25">
        <f>COUNTIFS(Tabela1[Mês],Tabela1[[#This Row],[Mês]])</f>
        <v>196</v>
      </c>
      <c r="AH945" s="25">
        <f>COUNTIFS(Tabela1[Mês],Tabela1[[#This Row],[Mês]],Tabela1[Fase atual],"Recebido")</f>
        <v>138</v>
      </c>
      <c r="AI945" s="26">
        <f>Tabela1[[#This Row],[Recebido_ Mes]]/Tabela1[[#This Row],[Total_Mes]]</f>
        <v>0.70408163265306123</v>
      </c>
      <c r="AJ945" s="19">
        <f>COUNTIFS(Tabela1[Fase atual],"Recebido",Tabela1[Mês],Tabela1[[#This Row],[Mês]],Tabela1[Ano],Tabela1[[#This Row],[Ano]])/COUNTIF(Tabela1[Mês],Tabela1[[#This Row],[Mês]])</f>
        <v>0.70408163265306123</v>
      </c>
      <c r="AK945" s="20">
        <f>100%</f>
        <v>1</v>
      </c>
    </row>
    <row r="946" spans="1:37" ht="18" customHeight="1" x14ac:dyDescent="0.25">
      <c r="A946">
        <v>1269465285</v>
      </c>
      <c r="B946" t="s">
        <v>1638</v>
      </c>
      <c r="C946" t="s">
        <v>1639</v>
      </c>
      <c r="D946" t="s">
        <v>40</v>
      </c>
      <c r="E946" t="s">
        <v>31</v>
      </c>
      <c r="F946" s="2">
        <v>46008.608258761567</v>
      </c>
      <c r="AC946" s="24">
        <f t="shared" ca="1" si="29"/>
        <v>125.39174123843259</v>
      </c>
      <c r="AD946" s="25" t="str">
        <f t="shared" ca="1" si="30"/>
        <v>&gt;60 dias</v>
      </c>
      <c r="AE946" s="25">
        <f>MONTH(Tabela1[[#This Row],[Criado em]])</f>
        <v>12</v>
      </c>
      <c r="AF946" s="25">
        <f>YEAR(Tabela1[[#This Row],[Criado em]])</f>
        <v>2025</v>
      </c>
      <c r="AG946" s="25">
        <f>COUNTIFS(Tabela1[Mês],Tabela1[[#This Row],[Mês]])</f>
        <v>207</v>
      </c>
      <c r="AH946" s="25">
        <f>COUNTIFS(Tabela1[Mês],Tabela1[[#This Row],[Mês]],Tabela1[Fase atual],"Recebido")</f>
        <v>155</v>
      </c>
      <c r="AI946" s="26">
        <f>Tabela1[[#This Row],[Recebido_ Mes]]/Tabela1[[#This Row],[Total_Mes]]</f>
        <v>0.74879227053140096</v>
      </c>
      <c r="AJ946" s="19">
        <f>COUNTIFS(Tabela1[Fase atual],"Recebido",Tabela1[Mês],Tabela1[[#This Row],[Mês]],Tabela1[Ano],Tabela1[[#This Row],[Ano]])/COUNTIF(Tabela1[Mês],Tabela1[[#This Row],[Mês]])</f>
        <v>0.74879227053140096</v>
      </c>
      <c r="AK946" s="20">
        <f>100%</f>
        <v>1</v>
      </c>
    </row>
    <row r="947" spans="1:37" ht="18" customHeight="1" x14ac:dyDescent="0.25">
      <c r="A947">
        <v>1204000332</v>
      </c>
      <c r="B947" t="s">
        <v>1640</v>
      </c>
      <c r="C947" t="s">
        <v>1641</v>
      </c>
      <c r="D947" t="s">
        <v>37</v>
      </c>
      <c r="E947" t="s">
        <v>31</v>
      </c>
      <c r="F947" s="2">
        <v>45897.850211539349</v>
      </c>
      <c r="AC947" s="24">
        <f t="shared" ca="1" si="29"/>
        <v>236.1497884606506</v>
      </c>
      <c r="AD947" s="25" t="str">
        <f t="shared" ca="1" si="30"/>
        <v>&gt;60 dias</v>
      </c>
      <c r="AE947" s="25">
        <f>MONTH(Tabela1[[#This Row],[Criado em]])</f>
        <v>8</v>
      </c>
      <c r="AF947" s="25">
        <f>YEAR(Tabela1[[#This Row],[Criado em]])</f>
        <v>2025</v>
      </c>
      <c r="AG947" s="25">
        <f>COUNTIFS(Tabela1[Mês],Tabela1[[#This Row],[Mês]])</f>
        <v>146</v>
      </c>
      <c r="AH947" s="25">
        <f>COUNTIFS(Tabela1[Mês],Tabela1[[#This Row],[Mês]],Tabela1[Fase atual],"Recebido")</f>
        <v>115</v>
      </c>
      <c r="AI947" s="26">
        <f>Tabela1[[#This Row],[Recebido_ Mes]]/Tabela1[[#This Row],[Total_Mes]]</f>
        <v>0.78767123287671237</v>
      </c>
      <c r="AJ947" s="19">
        <f>COUNTIFS(Tabela1[Fase atual],"Recebido",Tabela1[Mês],Tabela1[[#This Row],[Mês]],Tabela1[Ano],Tabela1[[#This Row],[Ano]])/COUNTIF(Tabela1[Mês],Tabela1[[#This Row],[Mês]])</f>
        <v>0.78767123287671237</v>
      </c>
      <c r="AK947" s="20">
        <f>100%</f>
        <v>1</v>
      </c>
    </row>
    <row r="948" spans="1:37" ht="18" customHeight="1" x14ac:dyDescent="0.25">
      <c r="A948">
        <v>1209597295</v>
      </c>
      <c r="B948" t="s">
        <v>77</v>
      </c>
      <c r="C948" t="s">
        <v>1642</v>
      </c>
      <c r="D948" t="s">
        <v>37</v>
      </c>
      <c r="E948" t="s">
        <v>31</v>
      </c>
      <c r="F948" s="2">
        <v>45906.6432203125</v>
      </c>
      <c r="AC948" s="24">
        <f t="shared" ca="1" si="29"/>
        <v>227.35677968749951</v>
      </c>
      <c r="AD948" s="25" t="str">
        <f t="shared" ca="1" si="30"/>
        <v>&gt;60 dias</v>
      </c>
      <c r="AE948" s="25">
        <f>MONTH(Tabela1[[#This Row],[Criado em]])</f>
        <v>9</v>
      </c>
      <c r="AF948" s="25">
        <f>YEAR(Tabela1[[#This Row],[Criado em]])</f>
        <v>2025</v>
      </c>
      <c r="AG948" s="25">
        <f>COUNTIFS(Tabela1[Mês],Tabela1[[#This Row],[Mês]])</f>
        <v>197</v>
      </c>
      <c r="AH948" s="25">
        <f>COUNTIFS(Tabela1[Mês],Tabela1[[#This Row],[Mês]],Tabela1[Fase atual],"Recebido")</f>
        <v>152</v>
      </c>
      <c r="AI948" s="26">
        <f>Tabela1[[#This Row],[Recebido_ Mes]]/Tabela1[[#This Row],[Total_Mes]]</f>
        <v>0.77157360406091369</v>
      </c>
      <c r="AJ948" s="19">
        <f>COUNTIFS(Tabela1[Fase atual],"Recebido",Tabela1[Mês],Tabela1[[#This Row],[Mês]],Tabela1[Ano],Tabela1[[#This Row],[Ano]])/COUNTIF(Tabela1[Mês],Tabela1[[#This Row],[Mês]])</f>
        <v>0.77157360406091369</v>
      </c>
      <c r="AK948" s="20">
        <f>100%</f>
        <v>1</v>
      </c>
    </row>
    <row r="949" spans="1:37" ht="18" customHeight="1" x14ac:dyDescent="0.25">
      <c r="A949">
        <v>1229898350</v>
      </c>
      <c r="B949" t="s">
        <v>1643</v>
      </c>
      <c r="C949" t="s">
        <v>1644</v>
      </c>
      <c r="D949" t="s">
        <v>37</v>
      </c>
      <c r="E949" t="s">
        <v>31</v>
      </c>
      <c r="F949" s="2">
        <v>45937.851067847223</v>
      </c>
      <c r="AC949" s="24">
        <f t="shared" ca="1" si="29"/>
        <v>196.14893215277698</v>
      </c>
      <c r="AD949" s="25" t="str">
        <f t="shared" ca="1" si="30"/>
        <v>&gt;60 dias</v>
      </c>
      <c r="AE949" s="25">
        <f>MONTH(Tabela1[[#This Row],[Criado em]])</f>
        <v>10</v>
      </c>
      <c r="AF949" s="25">
        <f>YEAR(Tabela1[[#This Row],[Criado em]])</f>
        <v>2025</v>
      </c>
      <c r="AG949" s="25">
        <f>COUNTIFS(Tabela1[Mês],Tabela1[[#This Row],[Mês]])</f>
        <v>196</v>
      </c>
      <c r="AH949" s="25">
        <f>COUNTIFS(Tabela1[Mês],Tabela1[[#This Row],[Mês]],Tabela1[Fase atual],"Recebido")</f>
        <v>138</v>
      </c>
      <c r="AI949" s="26">
        <f>Tabela1[[#This Row],[Recebido_ Mes]]/Tabela1[[#This Row],[Total_Mes]]</f>
        <v>0.70408163265306123</v>
      </c>
      <c r="AJ949" s="19">
        <f>COUNTIFS(Tabela1[Fase atual],"Recebido",Tabela1[Mês],Tabela1[[#This Row],[Mês]],Tabela1[Ano],Tabela1[[#This Row],[Ano]])/COUNTIF(Tabela1[Mês],Tabela1[[#This Row],[Mês]])</f>
        <v>0.70408163265306123</v>
      </c>
      <c r="AK949" s="20">
        <f>100%</f>
        <v>1</v>
      </c>
    </row>
    <row r="950" spans="1:37" ht="18" customHeight="1" x14ac:dyDescent="0.25">
      <c r="A950">
        <v>1265302614</v>
      </c>
      <c r="B950" t="s">
        <v>1645</v>
      </c>
      <c r="C950" t="s">
        <v>1646</v>
      </c>
      <c r="D950" t="s">
        <v>37</v>
      </c>
      <c r="E950" t="s">
        <v>31</v>
      </c>
      <c r="F950" s="2">
        <v>45999.547346944441</v>
      </c>
      <c r="AC950" s="24">
        <f t="shared" ca="1" si="29"/>
        <v>134.45265305555949</v>
      </c>
      <c r="AD950" s="25" t="str">
        <f t="shared" ca="1" si="30"/>
        <v>&gt;60 dias</v>
      </c>
      <c r="AE950" s="25">
        <f>MONTH(Tabela1[[#This Row],[Criado em]])</f>
        <v>12</v>
      </c>
      <c r="AF950" s="25">
        <f>YEAR(Tabela1[[#This Row],[Criado em]])</f>
        <v>2025</v>
      </c>
      <c r="AG950" s="25">
        <f>COUNTIFS(Tabela1[Mês],Tabela1[[#This Row],[Mês]])</f>
        <v>207</v>
      </c>
      <c r="AH950" s="25">
        <f>COUNTIFS(Tabela1[Mês],Tabela1[[#This Row],[Mês]],Tabela1[Fase atual],"Recebido")</f>
        <v>155</v>
      </c>
      <c r="AI950" s="26">
        <f>Tabela1[[#This Row],[Recebido_ Mes]]/Tabela1[[#This Row],[Total_Mes]]</f>
        <v>0.74879227053140096</v>
      </c>
      <c r="AJ950" s="19">
        <f>COUNTIFS(Tabela1[Fase atual],"Recebido",Tabela1[Mês],Tabela1[[#This Row],[Mês]],Tabela1[Ano],Tabela1[[#This Row],[Ano]])/COUNTIF(Tabela1[Mês],Tabela1[[#This Row],[Mês]])</f>
        <v>0.74879227053140096</v>
      </c>
      <c r="AK950" s="20">
        <f>100%</f>
        <v>1</v>
      </c>
    </row>
    <row r="951" spans="1:37" ht="18" customHeight="1" x14ac:dyDescent="0.25">
      <c r="A951">
        <v>1261830904</v>
      </c>
      <c r="B951" t="s">
        <v>406</v>
      </c>
      <c r="C951" t="s">
        <v>1647</v>
      </c>
      <c r="D951" t="s">
        <v>37</v>
      </c>
      <c r="E951" t="s">
        <v>31</v>
      </c>
      <c r="F951" s="2">
        <v>45992.629843148148</v>
      </c>
      <c r="AC951" s="24">
        <f t="shared" ca="1" si="29"/>
        <v>141.37015685185179</v>
      </c>
      <c r="AD951" s="25" t="str">
        <f t="shared" ca="1" si="30"/>
        <v>&gt;60 dias</v>
      </c>
      <c r="AE951" s="25">
        <f>MONTH(Tabela1[[#This Row],[Criado em]])</f>
        <v>12</v>
      </c>
      <c r="AF951" s="25">
        <f>YEAR(Tabela1[[#This Row],[Criado em]])</f>
        <v>2025</v>
      </c>
      <c r="AG951" s="25">
        <f>COUNTIFS(Tabela1[Mês],Tabela1[[#This Row],[Mês]])</f>
        <v>207</v>
      </c>
      <c r="AH951" s="25">
        <f>COUNTIFS(Tabela1[Mês],Tabela1[[#This Row],[Mês]],Tabela1[Fase atual],"Recebido")</f>
        <v>155</v>
      </c>
      <c r="AI951" s="26">
        <f>Tabela1[[#This Row],[Recebido_ Mes]]/Tabela1[[#This Row],[Total_Mes]]</f>
        <v>0.74879227053140096</v>
      </c>
      <c r="AJ951" s="19">
        <f>COUNTIFS(Tabela1[Fase atual],"Recebido",Tabela1[Mês],Tabela1[[#This Row],[Mês]],Tabela1[Ano],Tabela1[[#This Row],[Ano]])/COUNTIF(Tabela1[Mês],Tabela1[[#This Row],[Mês]])</f>
        <v>0.74879227053140096</v>
      </c>
      <c r="AK951" s="20">
        <f>100%</f>
        <v>1</v>
      </c>
    </row>
    <row r="952" spans="1:37" ht="18" customHeight="1" x14ac:dyDescent="0.25">
      <c r="A952">
        <v>1270220229</v>
      </c>
      <c r="B952" t="s">
        <v>406</v>
      </c>
      <c r="C952" t="s">
        <v>1647</v>
      </c>
      <c r="D952" t="s">
        <v>37</v>
      </c>
      <c r="E952" t="s">
        <v>31</v>
      </c>
      <c r="F952" s="2">
        <v>46009.834489629633</v>
      </c>
      <c r="AC952" s="24">
        <f t="shared" ca="1" si="29"/>
        <v>124.16551037036697</v>
      </c>
      <c r="AD952" s="25" t="str">
        <f t="shared" ca="1" si="30"/>
        <v>&gt;60 dias</v>
      </c>
      <c r="AE952" s="25">
        <f>MONTH(Tabela1[[#This Row],[Criado em]])</f>
        <v>12</v>
      </c>
      <c r="AF952" s="25">
        <f>YEAR(Tabela1[[#This Row],[Criado em]])</f>
        <v>2025</v>
      </c>
      <c r="AG952" s="25">
        <f>COUNTIFS(Tabela1[Mês],Tabela1[[#This Row],[Mês]])</f>
        <v>207</v>
      </c>
      <c r="AH952" s="25">
        <f>COUNTIFS(Tabela1[Mês],Tabela1[[#This Row],[Mês]],Tabela1[Fase atual],"Recebido")</f>
        <v>155</v>
      </c>
      <c r="AI952" s="26">
        <f>Tabela1[[#This Row],[Recebido_ Mes]]/Tabela1[[#This Row],[Total_Mes]]</f>
        <v>0.74879227053140096</v>
      </c>
      <c r="AJ952" s="19">
        <f>COUNTIFS(Tabela1[Fase atual],"Recebido",Tabela1[Mês],Tabela1[[#This Row],[Mês]],Tabela1[Ano],Tabela1[[#This Row],[Ano]])/COUNTIF(Tabela1[Mês],Tabela1[[#This Row],[Mês]])</f>
        <v>0.74879227053140096</v>
      </c>
      <c r="AK952" s="20">
        <f>100%</f>
        <v>1</v>
      </c>
    </row>
    <row r="953" spans="1:37" ht="18" customHeight="1" x14ac:dyDescent="0.25">
      <c r="A953">
        <v>1286719800</v>
      </c>
      <c r="B953" t="s">
        <v>406</v>
      </c>
      <c r="C953" t="s">
        <v>407</v>
      </c>
      <c r="D953" t="s">
        <v>37</v>
      </c>
      <c r="E953" t="s">
        <v>31</v>
      </c>
      <c r="F953" s="2">
        <v>46045.794915381943</v>
      </c>
      <c r="AC953" s="24">
        <f t="shared" ca="1" si="29"/>
        <v>88.205084618057299</v>
      </c>
      <c r="AD953" s="25" t="str">
        <f t="shared" ca="1" si="30"/>
        <v>&gt;60 dias</v>
      </c>
      <c r="AE953" s="25">
        <f>MONTH(Tabela1[[#This Row],[Criado em]])</f>
        <v>1</v>
      </c>
      <c r="AF953" s="25">
        <f>YEAR(Tabela1[[#This Row],[Criado em]])</f>
        <v>2026</v>
      </c>
      <c r="AG953" s="25">
        <f>COUNTIFS(Tabela1[Mês],Tabela1[[#This Row],[Mês]])</f>
        <v>222</v>
      </c>
      <c r="AH953" s="25">
        <f>COUNTIFS(Tabela1[Mês],Tabela1[[#This Row],[Mês]],Tabela1[Fase atual],"Recebido")</f>
        <v>174</v>
      </c>
      <c r="AI953" s="26">
        <f>Tabela1[[#This Row],[Recebido_ Mes]]/Tabela1[[#This Row],[Total_Mes]]</f>
        <v>0.78378378378378377</v>
      </c>
      <c r="AJ953" s="19">
        <f>COUNTIFS(Tabela1[Fase atual],"Recebido",Tabela1[Mês],Tabela1[[#This Row],[Mês]],Tabela1[Ano],Tabela1[[#This Row],[Ano]])/COUNTIF(Tabela1[Mês],Tabela1[[#This Row],[Mês]])</f>
        <v>0.78378378378378377</v>
      </c>
      <c r="AK953" s="20">
        <f>100%</f>
        <v>1</v>
      </c>
    </row>
    <row r="954" spans="1:37" ht="18" customHeight="1" x14ac:dyDescent="0.25">
      <c r="A954">
        <v>1296072573</v>
      </c>
      <c r="B954" t="s">
        <v>408</v>
      </c>
      <c r="C954" t="s">
        <v>409</v>
      </c>
      <c r="D954" t="s">
        <v>34</v>
      </c>
      <c r="E954" t="s">
        <v>31</v>
      </c>
      <c r="F954" s="2">
        <v>46063.877393194452</v>
      </c>
      <c r="AC954" s="24">
        <f t="shared" ca="1" si="29"/>
        <v>70.122606805547548</v>
      </c>
      <c r="AD954" s="25" t="str">
        <f t="shared" ca="1" si="30"/>
        <v>&gt;60 dias</v>
      </c>
      <c r="AE954" s="25">
        <f>MONTH(Tabela1[[#This Row],[Criado em]])</f>
        <v>2</v>
      </c>
      <c r="AF954" s="25">
        <f>YEAR(Tabela1[[#This Row],[Criado em]])</f>
        <v>2026</v>
      </c>
      <c r="AG954" s="25">
        <f>COUNTIFS(Tabela1[Mês],Tabela1[[#This Row],[Mês]])</f>
        <v>197</v>
      </c>
      <c r="AH954" s="25">
        <f>COUNTIFS(Tabela1[Mês],Tabela1[[#This Row],[Mês]],Tabela1[Fase atual],"Recebido")</f>
        <v>124</v>
      </c>
      <c r="AI954" s="26">
        <f>Tabela1[[#This Row],[Recebido_ Mes]]/Tabela1[[#This Row],[Total_Mes]]</f>
        <v>0.62944162436548223</v>
      </c>
      <c r="AJ954" s="19">
        <f>COUNTIFS(Tabela1[Fase atual],"Recebido",Tabela1[Mês],Tabela1[[#This Row],[Mês]],Tabela1[Ano],Tabela1[[#This Row],[Ano]])/COUNTIF(Tabela1[Mês],Tabela1[[#This Row],[Mês]])</f>
        <v>0.62944162436548223</v>
      </c>
      <c r="AK954" s="20">
        <f>100%</f>
        <v>1</v>
      </c>
    </row>
    <row r="955" spans="1:37" ht="18" customHeight="1" x14ac:dyDescent="0.25">
      <c r="A955">
        <v>1307301845</v>
      </c>
      <c r="B955" t="s">
        <v>2247</v>
      </c>
      <c r="C955" t="s">
        <v>2248</v>
      </c>
      <c r="D955" t="s">
        <v>2179</v>
      </c>
      <c r="E955" t="s">
        <v>31</v>
      </c>
      <c r="F955" s="2">
        <v>46083.795201886584</v>
      </c>
      <c r="AC955" s="24">
        <f t="shared" ca="1" si="29"/>
        <v>50.204798113416473</v>
      </c>
      <c r="AD955" s="25" t="str">
        <f t="shared" ca="1" si="30"/>
        <v>31-60 dias</v>
      </c>
      <c r="AE955" s="25">
        <f>MONTH(Tabela1[[#This Row],[Criado em]])</f>
        <v>3</v>
      </c>
      <c r="AF955" s="25">
        <f>YEAR(Tabela1[[#This Row],[Criado em]])</f>
        <v>2026</v>
      </c>
      <c r="AG955" s="25">
        <f>COUNTIFS(Tabela1[Mês],Tabela1[[#This Row],[Mês]])</f>
        <v>62</v>
      </c>
      <c r="AH955" s="25">
        <f>COUNTIFS(Tabela1[Mês],Tabela1[[#This Row],[Mês]],Tabela1[Fase atual],"Recebido")</f>
        <v>13</v>
      </c>
      <c r="AI955" s="26">
        <f>Tabela1[[#This Row],[Recebido_ Mes]]/Tabela1[[#This Row],[Total_Mes]]</f>
        <v>0.20967741935483872</v>
      </c>
      <c r="AJ955" s="19">
        <f>COUNTIFS(Tabela1[Fase atual],"Recebido",Tabela1[Mês],Tabela1[[#This Row],[Mês]],Tabela1[Ano],Tabela1[[#This Row],[Ano]])/COUNTIF(Tabela1[Mês],Tabela1[[#This Row],[Mês]])</f>
        <v>0.20967741935483872</v>
      </c>
      <c r="AK955" s="20">
        <f>100%</f>
        <v>1</v>
      </c>
    </row>
    <row r="956" spans="1:37" ht="18" customHeight="1" x14ac:dyDescent="0.25">
      <c r="A956">
        <v>1272469792</v>
      </c>
      <c r="B956" t="s">
        <v>1648</v>
      </c>
      <c r="C956" t="s">
        <v>1649</v>
      </c>
      <c r="D956" t="s">
        <v>37</v>
      </c>
      <c r="E956" t="s">
        <v>31</v>
      </c>
      <c r="F956" s="2">
        <v>46015.545712199077</v>
      </c>
      <c r="AC956" s="24">
        <f t="shared" ca="1" si="29"/>
        <v>118.45428780092334</v>
      </c>
      <c r="AD956" s="25" t="str">
        <f t="shared" ca="1" si="30"/>
        <v>&gt;60 dias</v>
      </c>
      <c r="AE956" s="25">
        <f>MONTH(Tabela1[[#This Row],[Criado em]])</f>
        <v>12</v>
      </c>
      <c r="AF956" s="25">
        <f>YEAR(Tabela1[[#This Row],[Criado em]])</f>
        <v>2025</v>
      </c>
      <c r="AG956" s="25">
        <f>COUNTIFS(Tabela1[Mês],Tabela1[[#This Row],[Mês]])</f>
        <v>207</v>
      </c>
      <c r="AH956" s="25">
        <f>COUNTIFS(Tabela1[Mês],Tabela1[[#This Row],[Mês]],Tabela1[Fase atual],"Recebido")</f>
        <v>155</v>
      </c>
      <c r="AI956" s="26">
        <f>Tabela1[[#This Row],[Recebido_ Mes]]/Tabela1[[#This Row],[Total_Mes]]</f>
        <v>0.74879227053140096</v>
      </c>
      <c r="AJ956" s="19">
        <f>COUNTIFS(Tabela1[Fase atual],"Recebido",Tabela1[Mês],Tabela1[[#This Row],[Mês]],Tabela1[Ano],Tabela1[[#This Row],[Ano]])/COUNTIF(Tabela1[Mês],Tabela1[[#This Row],[Mês]])</f>
        <v>0.74879227053140096</v>
      </c>
      <c r="AK956" s="20">
        <f>100%</f>
        <v>1</v>
      </c>
    </row>
    <row r="957" spans="1:37" ht="18" customHeight="1" x14ac:dyDescent="0.25">
      <c r="A957">
        <v>1239651776</v>
      </c>
      <c r="B957" t="s">
        <v>1650</v>
      </c>
      <c r="C957" t="s">
        <v>1651</v>
      </c>
      <c r="D957" t="s">
        <v>37</v>
      </c>
      <c r="E957" t="s">
        <v>31</v>
      </c>
      <c r="F957" s="2">
        <v>45950.539617476847</v>
      </c>
      <c r="AC957" s="24">
        <f t="shared" ca="1" si="29"/>
        <v>183.46038252315338</v>
      </c>
      <c r="AD957" s="25" t="str">
        <f t="shared" ca="1" si="30"/>
        <v>&gt;60 dias</v>
      </c>
      <c r="AE957" s="25">
        <f>MONTH(Tabela1[[#This Row],[Criado em]])</f>
        <v>10</v>
      </c>
      <c r="AF957" s="25">
        <f>YEAR(Tabela1[[#This Row],[Criado em]])</f>
        <v>2025</v>
      </c>
      <c r="AG957" s="25">
        <f>COUNTIFS(Tabela1[Mês],Tabela1[[#This Row],[Mês]])</f>
        <v>196</v>
      </c>
      <c r="AH957" s="25">
        <f>COUNTIFS(Tabela1[Mês],Tabela1[[#This Row],[Mês]],Tabela1[Fase atual],"Recebido")</f>
        <v>138</v>
      </c>
      <c r="AI957" s="26">
        <f>Tabela1[[#This Row],[Recebido_ Mes]]/Tabela1[[#This Row],[Total_Mes]]</f>
        <v>0.70408163265306123</v>
      </c>
      <c r="AJ957" s="19">
        <f>COUNTIFS(Tabela1[Fase atual],"Recebido",Tabela1[Mês],Tabela1[[#This Row],[Mês]],Tabela1[Ano],Tabela1[[#This Row],[Ano]])/COUNTIF(Tabela1[Mês],Tabela1[[#This Row],[Mês]])</f>
        <v>0.70408163265306123</v>
      </c>
      <c r="AK957" s="20">
        <f>100%</f>
        <v>1</v>
      </c>
    </row>
    <row r="958" spans="1:37" ht="18" customHeight="1" x14ac:dyDescent="0.25">
      <c r="A958">
        <v>1181880108</v>
      </c>
      <c r="B958" t="s">
        <v>1650</v>
      </c>
      <c r="C958" t="s">
        <v>1651</v>
      </c>
      <c r="D958" t="s">
        <v>37</v>
      </c>
      <c r="E958" t="s">
        <v>31</v>
      </c>
      <c r="F958" s="2">
        <v>45861.642992326393</v>
      </c>
      <c r="AC958" s="24">
        <f t="shared" ca="1" si="29"/>
        <v>272.35700767360686</v>
      </c>
      <c r="AD958" s="25" t="str">
        <f t="shared" ca="1" si="30"/>
        <v>&gt;60 dias</v>
      </c>
      <c r="AE958" s="25">
        <f>MONTH(Tabela1[[#This Row],[Criado em]])</f>
        <v>7</v>
      </c>
      <c r="AF958" s="25">
        <f>YEAR(Tabela1[[#This Row],[Criado em]])</f>
        <v>2025</v>
      </c>
      <c r="AG958" s="25">
        <f>COUNTIFS(Tabela1[Mês],Tabela1[[#This Row],[Mês]])</f>
        <v>177</v>
      </c>
      <c r="AH958" s="25">
        <f>COUNTIFS(Tabela1[Mês],Tabela1[[#This Row],[Mês]],Tabela1[Fase atual],"Recebido")</f>
        <v>130</v>
      </c>
      <c r="AI958" s="26">
        <f>Tabela1[[#This Row],[Recebido_ Mes]]/Tabela1[[#This Row],[Total_Mes]]</f>
        <v>0.7344632768361582</v>
      </c>
      <c r="AJ958" s="19">
        <f>COUNTIFS(Tabela1[Fase atual],"Recebido",Tabela1[Mês],Tabela1[[#This Row],[Mês]],Tabela1[Ano],Tabela1[[#This Row],[Ano]])/COUNTIF(Tabela1[Mês],Tabela1[[#This Row],[Mês]])</f>
        <v>0.7344632768361582</v>
      </c>
      <c r="AK958" s="20">
        <f>100%</f>
        <v>1</v>
      </c>
    </row>
    <row r="959" spans="1:37" ht="18" customHeight="1" x14ac:dyDescent="0.25">
      <c r="A959">
        <v>1270229514</v>
      </c>
      <c r="B959" t="s">
        <v>1652</v>
      </c>
      <c r="C959" t="s">
        <v>1653</v>
      </c>
      <c r="D959" t="s">
        <v>37</v>
      </c>
      <c r="E959" t="s">
        <v>31</v>
      </c>
      <c r="F959" s="2">
        <v>46009.845930659721</v>
      </c>
      <c r="AC959" s="24">
        <f t="shared" ca="1" si="29"/>
        <v>124.15406934027851</v>
      </c>
      <c r="AD959" s="25" t="str">
        <f t="shared" ca="1" si="30"/>
        <v>&gt;60 dias</v>
      </c>
      <c r="AE959" s="25">
        <f>MONTH(Tabela1[[#This Row],[Criado em]])</f>
        <v>12</v>
      </c>
      <c r="AF959" s="25">
        <f>YEAR(Tabela1[[#This Row],[Criado em]])</f>
        <v>2025</v>
      </c>
      <c r="AG959" s="25">
        <f>COUNTIFS(Tabela1[Mês],Tabela1[[#This Row],[Mês]])</f>
        <v>207</v>
      </c>
      <c r="AH959" s="25">
        <f>COUNTIFS(Tabela1[Mês],Tabela1[[#This Row],[Mês]],Tabela1[Fase atual],"Recebido")</f>
        <v>155</v>
      </c>
      <c r="AI959" s="26">
        <f>Tabela1[[#This Row],[Recebido_ Mes]]/Tabela1[[#This Row],[Total_Mes]]</f>
        <v>0.74879227053140096</v>
      </c>
      <c r="AJ959" s="19">
        <f>COUNTIFS(Tabela1[Fase atual],"Recebido",Tabela1[Mês],Tabela1[[#This Row],[Mês]],Tabela1[Ano],Tabela1[[#This Row],[Ano]])/COUNTIF(Tabela1[Mês],Tabela1[[#This Row],[Mês]])</f>
        <v>0.74879227053140096</v>
      </c>
      <c r="AK959" s="20">
        <f>100%</f>
        <v>1</v>
      </c>
    </row>
    <row r="960" spans="1:37" ht="18" customHeight="1" x14ac:dyDescent="0.25">
      <c r="A960">
        <v>1270228997</v>
      </c>
      <c r="B960" t="s">
        <v>198</v>
      </c>
      <c r="C960" t="s">
        <v>1653</v>
      </c>
      <c r="D960" t="s">
        <v>40</v>
      </c>
      <c r="E960" t="s">
        <v>31</v>
      </c>
      <c r="F960" s="2">
        <v>46009.845254918982</v>
      </c>
      <c r="AC960" s="24">
        <f t="shared" ca="1" si="29"/>
        <v>124.15474508101761</v>
      </c>
      <c r="AD960" s="25" t="str">
        <f t="shared" ca="1" si="30"/>
        <v>&gt;60 dias</v>
      </c>
      <c r="AE960" s="25">
        <f>MONTH(Tabela1[[#This Row],[Criado em]])</f>
        <v>12</v>
      </c>
      <c r="AF960" s="25">
        <f>YEAR(Tabela1[[#This Row],[Criado em]])</f>
        <v>2025</v>
      </c>
      <c r="AG960" s="25">
        <f>COUNTIFS(Tabela1[Mês],Tabela1[[#This Row],[Mês]])</f>
        <v>207</v>
      </c>
      <c r="AH960" s="25">
        <f>COUNTIFS(Tabela1[Mês],Tabela1[[#This Row],[Mês]],Tabela1[Fase atual],"Recebido")</f>
        <v>155</v>
      </c>
      <c r="AI960" s="26">
        <f>Tabela1[[#This Row],[Recebido_ Mes]]/Tabela1[[#This Row],[Total_Mes]]</f>
        <v>0.74879227053140096</v>
      </c>
      <c r="AJ960" s="19">
        <f>COUNTIFS(Tabela1[Fase atual],"Recebido",Tabela1[Mês],Tabela1[[#This Row],[Mês]],Tabela1[Ano],Tabela1[[#This Row],[Ano]])/COUNTIF(Tabela1[Mês],Tabela1[[#This Row],[Mês]])</f>
        <v>0.74879227053140096</v>
      </c>
      <c r="AK960" s="20">
        <f>100%</f>
        <v>1</v>
      </c>
    </row>
    <row r="961" spans="1:37" ht="18" customHeight="1" x14ac:dyDescent="0.25">
      <c r="A961">
        <v>1249617679</v>
      </c>
      <c r="B961" t="s">
        <v>410</v>
      </c>
      <c r="C961" t="s">
        <v>411</v>
      </c>
      <c r="D961" t="s">
        <v>37</v>
      </c>
      <c r="E961" t="s">
        <v>31</v>
      </c>
      <c r="F961" s="2">
        <v>45965.679663923613</v>
      </c>
      <c r="AC961" s="24">
        <f t="shared" ca="1" si="29"/>
        <v>168.32033607638732</v>
      </c>
      <c r="AD961" s="25" t="str">
        <f t="shared" ca="1" si="30"/>
        <v>&gt;60 dias</v>
      </c>
      <c r="AE961" s="25">
        <f>MONTH(Tabela1[[#This Row],[Criado em]])</f>
        <v>11</v>
      </c>
      <c r="AF961" s="25">
        <f>YEAR(Tabela1[[#This Row],[Criado em]])</f>
        <v>2025</v>
      </c>
      <c r="AG961" s="25">
        <f>COUNTIFS(Tabela1[Mês],Tabela1[[#This Row],[Mês]])</f>
        <v>130</v>
      </c>
      <c r="AH961" s="25">
        <f>COUNTIFS(Tabela1[Mês],Tabela1[[#This Row],[Mês]],Tabela1[Fase atual],"Recebido")</f>
        <v>100</v>
      </c>
      <c r="AI961" s="26">
        <f>Tabela1[[#This Row],[Recebido_ Mes]]/Tabela1[[#This Row],[Total_Mes]]</f>
        <v>0.76923076923076927</v>
      </c>
      <c r="AJ961" s="19">
        <f>COUNTIFS(Tabela1[Fase atual],"Recebido",Tabela1[Mês],Tabela1[[#This Row],[Mês]],Tabela1[Ano],Tabela1[[#This Row],[Ano]])/COUNTIF(Tabela1[Mês],Tabela1[[#This Row],[Mês]])</f>
        <v>0.76923076923076927</v>
      </c>
      <c r="AK961" s="20">
        <f>100%</f>
        <v>1</v>
      </c>
    </row>
    <row r="962" spans="1:37" ht="18" customHeight="1" x14ac:dyDescent="0.25">
      <c r="A962">
        <v>1288315189</v>
      </c>
      <c r="B962" t="s">
        <v>410</v>
      </c>
      <c r="C962" t="s">
        <v>411</v>
      </c>
      <c r="D962" t="s">
        <v>37</v>
      </c>
      <c r="E962" t="s">
        <v>31</v>
      </c>
      <c r="F962" s="2">
        <v>46048.796261122683</v>
      </c>
      <c r="AC962" s="24">
        <f t="shared" ca="1" si="29"/>
        <v>85.203738877316937</v>
      </c>
      <c r="AD962" s="25" t="str">
        <f t="shared" ca="1" si="30"/>
        <v>&gt;60 dias</v>
      </c>
      <c r="AE962" s="25">
        <f>MONTH(Tabela1[[#This Row],[Criado em]])</f>
        <v>1</v>
      </c>
      <c r="AF962" s="25">
        <f>YEAR(Tabela1[[#This Row],[Criado em]])</f>
        <v>2026</v>
      </c>
      <c r="AG962" s="25">
        <f>COUNTIFS(Tabela1[Mês],Tabela1[[#This Row],[Mês]])</f>
        <v>222</v>
      </c>
      <c r="AH962" s="25">
        <f>COUNTIFS(Tabela1[Mês],Tabela1[[#This Row],[Mês]],Tabela1[Fase atual],"Recebido")</f>
        <v>174</v>
      </c>
      <c r="AI962" s="26">
        <f>Tabela1[[#This Row],[Recebido_ Mes]]/Tabela1[[#This Row],[Total_Mes]]</f>
        <v>0.78378378378378377</v>
      </c>
      <c r="AJ962" s="19">
        <f>COUNTIFS(Tabela1[Fase atual],"Recebido",Tabela1[Mês],Tabela1[[#This Row],[Mês]],Tabela1[Ano],Tabela1[[#This Row],[Ano]])/COUNTIF(Tabela1[Mês],Tabela1[[#This Row],[Mês]])</f>
        <v>0.78378378378378377</v>
      </c>
      <c r="AK962" s="20">
        <f>100%</f>
        <v>1</v>
      </c>
    </row>
    <row r="963" spans="1:37" ht="18" customHeight="1" x14ac:dyDescent="0.25">
      <c r="A963">
        <v>1255709448</v>
      </c>
      <c r="B963" t="s">
        <v>1654</v>
      </c>
      <c r="C963" t="s">
        <v>1655</v>
      </c>
      <c r="D963" t="s">
        <v>34</v>
      </c>
      <c r="E963" t="s">
        <v>31</v>
      </c>
      <c r="F963" s="2">
        <v>45978.629001550929</v>
      </c>
      <c r="AC963" s="24">
        <f t="shared" ref="AC963:AC1026" ca="1" si="31">TODAY() - F963</f>
        <v>155.37099844907061</v>
      </c>
      <c r="AD963" s="25" t="str">
        <f t="shared" ref="AD963:AD1026" ca="1" si="32">IF(AC963&lt;=14,"0-14 dias",
IF(AC963&lt;=19,"15-19 dias",
IF(AC963&lt;=24,"20-24 dias",
IF(AC963&lt;=30,"25-30 dias",
IF(AC963&lt;=60,"31-60 dias",
"&gt;60 dias")))))</f>
        <v>&gt;60 dias</v>
      </c>
      <c r="AE963" s="25">
        <f>MONTH(Tabela1[[#This Row],[Criado em]])</f>
        <v>11</v>
      </c>
      <c r="AF963" s="25">
        <f>YEAR(Tabela1[[#This Row],[Criado em]])</f>
        <v>2025</v>
      </c>
      <c r="AG963" s="25">
        <f>COUNTIFS(Tabela1[Mês],Tabela1[[#This Row],[Mês]])</f>
        <v>130</v>
      </c>
      <c r="AH963" s="25">
        <f>COUNTIFS(Tabela1[Mês],Tabela1[[#This Row],[Mês]],Tabela1[Fase atual],"Recebido")</f>
        <v>100</v>
      </c>
      <c r="AI963" s="26">
        <f>Tabela1[[#This Row],[Recebido_ Mes]]/Tabela1[[#This Row],[Total_Mes]]</f>
        <v>0.76923076923076927</v>
      </c>
      <c r="AJ963" s="19">
        <f>COUNTIFS(Tabela1[Fase atual],"Recebido",Tabela1[Mês],Tabela1[[#This Row],[Mês]],Tabela1[Ano],Tabela1[[#This Row],[Ano]])/COUNTIF(Tabela1[Mês],Tabela1[[#This Row],[Mês]])</f>
        <v>0.76923076923076927</v>
      </c>
      <c r="AK963" s="20">
        <f>100%</f>
        <v>1</v>
      </c>
    </row>
    <row r="964" spans="1:37" ht="18" customHeight="1" x14ac:dyDescent="0.25">
      <c r="A964">
        <v>1254591096</v>
      </c>
      <c r="B964" t="s">
        <v>1656</v>
      </c>
      <c r="C964" t="s">
        <v>1657</v>
      </c>
      <c r="D964" t="s">
        <v>34</v>
      </c>
      <c r="E964" t="s">
        <v>31</v>
      </c>
      <c r="F964" s="2">
        <v>45974.79415184028</v>
      </c>
      <c r="AC964" s="24">
        <f t="shared" ca="1" si="31"/>
        <v>159.20584815971961</v>
      </c>
      <c r="AD964" s="25" t="str">
        <f t="shared" ca="1" si="32"/>
        <v>&gt;60 dias</v>
      </c>
      <c r="AE964" s="25">
        <f>MONTH(Tabela1[[#This Row],[Criado em]])</f>
        <v>11</v>
      </c>
      <c r="AF964" s="25">
        <f>YEAR(Tabela1[[#This Row],[Criado em]])</f>
        <v>2025</v>
      </c>
      <c r="AG964" s="25">
        <f>COUNTIFS(Tabela1[Mês],Tabela1[[#This Row],[Mês]])</f>
        <v>130</v>
      </c>
      <c r="AH964" s="25">
        <f>COUNTIFS(Tabela1[Mês],Tabela1[[#This Row],[Mês]],Tabela1[Fase atual],"Recebido")</f>
        <v>100</v>
      </c>
      <c r="AI964" s="26">
        <f>Tabela1[[#This Row],[Recebido_ Mes]]/Tabela1[[#This Row],[Total_Mes]]</f>
        <v>0.76923076923076927</v>
      </c>
      <c r="AJ964" s="19">
        <f>COUNTIFS(Tabela1[Fase atual],"Recebido",Tabela1[Mês],Tabela1[[#This Row],[Mês]],Tabela1[Ano],Tabela1[[#This Row],[Ano]])/COUNTIF(Tabela1[Mês],Tabela1[[#This Row],[Mês]])</f>
        <v>0.76923076923076927</v>
      </c>
      <c r="AK964" s="20">
        <f>100%</f>
        <v>1</v>
      </c>
    </row>
    <row r="965" spans="1:37" ht="18" customHeight="1" x14ac:dyDescent="0.25">
      <c r="A965">
        <v>1309117580</v>
      </c>
      <c r="B965" t="s">
        <v>2249</v>
      </c>
      <c r="C965" t="s">
        <v>2250</v>
      </c>
      <c r="D965" t="s">
        <v>37</v>
      </c>
      <c r="E965" t="s">
        <v>31</v>
      </c>
      <c r="F965" s="2">
        <v>46085.544448217603</v>
      </c>
      <c r="AC965" s="24">
        <f t="shared" ca="1" si="31"/>
        <v>48.455551782397379</v>
      </c>
      <c r="AD965" s="25" t="str">
        <f t="shared" ca="1" si="32"/>
        <v>31-60 dias</v>
      </c>
      <c r="AE965" s="25">
        <f>MONTH(Tabela1[[#This Row],[Criado em]])</f>
        <v>3</v>
      </c>
      <c r="AF965" s="25">
        <f>YEAR(Tabela1[[#This Row],[Criado em]])</f>
        <v>2026</v>
      </c>
      <c r="AG965" s="25">
        <f>COUNTIFS(Tabela1[Mês],Tabela1[[#This Row],[Mês]])</f>
        <v>62</v>
      </c>
      <c r="AH965" s="25">
        <f>COUNTIFS(Tabela1[Mês],Tabela1[[#This Row],[Mês]],Tabela1[Fase atual],"Recebido")</f>
        <v>13</v>
      </c>
      <c r="AI965" s="26">
        <f>Tabela1[[#This Row],[Recebido_ Mes]]/Tabela1[[#This Row],[Total_Mes]]</f>
        <v>0.20967741935483872</v>
      </c>
      <c r="AJ965" s="19">
        <f>COUNTIFS(Tabela1[Fase atual],"Recebido",Tabela1[Mês],Tabela1[[#This Row],[Mês]],Tabela1[Ano],Tabela1[[#This Row],[Ano]])/COUNTIF(Tabela1[Mês],Tabela1[[#This Row],[Mês]])</f>
        <v>0.20967741935483872</v>
      </c>
      <c r="AK965" s="20">
        <f>100%</f>
        <v>1</v>
      </c>
    </row>
    <row r="966" spans="1:37" ht="18" customHeight="1" x14ac:dyDescent="0.25">
      <c r="A966">
        <v>1262164361</v>
      </c>
      <c r="B966" t="s">
        <v>1658</v>
      </c>
      <c r="C966" t="s">
        <v>1659</v>
      </c>
      <c r="D966" t="s">
        <v>37</v>
      </c>
      <c r="E966" t="s">
        <v>31</v>
      </c>
      <c r="F966" s="2">
        <v>45992.918768263888</v>
      </c>
      <c r="AC966" s="24">
        <f t="shared" ca="1" si="31"/>
        <v>141.08123173611239</v>
      </c>
      <c r="AD966" s="25" t="str">
        <f t="shared" ca="1" si="32"/>
        <v>&gt;60 dias</v>
      </c>
      <c r="AE966" s="25">
        <f>MONTH(Tabela1[[#This Row],[Criado em]])</f>
        <v>12</v>
      </c>
      <c r="AF966" s="25">
        <f>YEAR(Tabela1[[#This Row],[Criado em]])</f>
        <v>2025</v>
      </c>
      <c r="AG966" s="25">
        <f>COUNTIFS(Tabela1[Mês],Tabela1[[#This Row],[Mês]])</f>
        <v>207</v>
      </c>
      <c r="AH966" s="25">
        <f>COUNTIFS(Tabela1[Mês],Tabela1[[#This Row],[Mês]],Tabela1[Fase atual],"Recebido")</f>
        <v>155</v>
      </c>
      <c r="AI966" s="26">
        <f>Tabela1[[#This Row],[Recebido_ Mes]]/Tabela1[[#This Row],[Total_Mes]]</f>
        <v>0.74879227053140096</v>
      </c>
      <c r="AJ966" s="19">
        <f>COUNTIFS(Tabela1[Fase atual],"Recebido",Tabela1[Mês],Tabela1[[#This Row],[Mês]],Tabela1[Ano],Tabela1[[#This Row],[Ano]])/COUNTIF(Tabela1[Mês],Tabela1[[#This Row],[Mês]])</f>
        <v>0.74879227053140096</v>
      </c>
      <c r="AK966" s="20">
        <f>100%</f>
        <v>1</v>
      </c>
    </row>
    <row r="967" spans="1:37" ht="18" customHeight="1" x14ac:dyDescent="0.25">
      <c r="A967">
        <v>1270413346</v>
      </c>
      <c r="B967" t="s">
        <v>1660</v>
      </c>
      <c r="C967" t="s">
        <v>1661</v>
      </c>
      <c r="D967" t="s">
        <v>40</v>
      </c>
      <c r="E967" t="s">
        <v>31</v>
      </c>
      <c r="F967" s="2">
        <v>46010.517047951391</v>
      </c>
      <c r="AC967" s="24">
        <f t="shared" ca="1" si="31"/>
        <v>123.48295204860915</v>
      </c>
      <c r="AD967" s="25" t="str">
        <f t="shared" ca="1" si="32"/>
        <v>&gt;60 dias</v>
      </c>
      <c r="AE967" s="25">
        <f>MONTH(Tabela1[[#This Row],[Criado em]])</f>
        <v>12</v>
      </c>
      <c r="AF967" s="25">
        <f>YEAR(Tabela1[[#This Row],[Criado em]])</f>
        <v>2025</v>
      </c>
      <c r="AG967" s="25">
        <f>COUNTIFS(Tabela1[Mês],Tabela1[[#This Row],[Mês]])</f>
        <v>207</v>
      </c>
      <c r="AH967" s="25">
        <f>COUNTIFS(Tabela1[Mês],Tabela1[[#This Row],[Mês]],Tabela1[Fase atual],"Recebido")</f>
        <v>155</v>
      </c>
      <c r="AI967" s="26">
        <f>Tabela1[[#This Row],[Recebido_ Mes]]/Tabela1[[#This Row],[Total_Mes]]</f>
        <v>0.74879227053140096</v>
      </c>
      <c r="AJ967" s="19">
        <f>COUNTIFS(Tabela1[Fase atual],"Recebido",Tabela1[Mês],Tabela1[[#This Row],[Mês]],Tabela1[Ano],Tabela1[[#This Row],[Ano]])/COUNTIF(Tabela1[Mês],Tabela1[[#This Row],[Mês]])</f>
        <v>0.74879227053140096</v>
      </c>
      <c r="AK967" s="20">
        <f>100%</f>
        <v>1</v>
      </c>
    </row>
    <row r="968" spans="1:37" ht="18" customHeight="1" x14ac:dyDescent="0.25">
      <c r="A968">
        <v>1257672072</v>
      </c>
      <c r="C968" t="s">
        <v>1662</v>
      </c>
      <c r="D968" t="s">
        <v>37</v>
      </c>
      <c r="E968" t="s">
        <v>31</v>
      </c>
      <c r="F968" s="2">
        <v>45982.544314768507</v>
      </c>
      <c r="AC968" s="24">
        <f t="shared" ca="1" si="31"/>
        <v>151.45568523149268</v>
      </c>
      <c r="AD968" s="25" t="str">
        <f t="shared" ca="1" si="32"/>
        <v>&gt;60 dias</v>
      </c>
      <c r="AE968" s="25">
        <f>MONTH(Tabela1[[#This Row],[Criado em]])</f>
        <v>11</v>
      </c>
      <c r="AF968" s="25">
        <f>YEAR(Tabela1[[#This Row],[Criado em]])</f>
        <v>2025</v>
      </c>
      <c r="AG968" s="25">
        <f>COUNTIFS(Tabela1[Mês],Tabela1[[#This Row],[Mês]])</f>
        <v>130</v>
      </c>
      <c r="AH968" s="25">
        <f>COUNTIFS(Tabela1[Mês],Tabela1[[#This Row],[Mês]],Tabela1[Fase atual],"Recebido")</f>
        <v>100</v>
      </c>
      <c r="AI968" s="26">
        <f>Tabela1[[#This Row],[Recebido_ Mes]]/Tabela1[[#This Row],[Total_Mes]]</f>
        <v>0.76923076923076927</v>
      </c>
      <c r="AJ968" s="19">
        <f>COUNTIFS(Tabela1[Fase atual],"Recebido",Tabela1[Mês],Tabela1[[#This Row],[Mês]],Tabela1[Ano],Tabela1[[#This Row],[Ano]])/COUNTIF(Tabela1[Mês],Tabela1[[#This Row],[Mês]])</f>
        <v>0.76923076923076927</v>
      </c>
      <c r="AK968" s="20">
        <f>100%</f>
        <v>1</v>
      </c>
    </row>
    <row r="969" spans="1:37" ht="18" customHeight="1" x14ac:dyDescent="0.25">
      <c r="A969">
        <v>1222240108</v>
      </c>
      <c r="B969" t="s">
        <v>1663</v>
      </c>
      <c r="C969" t="s">
        <v>1664</v>
      </c>
      <c r="D969" t="s">
        <v>37</v>
      </c>
      <c r="E969" t="s">
        <v>31</v>
      </c>
      <c r="F969" s="2">
        <v>45926.851369108801</v>
      </c>
      <c r="AC969" s="24">
        <f t="shared" ca="1" si="31"/>
        <v>207.14863089119899</v>
      </c>
      <c r="AD969" s="25" t="str">
        <f t="shared" ca="1" si="32"/>
        <v>&gt;60 dias</v>
      </c>
      <c r="AE969" s="25">
        <f>MONTH(Tabela1[[#This Row],[Criado em]])</f>
        <v>9</v>
      </c>
      <c r="AF969" s="25">
        <f>YEAR(Tabela1[[#This Row],[Criado em]])</f>
        <v>2025</v>
      </c>
      <c r="AG969" s="25">
        <f>COUNTIFS(Tabela1[Mês],Tabela1[[#This Row],[Mês]])</f>
        <v>197</v>
      </c>
      <c r="AH969" s="25">
        <f>COUNTIFS(Tabela1[Mês],Tabela1[[#This Row],[Mês]],Tabela1[Fase atual],"Recebido")</f>
        <v>152</v>
      </c>
      <c r="AI969" s="26">
        <f>Tabela1[[#This Row],[Recebido_ Mes]]/Tabela1[[#This Row],[Total_Mes]]</f>
        <v>0.77157360406091369</v>
      </c>
      <c r="AJ969" s="19">
        <f>COUNTIFS(Tabela1[Fase atual],"Recebido",Tabela1[Mês],Tabela1[[#This Row],[Mês]],Tabela1[Ano],Tabela1[[#This Row],[Ano]])/COUNTIF(Tabela1[Mês],Tabela1[[#This Row],[Mês]])</f>
        <v>0.77157360406091369</v>
      </c>
      <c r="AK969" s="20">
        <f>100%</f>
        <v>1</v>
      </c>
    </row>
    <row r="970" spans="1:37" ht="18" customHeight="1" x14ac:dyDescent="0.25">
      <c r="A970">
        <v>1296921231</v>
      </c>
      <c r="B970" t="s">
        <v>253</v>
      </c>
      <c r="C970" t="s">
        <v>412</v>
      </c>
      <c r="D970" t="s">
        <v>37</v>
      </c>
      <c r="E970" t="s">
        <v>31</v>
      </c>
      <c r="F970" s="2">
        <v>46065.688938680563</v>
      </c>
      <c r="AC970" s="24">
        <f t="shared" ca="1" si="31"/>
        <v>68.311061319436703</v>
      </c>
      <c r="AD970" s="25" t="str">
        <f t="shared" ca="1" si="32"/>
        <v>&gt;60 dias</v>
      </c>
      <c r="AE970" s="25">
        <f>MONTH(Tabela1[[#This Row],[Criado em]])</f>
        <v>2</v>
      </c>
      <c r="AF970" s="25">
        <f>YEAR(Tabela1[[#This Row],[Criado em]])</f>
        <v>2026</v>
      </c>
      <c r="AG970" s="25">
        <f>COUNTIFS(Tabela1[Mês],Tabela1[[#This Row],[Mês]])</f>
        <v>197</v>
      </c>
      <c r="AH970" s="25">
        <f>COUNTIFS(Tabela1[Mês],Tabela1[[#This Row],[Mês]],Tabela1[Fase atual],"Recebido")</f>
        <v>124</v>
      </c>
      <c r="AI970" s="26">
        <f>Tabela1[[#This Row],[Recebido_ Mes]]/Tabela1[[#This Row],[Total_Mes]]</f>
        <v>0.62944162436548223</v>
      </c>
      <c r="AJ970" s="19">
        <f>COUNTIFS(Tabela1[Fase atual],"Recebido",Tabela1[Mês],Tabela1[[#This Row],[Mês]],Tabela1[Ano],Tabela1[[#This Row],[Ano]])/COUNTIF(Tabela1[Mês],Tabela1[[#This Row],[Mês]])</f>
        <v>0.62944162436548223</v>
      </c>
      <c r="AK970" s="20">
        <f>100%</f>
        <v>1</v>
      </c>
    </row>
    <row r="971" spans="1:37" ht="18" customHeight="1" x14ac:dyDescent="0.25">
      <c r="A971">
        <v>1269142181</v>
      </c>
      <c r="B971" t="s">
        <v>1665</v>
      </c>
      <c r="C971" t="s">
        <v>1666</v>
      </c>
      <c r="D971" t="s">
        <v>37</v>
      </c>
      <c r="E971" t="s">
        <v>31</v>
      </c>
      <c r="F971" s="2">
        <v>46007.79642204861</v>
      </c>
      <c r="AC971" s="24">
        <f t="shared" ca="1" si="31"/>
        <v>126.20357795138989</v>
      </c>
      <c r="AD971" s="25" t="str">
        <f t="shared" ca="1" si="32"/>
        <v>&gt;60 dias</v>
      </c>
      <c r="AE971" s="25">
        <f>MONTH(Tabela1[[#This Row],[Criado em]])</f>
        <v>12</v>
      </c>
      <c r="AF971" s="25">
        <f>YEAR(Tabela1[[#This Row],[Criado em]])</f>
        <v>2025</v>
      </c>
      <c r="AG971" s="25">
        <f>COUNTIFS(Tabela1[Mês],Tabela1[[#This Row],[Mês]])</f>
        <v>207</v>
      </c>
      <c r="AH971" s="25">
        <f>COUNTIFS(Tabela1[Mês],Tabela1[[#This Row],[Mês]],Tabela1[Fase atual],"Recebido")</f>
        <v>155</v>
      </c>
      <c r="AI971" s="26">
        <f>Tabela1[[#This Row],[Recebido_ Mes]]/Tabela1[[#This Row],[Total_Mes]]</f>
        <v>0.74879227053140096</v>
      </c>
      <c r="AJ971" s="19">
        <f>COUNTIFS(Tabela1[Fase atual],"Recebido",Tabela1[Mês],Tabela1[[#This Row],[Mês]],Tabela1[Ano],Tabela1[[#This Row],[Ano]])/COUNTIF(Tabela1[Mês],Tabela1[[#This Row],[Mês]])</f>
        <v>0.74879227053140096</v>
      </c>
      <c r="AK971" s="20">
        <f>100%</f>
        <v>1</v>
      </c>
    </row>
    <row r="972" spans="1:37" ht="18" customHeight="1" x14ac:dyDescent="0.25">
      <c r="A972">
        <v>1286721350</v>
      </c>
      <c r="B972" t="s">
        <v>413</v>
      </c>
      <c r="C972" t="s">
        <v>414</v>
      </c>
      <c r="D972" t="s">
        <v>37</v>
      </c>
      <c r="E972" t="s">
        <v>31</v>
      </c>
      <c r="F972" s="2">
        <v>46045.796334236111</v>
      </c>
      <c r="AC972" s="24">
        <f t="shared" ca="1" si="31"/>
        <v>88.203665763889148</v>
      </c>
      <c r="AD972" s="25" t="str">
        <f t="shared" ca="1" si="32"/>
        <v>&gt;60 dias</v>
      </c>
      <c r="AE972" s="25">
        <f>MONTH(Tabela1[[#This Row],[Criado em]])</f>
        <v>1</v>
      </c>
      <c r="AF972" s="25">
        <f>YEAR(Tabela1[[#This Row],[Criado em]])</f>
        <v>2026</v>
      </c>
      <c r="AG972" s="25">
        <f>COUNTIFS(Tabela1[Mês],Tabela1[[#This Row],[Mês]])</f>
        <v>222</v>
      </c>
      <c r="AH972" s="25">
        <f>COUNTIFS(Tabela1[Mês],Tabela1[[#This Row],[Mês]],Tabela1[Fase atual],"Recebido")</f>
        <v>174</v>
      </c>
      <c r="AI972" s="26">
        <f>Tabela1[[#This Row],[Recebido_ Mes]]/Tabela1[[#This Row],[Total_Mes]]</f>
        <v>0.78378378378378377</v>
      </c>
      <c r="AJ972" s="19">
        <f>COUNTIFS(Tabela1[Fase atual],"Recebido",Tabela1[Mês],Tabela1[[#This Row],[Mês]],Tabela1[Ano],Tabela1[[#This Row],[Ano]])/COUNTIF(Tabela1[Mês],Tabela1[[#This Row],[Mês]])</f>
        <v>0.78378378378378377</v>
      </c>
      <c r="AK972" s="20">
        <f>100%</f>
        <v>1</v>
      </c>
    </row>
    <row r="973" spans="1:37" ht="18" customHeight="1" x14ac:dyDescent="0.25">
      <c r="A973">
        <v>1293338430</v>
      </c>
      <c r="B973" t="s">
        <v>413</v>
      </c>
      <c r="C973" t="s">
        <v>414</v>
      </c>
      <c r="D973" t="s">
        <v>37</v>
      </c>
      <c r="E973" t="s">
        <v>31</v>
      </c>
      <c r="F973" s="2">
        <v>46057.795795879632</v>
      </c>
      <c r="AC973" s="24">
        <f t="shared" ca="1" si="31"/>
        <v>76.204204120367649</v>
      </c>
      <c r="AD973" s="25" t="str">
        <f t="shared" ca="1" si="32"/>
        <v>&gt;60 dias</v>
      </c>
      <c r="AE973" s="25">
        <f>MONTH(Tabela1[[#This Row],[Criado em]])</f>
        <v>2</v>
      </c>
      <c r="AF973" s="25">
        <f>YEAR(Tabela1[[#This Row],[Criado em]])</f>
        <v>2026</v>
      </c>
      <c r="AG973" s="25">
        <f>COUNTIFS(Tabela1[Mês],Tabela1[[#This Row],[Mês]])</f>
        <v>197</v>
      </c>
      <c r="AH973" s="25">
        <f>COUNTIFS(Tabela1[Mês],Tabela1[[#This Row],[Mês]],Tabela1[Fase atual],"Recebido")</f>
        <v>124</v>
      </c>
      <c r="AI973" s="26">
        <f>Tabela1[[#This Row],[Recebido_ Mes]]/Tabela1[[#This Row],[Total_Mes]]</f>
        <v>0.62944162436548223</v>
      </c>
      <c r="AJ973" s="19">
        <f>COUNTIFS(Tabela1[Fase atual],"Recebido",Tabela1[Mês],Tabela1[[#This Row],[Mês]],Tabela1[Ano],Tabela1[[#This Row],[Ano]])/COUNTIF(Tabela1[Mês],Tabela1[[#This Row],[Mês]])</f>
        <v>0.62944162436548223</v>
      </c>
      <c r="AK973" s="20">
        <f>100%</f>
        <v>1</v>
      </c>
    </row>
    <row r="974" spans="1:37" ht="18" customHeight="1" x14ac:dyDescent="0.25">
      <c r="A974">
        <v>1257102951</v>
      </c>
      <c r="B974" t="s">
        <v>1667</v>
      </c>
      <c r="C974" t="s">
        <v>1668</v>
      </c>
      <c r="D974" t="s">
        <v>37</v>
      </c>
      <c r="E974" t="s">
        <v>31</v>
      </c>
      <c r="F974" s="2">
        <v>45980.79585638889</v>
      </c>
      <c r="AC974" s="24">
        <f t="shared" ca="1" si="31"/>
        <v>153.20414361111034</v>
      </c>
      <c r="AD974" s="25" t="str">
        <f t="shared" ca="1" si="32"/>
        <v>&gt;60 dias</v>
      </c>
      <c r="AE974" s="25">
        <f>MONTH(Tabela1[[#This Row],[Criado em]])</f>
        <v>11</v>
      </c>
      <c r="AF974" s="25">
        <f>YEAR(Tabela1[[#This Row],[Criado em]])</f>
        <v>2025</v>
      </c>
      <c r="AG974" s="25">
        <f>COUNTIFS(Tabela1[Mês],Tabela1[[#This Row],[Mês]])</f>
        <v>130</v>
      </c>
      <c r="AH974" s="25">
        <f>COUNTIFS(Tabela1[Mês],Tabela1[[#This Row],[Mês]],Tabela1[Fase atual],"Recebido")</f>
        <v>100</v>
      </c>
      <c r="AI974" s="26">
        <f>Tabela1[[#This Row],[Recebido_ Mes]]/Tabela1[[#This Row],[Total_Mes]]</f>
        <v>0.76923076923076927</v>
      </c>
      <c r="AJ974" s="19">
        <f>COUNTIFS(Tabela1[Fase atual],"Recebido",Tabela1[Mês],Tabela1[[#This Row],[Mês]],Tabela1[Ano],Tabela1[[#This Row],[Ano]])/COUNTIF(Tabela1[Mês],Tabela1[[#This Row],[Mês]])</f>
        <v>0.76923076923076927</v>
      </c>
      <c r="AK974" s="20">
        <f>100%</f>
        <v>1</v>
      </c>
    </row>
    <row r="975" spans="1:37" ht="18" customHeight="1" x14ac:dyDescent="0.25">
      <c r="A975">
        <v>1269142420</v>
      </c>
      <c r="B975" t="s">
        <v>1669</v>
      </c>
      <c r="C975" t="s">
        <v>1670</v>
      </c>
      <c r="D975" t="s">
        <v>40</v>
      </c>
      <c r="E975" t="s">
        <v>31</v>
      </c>
      <c r="F975" s="2">
        <v>46007.796648148149</v>
      </c>
      <c r="AC975" s="24">
        <f t="shared" ca="1" si="31"/>
        <v>126.20335185185104</v>
      </c>
      <c r="AD975" s="25" t="str">
        <f t="shared" ca="1" si="32"/>
        <v>&gt;60 dias</v>
      </c>
      <c r="AE975" s="25">
        <f>MONTH(Tabela1[[#This Row],[Criado em]])</f>
        <v>12</v>
      </c>
      <c r="AF975" s="25">
        <f>YEAR(Tabela1[[#This Row],[Criado em]])</f>
        <v>2025</v>
      </c>
      <c r="AG975" s="25">
        <f>COUNTIFS(Tabela1[Mês],Tabela1[[#This Row],[Mês]])</f>
        <v>207</v>
      </c>
      <c r="AH975" s="25">
        <f>COUNTIFS(Tabela1[Mês],Tabela1[[#This Row],[Mês]],Tabela1[Fase atual],"Recebido")</f>
        <v>155</v>
      </c>
      <c r="AI975" s="26">
        <f>Tabela1[[#This Row],[Recebido_ Mes]]/Tabela1[[#This Row],[Total_Mes]]</f>
        <v>0.74879227053140096</v>
      </c>
      <c r="AJ975" s="19">
        <f>COUNTIFS(Tabela1[Fase atual],"Recebido",Tabela1[Mês],Tabela1[[#This Row],[Mês]],Tabela1[Ano],Tabela1[[#This Row],[Ano]])/COUNTIF(Tabela1[Mês],Tabela1[[#This Row],[Mês]])</f>
        <v>0.74879227053140096</v>
      </c>
      <c r="AK975" s="20">
        <f>100%</f>
        <v>1</v>
      </c>
    </row>
    <row r="976" spans="1:37" ht="18" customHeight="1" x14ac:dyDescent="0.25">
      <c r="A976">
        <v>1221522070</v>
      </c>
      <c r="B976" t="s">
        <v>413</v>
      </c>
      <c r="C976" t="s">
        <v>1671</v>
      </c>
      <c r="D976" t="s">
        <v>37</v>
      </c>
      <c r="E976" t="s">
        <v>31</v>
      </c>
      <c r="F976" s="2">
        <v>45925.851162604173</v>
      </c>
      <c r="AC976" s="24">
        <f t="shared" ca="1" si="31"/>
        <v>208.14883739582729</v>
      </c>
      <c r="AD976" s="25" t="str">
        <f t="shared" ca="1" si="32"/>
        <v>&gt;60 dias</v>
      </c>
      <c r="AE976" s="25">
        <f>MONTH(Tabela1[[#This Row],[Criado em]])</f>
        <v>9</v>
      </c>
      <c r="AF976" s="25">
        <f>YEAR(Tabela1[[#This Row],[Criado em]])</f>
        <v>2025</v>
      </c>
      <c r="AG976" s="25">
        <f>COUNTIFS(Tabela1[Mês],Tabela1[[#This Row],[Mês]])</f>
        <v>197</v>
      </c>
      <c r="AH976" s="25">
        <f>COUNTIFS(Tabela1[Mês],Tabela1[[#This Row],[Mês]],Tabela1[Fase atual],"Recebido")</f>
        <v>152</v>
      </c>
      <c r="AI976" s="26">
        <f>Tabela1[[#This Row],[Recebido_ Mes]]/Tabela1[[#This Row],[Total_Mes]]</f>
        <v>0.77157360406091369</v>
      </c>
      <c r="AJ976" s="19">
        <f>COUNTIFS(Tabela1[Fase atual],"Recebido",Tabela1[Mês],Tabela1[[#This Row],[Mês]],Tabela1[Ano],Tabela1[[#This Row],[Ano]])/COUNTIF(Tabela1[Mês],Tabela1[[#This Row],[Mês]])</f>
        <v>0.77157360406091369</v>
      </c>
      <c r="AK976" s="20">
        <f>100%</f>
        <v>1</v>
      </c>
    </row>
    <row r="977" spans="1:37" ht="18" customHeight="1" x14ac:dyDescent="0.25">
      <c r="A977">
        <v>1180430092</v>
      </c>
      <c r="B977" t="s">
        <v>413</v>
      </c>
      <c r="C977" t="s">
        <v>1672</v>
      </c>
      <c r="D977" t="s">
        <v>37</v>
      </c>
      <c r="E977" t="s">
        <v>1111</v>
      </c>
      <c r="F977" s="2">
        <v>45859.840898101851</v>
      </c>
      <c r="AC977" s="24">
        <f t="shared" ca="1" si="31"/>
        <v>274.15910189814895</v>
      </c>
      <c r="AD977" s="25" t="str">
        <f t="shared" ca="1" si="32"/>
        <v>&gt;60 dias</v>
      </c>
      <c r="AE977" s="25">
        <f>MONTH(Tabela1[[#This Row],[Criado em]])</f>
        <v>7</v>
      </c>
      <c r="AF977" s="25">
        <f>YEAR(Tabela1[[#This Row],[Criado em]])</f>
        <v>2025</v>
      </c>
      <c r="AG977" s="25">
        <f>COUNTIFS(Tabela1[Mês],Tabela1[[#This Row],[Mês]])</f>
        <v>177</v>
      </c>
      <c r="AH977" s="25">
        <f>COUNTIFS(Tabela1[Mês],Tabela1[[#This Row],[Mês]],Tabela1[Fase atual],"Recebido")</f>
        <v>130</v>
      </c>
      <c r="AI977" s="26">
        <f>Tabela1[[#This Row],[Recebido_ Mes]]/Tabela1[[#This Row],[Total_Mes]]</f>
        <v>0.7344632768361582</v>
      </c>
      <c r="AJ977" s="19">
        <f>COUNTIFS(Tabela1[Fase atual],"Recebido",Tabela1[Mês],Tabela1[[#This Row],[Mês]],Tabela1[Ano],Tabela1[[#This Row],[Ano]])/COUNTIF(Tabela1[Mês],Tabela1[[#This Row],[Mês]])</f>
        <v>0.7344632768361582</v>
      </c>
      <c r="AK977" s="20">
        <f>100%</f>
        <v>1</v>
      </c>
    </row>
    <row r="978" spans="1:37" ht="18" customHeight="1" x14ac:dyDescent="0.25">
      <c r="A978">
        <v>1307301299</v>
      </c>
      <c r="B978" t="s">
        <v>413</v>
      </c>
      <c r="C978" t="s">
        <v>2251</v>
      </c>
      <c r="D978" t="s">
        <v>2179</v>
      </c>
      <c r="E978" t="s">
        <v>31</v>
      </c>
      <c r="F978" s="2">
        <v>46083.794801006938</v>
      </c>
      <c r="AC978" s="24">
        <f t="shared" ca="1" si="31"/>
        <v>50.205198993062368</v>
      </c>
      <c r="AD978" s="25" t="str">
        <f t="shared" ca="1" si="32"/>
        <v>31-60 dias</v>
      </c>
      <c r="AE978" s="25">
        <f>MONTH(Tabela1[[#This Row],[Criado em]])</f>
        <v>3</v>
      </c>
      <c r="AF978" s="25">
        <f>YEAR(Tabela1[[#This Row],[Criado em]])</f>
        <v>2026</v>
      </c>
      <c r="AG978" s="25">
        <f>COUNTIFS(Tabela1[Mês],Tabela1[[#This Row],[Mês]])</f>
        <v>62</v>
      </c>
      <c r="AH978" s="25">
        <f>COUNTIFS(Tabela1[Mês],Tabela1[[#This Row],[Mês]],Tabela1[Fase atual],"Recebido")</f>
        <v>13</v>
      </c>
      <c r="AI978" s="26">
        <f>Tabela1[[#This Row],[Recebido_ Mes]]/Tabela1[[#This Row],[Total_Mes]]</f>
        <v>0.20967741935483872</v>
      </c>
      <c r="AJ978" s="19">
        <f>COUNTIFS(Tabela1[Fase atual],"Recebido",Tabela1[Mês],Tabela1[[#This Row],[Mês]],Tabela1[Ano],Tabela1[[#This Row],[Ano]])/COUNTIF(Tabela1[Mês],Tabela1[[#This Row],[Mês]])</f>
        <v>0.20967741935483872</v>
      </c>
      <c r="AK978" s="20">
        <f>100%</f>
        <v>1</v>
      </c>
    </row>
    <row r="979" spans="1:37" ht="18" customHeight="1" x14ac:dyDescent="0.25">
      <c r="A979">
        <v>1299776782</v>
      </c>
      <c r="B979" t="s">
        <v>415</v>
      </c>
      <c r="C979" t="s">
        <v>416</v>
      </c>
      <c r="D979" t="s">
        <v>40</v>
      </c>
      <c r="E979" t="s">
        <v>31</v>
      </c>
      <c r="F979" s="2">
        <v>46072.795395543981</v>
      </c>
      <c r="AC979" s="24">
        <f t="shared" ca="1" si="31"/>
        <v>61.204604456019297</v>
      </c>
      <c r="AD979" s="25" t="str">
        <f t="shared" ca="1" si="32"/>
        <v>&gt;60 dias</v>
      </c>
      <c r="AE979" s="25">
        <f>MONTH(Tabela1[[#This Row],[Criado em]])</f>
        <v>2</v>
      </c>
      <c r="AF979" s="25">
        <f>YEAR(Tabela1[[#This Row],[Criado em]])</f>
        <v>2026</v>
      </c>
      <c r="AG979" s="25">
        <f>COUNTIFS(Tabela1[Mês],Tabela1[[#This Row],[Mês]])</f>
        <v>197</v>
      </c>
      <c r="AH979" s="25">
        <f>COUNTIFS(Tabela1[Mês],Tabela1[[#This Row],[Mês]],Tabela1[Fase atual],"Recebido")</f>
        <v>124</v>
      </c>
      <c r="AI979" s="26">
        <f>Tabela1[[#This Row],[Recebido_ Mes]]/Tabela1[[#This Row],[Total_Mes]]</f>
        <v>0.62944162436548223</v>
      </c>
      <c r="AJ979" s="19">
        <f>COUNTIFS(Tabela1[Fase atual],"Recebido",Tabela1[Mês],Tabela1[[#This Row],[Mês]],Tabela1[Ano],Tabela1[[#This Row],[Ano]])/COUNTIF(Tabela1[Mês],Tabela1[[#This Row],[Mês]])</f>
        <v>0.62944162436548223</v>
      </c>
      <c r="AK979" s="20">
        <f>100%</f>
        <v>1</v>
      </c>
    </row>
    <row r="980" spans="1:37" ht="18" customHeight="1" x14ac:dyDescent="0.25">
      <c r="A980">
        <v>1293193722</v>
      </c>
      <c r="B980" t="s">
        <v>417</v>
      </c>
      <c r="C980" t="s">
        <v>418</v>
      </c>
      <c r="D980" t="s">
        <v>37</v>
      </c>
      <c r="E980" t="s">
        <v>31</v>
      </c>
      <c r="F980" s="2">
        <v>46057.683453379628</v>
      </c>
      <c r="AC980" s="24">
        <f t="shared" ca="1" si="31"/>
        <v>76.31654662037181</v>
      </c>
      <c r="AD980" s="25" t="str">
        <f t="shared" ca="1" si="32"/>
        <v>&gt;60 dias</v>
      </c>
      <c r="AE980" s="25">
        <f>MONTH(Tabela1[[#This Row],[Criado em]])</f>
        <v>2</v>
      </c>
      <c r="AF980" s="25">
        <f>YEAR(Tabela1[[#This Row],[Criado em]])</f>
        <v>2026</v>
      </c>
      <c r="AG980" s="25">
        <f>COUNTIFS(Tabela1[Mês],Tabela1[[#This Row],[Mês]])</f>
        <v>197</v>
      </c>
      <c r="AH980" s="25">
        <f>COUNTIFS(Tabela1[Mês],Tabela1[[#This Row],[Mês]],Tabela1[Fase atual],"Recebido")</f>
        <v>124</v>
      </c>
      <c r="AI980" s="26">
        <f>Tabela1[[#This Row],[Recebido_ Mes]]/Tabela1[[#This Row],[Total_Mes]]</f>
        <v>0.62944162436548223</v>
      </c>
      <c r="AJ980" s="19">
        <f>COUNTIFS(Tabela1[Fase atual],"Recebido",Tabela1[Mês],Tabela1[[#This Row],[Mês]],Tabela1[Ano],Tabela1[[#This Row],[Ano]])/COUNTIF(Tabela1[Mês],Tabela1[[#This Row],[Mês]])</f>
        <v>0.62944162436548223</v>
      </c>
      <c r="AK980" s="20">
        <f>100%</f>
        <v>1</v>
      </c>
    </row>
    <row r="981" spans="1:37" ht="18" customHeight="1" x14ac:dyDescent="0.25">
      <c r="A981">
        <v>1202993917</v>
      </c>
      <c r="B981" t="s">
        <v>1673</v>
      </c>
      <c r="C981" t="s">
        <v>1674</v>
      </c>
      <c r="D981" t="s">
        <v>37</v>
      </c>
      <c r="E981" t="s">
        <v>31</v>
      </c>
      <c r="F981" s="2">
        <v>45896.642338865742</v>
      </c>
      <c r="AC981" s="24">
        <f t="shared" ca="1" si="31"/>
        <v>237.3576611342578</v>
      </c>
      <c r="AD981" s="25" t="str">
        <f t="shared" ca="1" si="32"/>
        <v>&gt;60 dias</v>
      </c>
      <c r="AE981" s="25">
        <f>MONTH(Tabela1[[#This Row],[Criado em]])</f>
        <v>8</v>
      </c>
      <c r="AF981" s="25">
        <f>YEAR(Tabela1[[#This Row],[Criado em]])</f>
        <v>2025</v>
      </c>
      <c r="AG981" s="25">
        <f>COUNTIFS(Tabela1[Mês],Tabela1[[#This Row],[Mês]])</f>
        <v>146</v>
      </c>
      <c r="AH981" s="25">
        <f>COUNTIFS(Tabela1[Mês],Tabela1[[#This Row],[Mês]],Tabela1[Fase atual],"Recebido")</f>
        <v>115</v>
      </c>
      <c r="AI981" s="26">
        <f>Tabela1[[#This Row],[Recebido_ Mes]]/Tabela1[[#This Row],[Total_Mes]]</f>
        <v>0.78767123287671237</v>
      </c>
      <c r="AJ981" s="19">
        <f>COUNTIFS(Tabela1[Fase atual],"Recebido",Tabela1[Mês],Tabela1[[#This Row],[Mês]],Tabela1[Ano],Tabela1[[#This Row],[Ano]])/COUNTIF(Tabela1[Mês],Tabela1[[#This Row],[Mês]])</f>
        <v>0.78767123287671237</v>
      </c>
      <c r="AK981" s="20">
        <f>100%</f>
        <v>1</v>
      </c>
    </row>
    <row r="982" spans="1:37" ht="18" customHeight="1" x14ac:dyDescent="0.25">
      <c r="A982">
        <v>1232432072</v>
      </c>
      <c r="B982" t="s">
        <v>390</v>
      </c>
      <c r="C982" t="s">
        <v>1675</v>
      </c>
      <c r="D982" t="s">
        <v>37</v>
      </c>
      <c r="E982" t="s">
        <v>31</v>
      </c>
      <c r="F982" s="2">
        <v>45940.85131337963</v>
      </c>
      <c r="AC982" s="24">
        <f t="shared" ca="1" si="31"/>
        <v>193.14868662037043</v>
      </c>
      <c r="AD982" s="25" t="str">
        <f t="shared" ca="1" si="32"/>
        <v>&gt;60 dias</v>
      </c>
      <c r="AE982" s="25">
        <f>MONTH(Tabela1[[#This Row],[Criado em]])</f>
        <v>10</v>
      </c>
      <c r="AF982" s="25">
        <f>YEAR(Tabela1[[#This Row],[Criado em]])</f>
        <v>2025</v>
      </c>
      <c r="AG982" s="25">
        <f>COUNTIFS(Tabela1[Mês],Tabela1[[#This Row],[Mês]])</f>
        <v>196</v>
      </c>
      <c r="AH982" s="25">
        <f>COUNTIFS(Tabela1[Mês],Tabela1[[#This Row],[Mês]],Tabela1[Fase atual],"Recebido")</f>
        <v>138</v>
      </c>
      <c r="AI982" s="26">
        <f>Tabela1[[#This Row],[Recebido_ Mes]]/Tabela1[[#This Row],[Total_Mes]]</f>
        <v>0.70408163265306123</v>
      </c>
      <c r="AJ982" s="19">
        <f>COUNTIFS(Tabela1[Fase atual],"Recebido",Tabela1[Mês],Tabela1[[#This Row],[Mês]],Tabela1[Ano],Tabela1[[#This Row],[Ano]])/COUNTIF(Tabela1[Mês],Tabela1[[#This Row],[Mês]])</f>
        <v>0.70408163265306123</v>
      </c>
      <c r="AK982" s="20">
        <f>100%</f>
        <v>1</v>
      </c>
    </row>
    <row r="983" spans="1:37" ht="18" customHeight="1" x14ac:dyDescent="0.25">
      <c r="A983">
        <v>1290442992</v>
      </c>
      <c r="B983" t="s">
        <v>419</v>
      </c>
      <c r="C983" t="s">
        <v>420</v>
      </c>
      <c r="D983" t="s">
        <v>37</v>
      </c>
      <c r="E983" t="s">
        <v>31</v>
      </c>
      <c r="F983" s="2">
        <v>46051.698638518523</v>
      </c>
      <c r="AC983" s="24">
        <f t="shared" ca="1" si="31"/>
        <v>82.301361481477215</v>
      </c>
      <c r="AD983" s="25" t="str">
        <f t="shared" ca="1" si="32"/>
        <v>&gt;60 dias</v>
      </c>
      <c r="AE983" s="25">
        <f>MONTH(Tabela1[[#This Row],[Criado em]])</f>
        <v>1</v>
      </c>
      <c r="AF983" s="25">
        <f>YEAR(Tabela1[[#This Row],[Criado em]])</f>
        <v>2026</v>
      </c>
      <c r="AG983" s="25">
        <f>COUNTIFS(Tabela1[Mês],Tabela1[[#This Row],[Mês]])</f>
        <v>222</v>
      </c>
      <c r="AH983" s="25">
        <f>COUNTIFS(Tabela1[Mês],Tabela1[[#This Row],[Mês]],Tabela1[Fase atual],"Recebido")</f>
        <v>174</v>
      </c>
      <c r="AI983" s="26">
        <f>Tabela1[[#This Row],[Recebido_ Mes]]/Tabela1[[#This Row],[Total_Mes]]</f>
        <v>0.78378378378378377</v>
      </c>
      <c r="AJ983" s="19">
        <f>COUNTIFS(Tabela1[Fase atual],"Recebido",Tabela1[Mês],Tabela1[[#This Row],[Mês]],Tabela1[Ano],Tabela1[[#This Row],[Ano]])/COUNTIF(Tabela1[Mês],Tabela1[[#This Row],[Mês]])</f>
        <v>0.78378378378378377</v>
      </c>
      <c r="AK983" s="20">
        <f>100%</f>
        <v>1</v>
      </c>
    </row>
    <row r="984" spans="1:37" ht="18" customHeight="1" x14ac:dyDescent="0.25">
      <c r="A984">
        <v>1297181708</v>
      </c>
      <c r="B984" t="s">
        <v>421</v>
      </c>
      <c r="C984" t="s">
        <v>422</v>
      </c>
      <c r="D984" t="s">
        <v>40</v>
      </c>
      <c r="E984" t="s">
        <v>31</v>
      </c>
      <c r="F984" s="2">
        <v>46065.920544236113</v>
      </c>
      <c r="AC984" s="24">
        <f t="shared" ca="1" si="31"/>
        <v>68.079455763887381</v>
      </c>
      <c r="AD984" s="25" t="str">
        <f t="shared" ca="1" si="32"/>
        <v>&gt;60 dias</v>
      </c>
      <c r="AE984" s="25">
        <f>MONTH(Tabela1[[#This Row],[Criado em]])</f>
        <v>2</v>
      </c>
      <c r="AF984" s="25">
        <f>YEAR(Tabela1[[#This Row],[Criado em]])</f>
        <v>2026</v>
      </c>
      <c r="AG984" s="25">
        <f>COUNTIFS(Tabela1[Mês],Tabela1[[#This Row],[Mês]])</f>
        <v>197</v>
      </c>
      <c r="AH984" s="25">
        <f>COUNTIFS(Tabela1[Mês],Tabela1[[#This Row],[Mês]],Tabela1[Fase atual],"Recebido")</f>
        <v>124</v>
      </c>
      <c r="AI984" s="26">
        <f>Tabela1[[#This Row],[Recebido_ Mes]]/Tabela1[[#This Row],[Total_Mes]]</f>
        <v>0.62944162436548223</v>
      </c>
      <c r="AJ984" s="19">
        <f>COUNTIFS(Tabela1[Fase atual],"Recebido",Tabela1[Mês],Tabela1[[#This Row],[Mês]],Tabela1[Ano],Tabela1[[#This Row],[Ano]])/COUNTIF(Tabela1[Mês],Tabela1[[#This Row],[Mês]])</f>
        <v>0.62944162436548223</v>
      </c>
      <c r="AK984" s="20">
        <f>100%</f>
        <v>1</v>
      </c>
    </row>
    <row r="985" spans="1:37" ht="18" customHeight="1" x14ac:dyDescent="0.25">
      <c r="A985">
        <v>1294279536</v>
      </c>
      <c r="B985" t="s">
        <v>421</v>
      </c>
      <c r="C985" t="s">
        <v>423</v>
      </c>
      <c r="D985" t="s">
        <v>37</v>
      </c>
      <c r="E985" t="s">
        <v>31</v>
      </c>
      <c r="F985" s="2">
        <v>46059.567446284716</v>
      </c>
      <c r="AC985" s="24">
        <f t="shared" ca="1" si="31"/>
        <v>74.432553715283575</v>
      </c>
      <c r="AD985" s="25" t="str">
        <f t="shared" ca="1" si="32"/>
        <v>&gt;60 dias</v>
      </c>
      <c r="AE985" s="25">
        <f>MONTH(Tabela1[[#This Row],[Criado em]])</f>
        <v>2</v>
      </c>
      <c r="AF985" s="25">
        <f>YEAR(Tabela1[[#This Row],[Criado em]])</f>
        <v>2026</v>
      </c>
      <c r="AG985" s="25">
        <f>COUNTIFS(Tabela1[Mês],Tabela1[[#This Row],[Mês]])</f>
        <v>197</v>
      </c>
      <c r="AH985" s="25">
        <f>COUNTIFS(Tabela1[Mês],Tabela1[[#This Row],[Mês]],Tabela1[Fase atual],"Recebido")</f>
        <v>124</v>
      </c>
      <c r="AI985" s="26">
        <f>Tabela1[[#This Row],[Recebido_ Mes]]/Tabela1[[#This Row],[Total_Mes]]</f>
        <v>0.62944162436548223</v>
      </c>
      <c r="AJ985" s="19">
        <f>COUNTIFS(Tabela1[Fase atual],"Recebido",Tabela1[Mês],Tabela1[[#This Row],[Mês]],Tabela1[Ano],Tabela1[[#This Row],[Ano]])/COUNTIF(Tabela1[Mês],Tabela1[[#This Row],[Mês]])</f>
        <v>0.62944162436548223</v>
      </c>
      <c r="AK985" s="20">
        <f>100%</f>
        <v>1</v>
      </c>
    </row>
    <row r="986" spans="1:37" ht="18" customHeight="1" x14ac:dyDescent="0.25">
      <c r="A986">
        <v>1274487183</v>
      </c>
      <c r="B986" t="s">
        <v>1676</v>
      </c>
      <c r="C986" t="s">
        <v>1677</v>
      </c>
      <c r="D986" t="s">
        <v>37</v>
      </c>
      <c r="E986" t="s">
        <v>31</v>
      </c>
      <c r="F986" s="2">
        <v>46020.796347951393</v>
      </c>
      <c r="AC986" s="24">
        <f t="shared" ca="1" si="31"/>
        <v>113.20365204860718</v>
      </c>
      <c r="AD986" s="25" t="str">
        <f t="shared" ca="1" si="32"/>
        <v>&gt;60 dias</v>
      </c>
      <c r="AE986" s="25">
        <f>MONTH(Tabela1[[#This Row],[Criado em]])</f>
        <v>12</v>
      </c>
      <c r="AF986" s="25">
        <f>YEAR(Tabela1[[#This Row],[Criado em]])</f>
        <v>2025</v>
      </c>
      <c r="AG986" s="25">
        <f>COUNTIFS(Tabela1[Mês],Tabela1[[#This Row],[Mês]])</f>
        <v>207</v>
      </c>
      <c r="AH986" s="25">
        <f>COUNTIFS(Tabela1[Mês],Tabela1[[#This Row],[Mês]],Tabela1[Fase atual],"Recebido")</f>
        <v>155</v>
      </c>
      <c r="AI986" s="26">
        <f>Tabela1[[#This Row],[Recebido_ Mes]]/Tabela1[[#This Row],[Total_Mes]]</f>
        <v>0.74879227053140096</v>
      </c>
      <c r="AJ986" s="19">
        <f>COUNTIFS(Tabela1[Fase atual],"Recebido",Tabela1[Mês],Tabela1[[#This Row],[Mês]],Tabela1[Ano],Tabela1[[#This Row],[Ano]])/COUNTIF(Tabela1[Mês],Tabela1[[#This Row],[Mês]])</f>
        <v>0.74879227053140096</v>
      </c>
      <c r="AK986" s="20">
        <f>100%</f>
        <v>1</v>
      </c>
    </row>
    <row r="987" spans="1:37" ht="18" customHeight="1" x14ac:dyDescent="0.25">
      <c r="A987">
        <v>1267755310</v>
      </c>
      <c r="B987" t="s">
        <v>1678</v>
      </c>
      <c r="C987" t="s">
        <v>1679</v>
      </c>
      <c r="D987" t="s">
        <v>40</v>
      </c>
      <c r="E987" t="s">
        <v>31</v>
      </c>
      <c r="F987" s="2">
        <v>46003.829253043979</v>
      </c>
      <c r="AC987" s="24">
        <f t="shared" ca="1" si="31"/>
        <v>130.17074695602059</v>
      </c>
      <c r="AD987" s="25" t="str">
        <f t="shared" ca="1" si="32"/>
        <v>&gt;60 dias</v>
      </c>
      <c r="AE987" s="25">
        <f>MONTH(Tabela1[[#This Row],[Criado em]])</f>
        <v>12</v>
      </c>
      <c r="AF987" s="25">
        <f>YEAR(Tabela1[[#This Row],[Criado em]])</f>
        <v>2025</v>
      </c>
      <c r="AG987" s="25">
        <f>COUNTIFS(Tabela1[Mês],Tabela1[[#This Row],[Mês]])</f>
        <v>207</v>
      </c>
      <c r="AH987" s="25">
        <f>COUNTIFS(Tabela1[Mês],Tabela1[[#This Row],[Mês]],Tabela1[Fase atual],"Recebido")</f>
        <v>155</v>
      </c>
      <c r="AI987" s="26">
        <f>Tabela1[[#This Row],[Recebido_ Mes]]/Tabela1[[#This Row],[Total_Mes]]</f>
        <v>0.74879227053140096</v>
      </c>
      <c r="AJ987" s="19">
        <f>COUNTIFS(Tabela1[Fase atual],"Recebido",Tabela1[Mês],Tabela1[[#This Row],[Mês]],Tabela1[Ano],Tabela1[[#This Row],[Ano]])/COUNTIF(Tabela1[Mês],Tabela1[[#This Row],[Mês]])</f>
        <v>0.74879227053140096</v>
      </c>
      <c r="AK987" s="20">
        <f>100%</f>
        <v>1</v>
      </c>
    </row>
    <row r="988" spans="1:37" ht="18" customHeight="1" x14ac:dyDescent="0.25">
      <c r="A988">
        <v>1304130918</v>
      </c>
      <c r="B988" t="s">
        <v>424</v>
      </c>
      <c r="C988" t="s">
        <v>425</v>
      </c>
      <c r="D988" t="s">
        <v>40</v>
      </c>
      <c r="E988" t="s">
        <v>31</v>
      </c>
      <c r="F988" s="2">
        <v>46078.797660937496</v>
      </c>
      <c r="AC988" s="24">
        <f t="shared" ca="1" si="31"/>
        <v>55.202339062503597</v>
      </c>
      <c r="AD988" s="25" t="str">
        <f t="shared" ca="1" si="32"/>
        <v>31-60 dias</v>
      </c>
      <c r="AE988" s="25">
        <f>MONTH(Tabela1[[#This Row],[Criado em]])</f>
        <v>2</v>
      </c>
      <c r="AF988" s="25">
        <f>YEAR(Tabela1[[#This Row],[Criado em]])</f>
        <v>2026</v>
      </c>
      <c r="AG988" s="25">
        <f>COUNTIFS(Tabela1[Mês],Tabela1[[#This Row],[Mês]])</f>
        <v>197</v>
      </c>
      <c r="AH988" s="25">
        <f>COUNTIFS(Tabela1[Mês],Tabela1[[#This Row],[Mês]],Tabela1[Fase atual],"Recebido")</f>
        <v>124</v>
      </c>
      <c r="AI988" s="26">
        <f>Tabela1[[#This Row],[Recebido_ Mes]]/Tabela1[[#This Row],[Total_Mes]]</f>
        <v>0.62944162436548223</v>
      </c>
      <c r="AJ988" s="19">
        <f>COUNTIFS(Tabela1[Fase atual],"Recebido",Tabela1[Mês],Tabela1[[#This Row],[Mês]],Tabela1[Ano],Tabela1[[#This Row],[Ano]])/COUNTIF(Tabela1[Mês],Tabela1[[#This Row],[Mês]])</f>
        <v>0.62944162436548223</v>
      </c>
      <c r="AK988" s="20">
        <f>100%</f>
        <v>1</v>
      </c>
    </row>
    <row r="989" spans="1:37" ht="18" customHeight="1" x14ac:dyDescent="0.25">
      <c r="A989">
        <v>1286511676</v>
      </c>
      <c r="B989" t="s">
        <v>424</v>
      </c>
      <c r="C989" t="s">
        <v>425</v>
      </c>
      <c r="D989" t="s">
        <v>40</v>
      </c>
      <c r="E989" t="s">
        <v>31</v>
      </c>
      <c r="F989" s="2">
        <v>46045.629666689812</v>
      </c>
      <c r="AC989" s="24">
        <f t="shared" ca="1" si="31"/>
        <v>88.370333310187561</v>
      </c>
      <c r="AD989" s="25" t="str">
        <f t="shared" ca="1" si="32"/>
        <v>&gt;60 dias</v>
      </c>
      <c r="AE989" s="25">
        <f>MONTH(Tabela1[[#This Row],[Criado em]])</f>
        <v>1</v>
      </c>
      <c r="AF989" s="25">
        <f>YEAR(Tabela1[[#This Row],[Criado em]])</f>
        <v>2026</v>
      </c>
      <c r="AG989" s="25">
        <f>COUNTIFS(Tabela1[Mês],Tabela1[[#This Row],[Mês]])</f>
        <v>222</v>
      </c>
      <c r="AH989" s="25">
        <f>COUNTIFS(Tabela1[Mês],Tabela1[[#This Row],[Mês]],Tabela1[Fase atual],"Recebido")</f>
        <v>174</v>
      </c>
      <c r="AI989" s="26">
        <f>Tabela1[[#This Row],[Recebido_ Mes]]/Tabela1[[#This Row],[Total_Mes]]</f>
        <v>0.78378378378378377</v>
      </c>
      <c r="AJ989" s="19">
        <f>COUNTIFS(Tabela1[Fase atual],"Recebido",Tabela1[Mês],Tabela1[[#This Row],[Mês]],Tabela1[Ano],Tabela1[[#This Row],[Ano]])/COUNTIF(Tabela1[Mês],Tabela1[[#This Row],[Mês]])</f>
        <v>0.78378378378378377</v>
      </c>
      <c r="AK989" s="20">
        <f>100%</f>
        <v>1</v>
      </c>
    </row>
    <row r="990" spans="1:37" ht="18" customHeight="1" x14ac:dyDescent="0.25">
      <c r="A990">
        <v>1291113018</v>
      </c>
      <c r="B990" t="s">
        <v>426</v>
      </c>
      <c r="C990" t="s">
        <v>427</v>
      </c>
      <c r="D990" t="s">
        <v>37</v>
      </c>
      <c r="E990" t="s">
        <v>31</v>
      </c>
      <c r="F990" s="2">
        <v>46052.796422858803</v>
      </c>
      <c r="AC990" s="24">
        <f t="shared" ca="1" si="31"/>
        <v>81.203577141197457</v>
      </c>
      <c r="AD990" s="25" t="str">
        <f t="shared" ca="1" si="32"/>
        <v>&gt;60 dias</v>
      </c>
      <c r="AE990" s="25">
        <f>MONTH(Tabela1[[#This Row],[Criado em]])</f>
        <v>1</v>
      </c>
      <c r="AF990" s="25">
        <f>YEAR(Tabela1[[#This Row],[Criado em]])</f>
        <v>2026</v>
      </c>
      <c r="AG990" s="25">
        <f>COUNTIFS(Tabela1[Mês],Tabela1[[#This Row],[Mês]])</f>
        <v>222</v>
      </c>
      <c r="AH990" s="25">
        <f>COUNTIFS(Tabela1[Mês],Tabela1[[#This Row],[Mês]],Tabela1[Fase atual],"Recebido")</f>
        <v>174</v>
      </c>
      <c r="AI990" s="26">
        <f>Tabela1[[#This Row],[Recebido_ Mes]]/Tabela1[[#This Row],[Total_Mes]]</f>
        <v>0.78378378378378377</v>
      </c>
      <c r="AJ990" s="19">
        <f>COUNTIFS(Tabela1[Fase atual],"Recebido",Tabela1[Mês],Tabela1[[#This Row],[Mês]],Tabela1[Ano],Tabela1[[#This Row],[Ano]])/COUNTIF(Tabela1[Mês],Tabela1[[#This Row],[Mês]])</f>
        <v>0.78378378378378377</v>
      </c>
      <c r="AK990" s="20">
        <f>100%</f>
        <v>1</v>
      </c>
    </row>
    <row r="991" spans="1:37" ht="18" customHeight="1" x14ac:dyDescent="0.25">
      <c r="A991">
        <v>1179015856</v>
      </c>
      <c r="B991" t="s">
        <v>1680</v>
      </c>
      <c r="C991" t="s">
        <v>1681</v>
      </c>
      <c r="D991" t="s">
        <v>37</v>
      </c>
      <c r="E991" t="s">
        <v>31</v>
      </c>
      <c r="F991" s="2">
        <v>45856.851661770837</v>
      </c>
      <c r="AC991" s="24">
        <f t="shared" ca="1" si="31"/>
        <v>277.14833822916262</v>
      </c>
      <c r="AD991" s="25" t="str">
        <f t="shared" ca="1" si="32"/>
        <v>&gt;60 dias</v>
      </c>
      <c r="AE991" s="25">
        <f>MONTH(Tabela1[[#This Row],[Criado em]])</f>
        <v>7</v>
      </c>
      <c r="AF991" s="25">
        <f>YEAR(Tabela1[[#This Row],[Criado em]])</f>
        <v>2025</v>
      </c>
      <c r="AG991" s="25">
        <f>COUNTIFS(Tabela1[Mês],Tabela1[[#This Row],[Mês]])</f>
        <v>177</v>
      </c>
      <c r="AH991" s="25">
        <f>COUNTIFS(Tabela1[Mês],Tabela1[[#This Row],[Mês]],Tabela1[Fase atual],"Recebido")</f>
        <v>130</v>
      </c>
      <c r="AI991" s="26">
        <f>Tabela1[[#This Row],[Recebido_ Mes]]/Tabela1[[#This Row],[Total_Mes]]</f>
        <v>0.7344632768361582</v>
      </c>
      <c r="AJ991" s="19">
        <f>COUNTIFS(Tabela1[Fase atual],"Recebido",Tabela1[Mês],Tabela1[[#This Row],[Mês]],Tabela1[Ano],Tabela1[[#This Row],[Ano]])/COUNTIF(Tabela1[Mês],Tabela1[[#This Row],[Mês]])</f>
        <v>0.7344632768361582</v>
      </c>
      <c r="AK991" s="20">
        <f>100%</f>
        <v>1</v>
      </c>
    </row>
    <row r="992" spans="1:37" ht="18" customHeight="1" x14ac:dyDescent="0.25">
      <c r="A992">
        <v>1284620730</v>
      </c>
      <c r="B992" t="s">
        <v>428</v>
      </c>
      <c r="C992" t="s">
        <v>429</v>
      </c>
      <c r="D992" t="s">
        <v>37</v>
      </c>
      <c r="E992" t="s">
        <v>31</v>
      </c>
      <c r="F992" s="2">
        <v>46042.795390416657</v>
      </c>
      <c r="AC992" s="24">
        <f t="shared" ca="1" si="31"/>
        <v>91.204609583342972</v>
      </c>
      <c r="AD992" s="25" t="str">
        <f t="shared" ca="1" si="32"/>
        <v>&gt;60 dias</v>
      </c>
      <c r="AE992" s="25">
        <f>MONTH(Tabela1[[#This Row],[Criado em]])</f>
        <v>1</v>
      </c>
      <c r="AF992" s="25">
        <f>YEAR(Tabela1[[#This Row],[Criado em]])</f>
        <v>2026</v>
      </c>
      <c r="AG992" s="25">
        <f>COUNTIFS(Tabela1[Mês],Tabela1[[#This Row],[Mês]])</f>
        <v>222</v>
      </c>
      <c r="AH992" s="25">
        <f>COUNTIFS(Tabela1[Mês],Tabela1[[#This Row],[Mês]],Tabela1[Fase atual],"Recebido")</f>
        <v>174</v>
      </c>
      <c r="AI992" s="26">
        <f>Tabela1[[#This Row],[Recebido_ Mes]]/Tabela1[[#This Row],[Total_Mes]]</f>
        <v>0.78378378378378377</v>
      </c>
      <c r="AJ992" s="19">
        <f>COUNTIFS(Tabela1[Fase atual],"Recebido",Tabela1[Mês],Tabela1[[#This Row],[Mês]],Tabela1[Ano],Tabela1[[#This Row],[Ano]])/COUNTIF(Tabela1[Mês],Tabela1[[#This Row],[Mês]])</f>
        <v>0.78378378378378377</v>
      </c>
      <c r="AK992" s="20">
        <f>100%</f>
        <v>1</v>
      </c>
    </row>
    <row r="993" spans="1:37" ht="18" customHeight="1" x14ac:dyDescent="0.25">
      <c r="A993">
        <v>1237690764</v>
      </c>
      <c r="B993" t="s">
        <v>554</v>
      </c>
      <c r="C993" t="s">
        <v>1682</v>
      </c>
      <c r="D993" t="s">
        <v>37</v>
      </c>
      <c r="E993" t="s">
        <v>31</v>
      </c>
      <c r="F993" s="2">
        <v>45946.795816840277</v>
      </c>
      <c r="AC993" s="24">
        <f t="shared" ca="1" si="31"/>
        <v>187.20418315972347</v>
      </c>
      <c r="AD993" s="25" t="str">
        <f t="shared" ca="1" si="32"/>
        <v>&gt;60 dias</v>
      </c>
      <c r="AE993" s="25">
        <f>MONTH(Tabela1[[#This Row],[Criado em]])</f>
        <v>10</v>
      </c>
      <c r="AF993" s="25">
        <f>YEAR(Tabela1[[#This Row],[Criado em]])</f>
        <v>2025</v>
      </c>
      <c r="AG993" s="25">
        <f>COUNTIFS(Tabela1[Mês],Tabela1[[#This Row],[Mês]])</f>
        <v>196</v>
      </c>
      <c r="AH993" s="25">
        <f>COUNTIFS(Tabela1[Mês],Tabela1[[#This Row],[Mês]],Tabela1[Fase atual],"Recebido")</f>
        <v>138</v>
      </c>
      <c r="AI993" s="26">
        <f>Tabela1[[#This Row],[Recebido_ Mes]]/Tabela1[[#This Row],[Total_Mes]]</f>
        <v>0.70408163265306123</v>
      </c>
      <c r="AJ993" s="19">
        <f>COUNTIFS(Tabela1[Fase atual],"Recebido",Tabela1[Mês],Tabela1[[#This Row],[Mês]],Tabela1[Ano],Tabela1[[#This Row],[Ano]])/COUNTIF(Tabela1[Mês],Tabela1[[#This Row],[Mês]])</f>
        <v>0.70408163265306123</v>
      </c>
      <c r="AK993" s="20">
        <f>100%</f>
        <v>1</v>
      </c>
    </row>
    <row r="994" spans="1:37" ht="18" customHeight="1" x14ac:dyDescent="0.25">
      <c r="A994">
        <v>1240711391</v>
      </c>
      <c r="B994" t="s">
        <v>554</v>
      </c>
      <c r="C994" t="s">
        <v>1682</v>
      </c>
      <c r="D994" t="s">
        <v>784</v>
      </c>
      <c r="E994" t="s">
        <v>31</v>
      </c>
      <c r="F994" s="2">
        <v>45951.795639687502</v>
      </c>
      <c r="AC994" s="24">
        <f t="shared" ca="1" si="31"/>
        <v>182.20436031249847</v>
      </c>
      <c r="AD994" s="25" t="str">
        <f t="shared" ca="1" si="32"/>
        <v>&gt;60 dias</v>
      </c>
      <c r="AE994" s="25">
        <f>MONTH(Tabela1[[#This Row],[Criado em]])</f>
        <v>10</v>
      </c>
      <c r="AF994" s="25">
        <f>YEAR(Tabela1[[#This Row],[Criado em]])</f>
        <v>2025</v>
      </c>
      <c r="AG994" s="25">
        <f>COUNTIFS(Tabela1[Mês],Tabela1[[#This Row],[Mês]])</f>
        <v>196</v>
      </c>
      <c r="AH994" s="25">
        <f>COUNTIFS(Tabela1[Mês],Tabela1[[#This Row],[Mês]],Tabela1[Fase atual],"Recebido")</f>
        <v>138</v>
      </c>
      <c r="AI994" s="26">
        <f>Tabela1[[#This Row],[Recebido_ Mes]]/Tabela1[[#This Row],[Total_Mes]]</f>
        <v>0.70408163265306123</v>
      </c>
      <c r="AJ994" s="19">
        <f>COUNTIFS(Tabela1[Fase atual],"Recebido",Tabela1[Mês],Tabela1[[#This Row],[Mês]],Tabela1[Ano],Tabela1[[#This Row],[Ano]])/COUNTIF(Tabela1[Mês],Tabela1[[#This Row],[Mês]])</f>
        <v>0.70408163265306123</v>
      </c>
      <c r="AK994" s="20">
        <f>100%</f>
        <v>1</v>
      </c>
    </row>
    <row r="995" spans="1:37" ht="18" customHeight="1" x14ac:dyDescent="0.25">
      <c r="A995">
        <v>1238633104</v>
      </c>
      <c r="B995" t="s">
        <v>430</v>
      </c>
      <c r="C995" t="s">
        <v>1683</v>
      </c>
      <c r="D995" t="s">
        <v>37</v>
      </c>
      <c r="E995" t="s">
        <v>31</v>
      </c>
      <c r="F995" s="2">
        <v>45947.919491145833</v>
      </c>
      <c r="AC995" s="24">
        <f t="shared" ca="1" si="31"/>
        <v>186.08050885416742</v>
      </c>
      <c r="AD995" s="25" t="str">
        <f t="shared" ca="1" si="32"/>
        <v>&gt;60 dias</v>
      </c>
      <c r="AE995" s="25">
        <f>MONTH(Tabela1[[#This Row],[Criado em]])</f>
        <v>10</v>
      </c>
      <c r="AF995" s="25">
        <f>YEAR(Tabela1[[#This Row],[Criado em]])</f>
        <v>2025</v>
      </c>
      <c r="AG995" s="25">
        <f>COUNTIFS(Tabela1[Mês],Tabela1[[#This Row],[Mês]])</f>
        <v>196</v>
      </c>
      <c r="AH995" s="25">
        <f>COUNTIFS(Tabela1[Mês],Tabela1[[#This Row],[Mês]],Tabela1[Fase atual],"Recebido")</f>
        <v>138</v>
      </c>
      <c r="AI995" s="26">
        <f>Tabela1[[#This Row],[Recebido_ Mes]]/Tabela1[[#This Row],[Total_Mes]]</f>
        <v>0.70408163265306123</v>
      </c>
      <c r="AJ995" s="19">
        <f>COUNTIFS(Tabela1[Fase atual],"Recebido",Tabela1[Mês],Tabela1[[#This Row],[Mês]],Tabela1[Ano],Tabela1[[#This Row],[Ano]])/COUNTIF(Tabela1[Mês],Tabela1[[#This Row],[Mês]])</f>
        <v>0.70408163265306123</v>
      </c>
      <c r="AK995" s="20">
        <f>100%</f>
        <v>1</v>
      </c>
    </row>
    <row r="996" spans="1:37" ht="18" customHeight="1" x14ac:dyDescent="0.25">
      <c r="A996">
        <v>1300569869</v>
      </c>
      <c r="B996" t="s">
        <v>430</v>
      </c>
      <c r="C996" t="s">
        <v>431</v>
      </c>
      <c r="D996" t="s">
        <v>40</v>
      </c>
      <c r="E996" t="s">
        <v>31</v>
      </c>
      <c r="F996" s="2">
        <v>46073.920065995371</v>
      </c>
      <c r="AC996" s="24">
        <f t="shared" ca="1" si="31"/>
        <v>60.07993400462874</v>
      </c>
      <c r="AD996" s="25" t="str">
        <f t="shared" ca="1" si="32"/>
        <v>&gt;60 dias</v>
      </c>
      <c r="AE996" s="25">
        <f>MONTH(Tabela1[[#This Row],[Criado em]])</f>
        <v>2</v>
      </c>
      <c r="AF996" s="25">
        <f>YEAR(Tabela1[[#This Row],[Criado em]])</f>
        <v>2026</v>
      </c>
      <c r="AG996" s="25">
        <f>COUNTIFS(Tabela1[Mês],Tabela1[[#This Row],[Mês]])</f>
        <v>197</v>
      </c>
      <c r="AH996" s="25">
        <f>COUNTIFS(Tabela1[Mês],Tabela1[[#This Row],[Mês]],Tabela1[Fase atual],"Recebido")</f>
        <v>124</v>
      </c>
      <c r="AI996" s="26">
        <f>Tabela1[[#This Row],[Recebido_ Mes]]/Tabela1[[#This Row],[Total_Mes]]</f>
        <v>0.62944162436548223</v>
      </c>
      <c r="AJ996" s="19">
        <f>COUNTIFS(Tabela1[Fase atual],"Recebido",Tabela1[Mês],Tabela1[[#This Row],[Mês]],Tabela1[Ano],Tabela1[[#This Row],[Ano]])/COUNTIF(Tabela1[Mês],Tabela1[[#This Row],[Mês]])</f>
        <v>0.62944162436548223</v>
      </c>
      <c r="AK996" s="20">
        <f>100%</f>
        <v>1</v>
      </c>
    </row>
    <row r="997" spans="1:37" ht="18" customHeight="1" x14ac:dyDescent="0.25">
      <c r="A997">
        <v>1186998984</v>
      </c>
      <c r="B997" t="s">
        <v>298</v>
      </c>
      <c r="C997" t="s">
        <v>1684</v>
      </c>
      <c r="D997" t="s">
        <v>37</v>
      </c>
      <c r="E997" t="s">
        <v>31</v>
      </c>
      <c r="F997" s="2">
        <v>45870.642335034718</v>
      </c>
      <c r="AC997" s="24">
        <f t="shared" ca="1" si="31"/>
        <v>263.35766496528231</v>
      </c>
      <c r="AD997" s="25" t="str">
        <f t="shared" ca="1" si="32"/>
        <v>&gt;60 dias</v>
      </c>
      <c r="AE997" s="25">
        <f>MONTH(Tabela1[[#This Row],[Criado em]])</f>
        <v>8</v>
      </c>
      <c r="AF997" s="25">
        <f>YEAR(Tabela1[[#This Row],[Criado em]])</f>
        <v>2025</v>
      </c>
      <c r="AG997" s="25">
        <f>COUNTIFS(Tabela1[Mês],Tabela1[[#This Row],[Mês]])</f>
        <v>146</v>
      </c>
      <c r="AH997" s="25">
        <f>COUNTIFS(Tabela1[Mês],Tabela1[[#This Row],[Mês]],Tabela1[Fase atual],"Recebido")</f>
        <v>115</v>
      </c>
      <c r="AI997" s="26">
        <f>Tabela1[[#This Row],[Recebido_ Mes]]/Tabela1[[#This Row],[Total_Mes]]</f>
        <v>0.78767123287671237</v>
      </c>
      <c r="AJ997" s="19">
        <f>COUNTIFS(Tabela1[Fase atual],"Recebido",Tabela1[Mês],Tabela1[[#This Row],[Mês]],Tabela1[Ano],Tabela1[[#This Row],[Ano]])/COUNTIF(Tabela1[Mês],Tabela1[[#This Row],[Mês]])</f>
        <v>0.78767123287671237</v>
      </c>
      <c r="AK997" s="20">
        <f>100%</f>
        <v>1</v>
      </c>
    </row>
    <row r="998" spans="1:37" ht="18" customHeight="1" x14ac:dyDescent="0.25">
      <c r="A998">
        <v>1309289621</v>
      </c>
      <c r="B998" t="s">
        <v>2252</v>
      </c>
      <c r="C998" t="s">
        <v>2253</v>
      </c>
      <c r="D998" t="s">
        <v>2179</v>
      </c>
      <c r="E998" t="s">
        <v>31</v>
      </c>
      <c r="F998" s="2">
        <v>46085.796320543981</v>
      </c>
      <c r="AC998" s="24">
        <f t="shared" ca="1" si="31"/>
        <v>48.203679456019017</v>
      </c>
      <c r="AD998" s="25" t="str">
        <f t="shared" ca="1" si="32"/>
        <v>31-60 dias</v>
      </c>
      <c r="AE998" s="25">
        <f>MONTH(Tabela1[[#This Row],[Criado em]])</f>
        <v>3</v>
      </c>
      <c r="AF998" s="25">
        <f>YEAR(Tabela1[[#This Row],[Criado em]])</f>
        <v>2026</v>
      </c>
      <c r="AG998" s="25">
        <f>COUNTIFS(Tabela1[Mês],Tabela1[[#This Row],[Mês]])</f>
        <v>62</v>
      </c>
      <c r="AH998" s="25">
        <f>COUNTIFS(Tabela1[Mês],Tabela1[[#This Row],[Mês]],Tabela1[Fase atual],"Recebido")</f>
        <v>13</v>
      </c>
      <c r="AI998" s="26">
        <f>Tabela1[[#This Row],[Recebido_ Mes]]/Tabela1[[#This Row],[Total_Mes]]</f>
        <v>0.20967741935483872</v>
      </c>
      <c r="AJ998" s="19">
        <f>COUNTIFS(Tabela1[Fase atual],"Recebido",Tabela1[Mês],Tabela1[[#This Row],[Mês]],Tabela1[Ano],Tabela1[[#This Row],[Ano]])/COUNTIF(Tabela1[Mês],Tabela1[[#This Row],[Mês]])</f>
        <v>0.20967741935483872</v>
      </c>
      <c r="AK998" s="20">
        <f>100%</f>
        <v>1</v>
      </c>
    </row>
    <row r="999" spans="1:37" ht="18" customHeight="1" x14ac:dyDescent="0.25">
      <c r="A999">
        <v>1303236708</v>
      </c>
      <c r="B999" t="s">
        <v>432</v>
      </c>
      <c r="C999" t="s">
        <v>433</v>
      </c>
      <c r="D999" t="s">
        <v>37</v>
      </c>
      <c r="E999" t="s">
        <v>31</v>
      </c>
      <c r="F999" s="2">
        <v>46077.795198506938</v>
      </c>
      <c r="AC999" s="24">
        <f t="shared" ca="1" si="31"/>
        <v>56.204801493062405</v>
      </c>
      <c r="AD999" s="25" t="str">
        <f t="shared" ca="1" si="32"/>
        <v>31-60 dias</v>
      </c>
      <c r="AE999" s="25">
        <f>MONTH(Tabela1[[#This Row],[Criado em]])</f>
        <v>2</v>
      </c>
      <c r="AF999" s="25">
        <f>YEAR(Tabela1[[#This Row],[Criado em]])</f>
        <v>2026</v>
      </c>
      <c r="AG999" s="25">
        <f>COUNTIFS(Tabela1[Mês],Tabela1[[#This Row],[Mês]])</f>
        <v>197</v>
      </c>
      <c r="AH999" s="25">
        <f>COUNTIFS(Tabela1[Mês],Tabela1[[#This Row],[Mês]],Tabela1[Fase atual],"Recebido")</f>
        <v>124</v>
      </c>
      <c r="AI999" s="26">
        <f>Tabela1[[#This Row],[Recebido_ Mes]]/Tabela1[[#This Row],[Total_Mes]]</f>
        <v>0.62944162436548223</v>
      </c>
      <c r="AJ999" s="19">
        <f>COUNTIFS(Tabela1[Fase atual],"Recebido",Tabela1[Mês],Tabela1[[#This Row],[Mês]],Tabela1[Ano],Tabela1[[#This Row],[Ano]])/COUNTIF(Tabela1[Mês],Tabela1[[#This Row],[Mês]])</f>
        <v>0.62944162436548223</v>
      </c>
      <c r="AK999" s="20">
        <f>100%</f>
        <v>1</v>
      </c>
    </row>
    <row r="1000" spans="1:37" ht="18" customHeight="1" x14ac:dyDescent="0.25">
      <c r="A1000">
        <v>1296528306</v>
      </c>
      <c r="B1000" t="s">
        <v>434</v>
      </c>
      <c r="C1000" t="s">
        <v>435</v>
      </c>
      <c r="D1000" t="s">
        <v>40</v>
      </c>
      <c r="E1000" t="s">
        <v>31</v>
      </c>
      <c r="F1000" s="2">
        <v>46064.796099675928</v>
      </c>
      <c r="AC1000" s="24">
        <f t="shared" ca="1" si="31"/>
        <v>69.203900324071583</v>
      </c>
      <c r="AD1000" s="25" t="str">
        <f t="shared" ca="1" si="32"/>
        <v>&gt;60 dias</v>
      </c>
      <c r="AE1000" s="25">
        <f>MONTH(Tabela1[[#This Row],[Criado em]])</f>
        <v>2</v>
      </c>
      <c r="AF1000" s="25">
        <f>YEAR(Tabela1[[#This Row],[Criado em]])</f>
        <v>2026</v>
      </c>
      <c r="AG1000" s="25">
        <f>COUNTIFS(Tabela1[Mês],Tabela1[[#This Row],[Mês]])</f>
        <v>197</v>
      </c>
      <c r="AH1000" s="25">
        <f>COUNTIFS(Tabela1[Mês],Tabela1[[#This Row],[Mês]],Tabela1[Fase atual],"Recebido")</f>
        <v>124</v>
      </c>
      <c r="AI1000" s="26">
        <f>Tabela1[[#This Row],[Recebido_ Mes]]/Tabela1[[#This Row],[Total_Mes]]</f>
        <v>0.62944162436548223</v>
      </c>
      <c r="AJ1000" s="19">
        <f>COUNTIFS(Tabela1[Fase atual],"Recebido",Tabela1[Mês],Tabela1[[#This Row],[Mês]],Tabela1[Ano],Tabela1[[#This Row],[Ano]])/COUNTIF(Tabela1[Mês],Tabela1[[#This Row],[Mês]])</f>
        <v>0.62944162436548223</v>
      </c>
      <c r="AK1000" s="20">
        <f>100%</f>
        <v>1</v>
      </c>
    </row>
    <row r="1001" spans="1:37" ht="18" customHeight="1" x14ac:dyDescent="0.25">
      <c r="A1001">
        <v>1300427968</v>
      </c>
      <c r="B1001" t="s">
        <v>434</v>
      </c>
      <c r="C1001" t="s">
        <v>435</v>
      </c>
      <c r="D1001" t="s">
        <v>40</v>
      </c>
      <c r="E1001" t="s">
        <v>31</v>
      </c>
      <c r="F1001" s="2">
        <v>46073.796638796302</v>
      </c>
      <c r="AC1001" s="24">
        <f t="shared" ca="1" si="31"/>
        <v>60.203361203697568</v>
      </c>
      <c r="AD1001" s="25" t="str">
        <f t="shared" ca="1" si="32"/>
        <v>&gt;60 dias</v>
      </c>
      <c r="AE1001" s="25">
        <f>MONTH(Tabela1[[#This Row],[Criado em]])</f>
        <v>2</v>
      </c>
      <c r="AF1001" s="25">
        <f>YEAR(Tabela1[[#This Row],[Criado em]])</f>
        <v>2026</v>
      </c>
      <c r="AG1001" s="25">
        <f>COUNTIFS(Tabela1[Mês],Tabela1[[#This Row],[Mês]])</f>
        <v>197</v>
      </c>
      <c r="AH1001" s="25">
        <f>COUNTIFS(Tabela1[Mês],Tabela1[[#This Row],[Mês]],Tabela1[Fase atual],"Recebido")</f>
        <v>124</v>
      </c>
      <c r="AI1001" s="26">
        <f>Tabela1[[#This Row],[Recebido_ Mes]]/Tabela1[[#This Row],[Total_Mes]]</f>
        <v>0.62944162436548223</v>
      </c>
      <c r="AJ1001" s="19">
        <f>COUNTIFS(Tabela1[Fase atual],"Recebido",Tabela1[Mês],Tabela1[[#This Row],[Mês]],Tabela1[Ano],Tabela1[[#This Row],[Ano]])/COUNTIF(Tabela1[Mês],Tabela1[[#This Row],[Mês]])</f>
        <v>0.62944162436548223</v>
      </c>
      <c r="AK1001" s="20">
        <f>100%</f>
        <v>1</v>
      </c>
    </row>
    <row r="1002" spans="1:37" ht="18" customHeight="1" x14ac:dyDescent="0.25">
      <c r="A1002">
        <v>1207654680</v>
      </c>
      <c r="B1002" t="s">
        <v>1685</v>
      </c>
      <c r="C1002" t="s">
        <v>1686</v>
      </c>
      <c r="D1002" t="s">
        <v>37</v>
      </c>
      <c r="E1002" t="s">
        <v>31</v>
      </c>
      <c r="F1002" s="2">
        <v>45903.850243865752</v>
      </c>
      <c r="AC1002" s="24">
        <f t="shared" ca="1" si="31"/>
        <v>230.14975613424758</v>
      </c>
      <c r="AD1002" s="25" t="str">
        <f t="shared" ca="1" si="32"/>
        <v>&gt;60 dias</v>
      </c>
      <c r="AE1002" s="25">
        <f>MONTH(Tabela1[[#This Row],[Criado em]])</f>
        <v>9</v>
      </c>
      <c r="AF1002" s="25">
        <f>YEAR(Tabela1[[#This Row],[Criado em]])</f>
        <v>2025</v>
      </c>
      <c r="AG1002" s="25">
        <f>COUNTIFS(Tabela1[Mês],Tabela1[[#This Row],[Mês]])</f>
        <v>197</v>
      </c>
      <c r="AH1002" s="25">
        <f>COUNTIFS(Tabela1[Mês],Tabela1[[#This Row],[Mês]],Tabela1[Fase atual],"Recebido")</f>
        <v>152</v>
      </c>
      <c r="AI1002" s="26">
        <f>Tabela1[[#This Row],[Recebido_ Mes]]/Tabela1[[#This Row],[Total_Mes]]</f>
        <v>0.77157360406091369</v>
      </c>
      <c r="AJ1002" s="19">
        <f>COUNTIFS(Tabela1[Fase atual],"Recebido",Tabela1[Mês],Tabela1[[#This Row],[Mês]],Tabela1[Ano],Tabela1[[#This Row],[Ano]])/COUNTIF(Tabela1[Mês],Tabela1[[#This Row],[Mês]])</f>
        <v>0.77157360406091369</v>
      </c>
      <c r="AK1002" s="20">
        <f>100%</f>
        <v>1</v>
      </c>
    </row>
    <row r="1003" spans="1:37" ht="18" customHeight="1" x14ac:dyDescent="0.25">
      <c r="A1003">
        <v>1235451437</v>
      </c>
      <c r="B1003" t="s">
        <v>1687</v>
      </c>
      <c r="C1003" t="s">
        <v>1688</v>
      </c>
      <c r="D1003" t="s">
        <v>37</v>
      </c>
      <c r="E1003" t="s">
        <v>31</v>
      </c>
      <c r="F1003" s="2">
        <v>45944.795116250003</v>
      </c>
      <c r="AC1003" s="24">
        <f t="shared" ca="1" si="31"/>
        <v>189.20488374999695</v>
      </c>
      <c r="AD1003" s="25" t="str">
        <f t="shared" ca="1" si="32"/>
        <v>&gt;60 dias</v>
      </c>
      <c r="AE1003" s="25">
        <f>MONTH(Tabela1[[#This Row],[Criado em]])</f>
        <v>10</v>
      </c>
      <c r="AF1003" s="25">
        <f>YEAR(Tabela1[[#This Row],[Criado em]])</f>
        <v>2025</v>
      </c>
      <c r="AG1003" s="25">
        <f>COUNTIFS(Tabela1[Mês],Tabela1[[#This Row],[Mês]])</f>
        <v>196</v>
      </c>
      <c r="AH1003" s="25">
        <f>COUNTIFS(Tabela1[Mês],Tabela1[[#This Row],[Mês]],Tabela1[Fase atual],"Recebido")</f>
        <v>138</v>
      </c>
      <c r="AI1003" s="26">
        <f>Tabela1[[#This Row],[Recebido_ Mes]]/Tabela1[[#This Row],[Total_Mes]]</f>
        <v>0.70408163265306123</v>
      </c>
      <c r="AJ1003" s="19">
        <f>COUNTIFS(Tabela1[Fase atual],"Recebido",Tabela1[Mês],Tabela1[[#This Row],[Mês]],Tabela1[Ano],Tabela1[[#This Row],[Ano]])/COUNTIF(Tabela1[Mês],Tabela1[[#This Row],[Mês]])</f>
        <v>0.70408163265306123</v>
      </c>
      <c r="AK1003" s="20">
        <f>100%</f>
        <v>1</v>
      </c>
    </row>
    <row r="1004" spans="1:37" ht="18" customHeight="1" x14ac:dyDescent="0.25">
      <c r="A1004">
        <v>1174283299</v>
      </c>
      <c r="B1004" t="s">
        <v>1689</v>
      </c>
      <c r="C1004" t="s">
        <v>1690</v>
      </c>
      <c r="D1004" t="s">
        <v>37</v>
      </c>
      <c r="E1004" t="s">
        <v>31</v>
      </c>
      <c r="F1004" s="2">
        <v>45848.851534421286</v>
      </c>
      <c r="AC1004" s="24">
        <f t="shared" ca="1" si="31"/>
        <v>285.14846557871351</v>
      </c>
      <c r="AD1004" s="25" t="str">
        <f t="shared" ca="1" si="32"/>
        <v>&gt;60 dias</v>
      </c>
      <c r="AE1004" s="25">
        <f>MONTH(Tabela1[[#This Row],[Criado em]])</f>
        <v>7</v>
      </c>
      <c r="AF1004" s="25">
        <f>YEAR(Tabela1[[#This Row],[Criado em]])</f>
        <v>2025</v>
      </c>
      <c r="AG1004" s="25">
        <f>COUNTIFS(Tabela1[Mês],Tabela1[[#This Row],[Mês]])</f>
        <v>177</v>
      </c>
      <c r="AH1004" s="25">
        <f>COUNTIFS(Tabela1[Mês],Tabela1[[#This Row],[Mês]],Tabela1[Fase atual],"Recebido")</f>
        <v>130</v>
      </c>
      <c r="AI1004" s="26">
        <f>Tabela1[[#This Row],[Recebido_ Mes]]/Tabela1[[#This Row],[Total_Mes]]</f>
        <v>0.7344632768361582</v>
      </c>
      <c r="AJ1004" s="19">
        <f>COUNTIFS(Tabela1[Fase atual],"Recebido",Tabela1[Mês],Tabela1[[#This Row],[Mês]],Tabela1[Ano],Tabela1[[#This Row],[Ano]])/COUNTIF(Tabela1[Mês],Tabela1[[#This Row],[Mês]])</f>
        <v>0.7344632768361582</v>
      </c>
      <c r="AK1004" s="20">
        <f>100%</f>
        <v>1</v>
      </c>
    </row>
    <row r="1005" spans="1:37" ht="18" customHeight="1" x14ac:dyDescent="0.25">
      <c r="A1005">
        <v>1176236201</v>
      </c>
      <c r="B1005" t="s">
        <v>1691</v>
      </c>
      <c r="C1005" t="s">
        <v>1692</v>
      </c>
      <c r="D1005" t="s">
        <v>784</v>
      </c>
      <c r="E1005" t="s">
        <v>31</v>
      </c>
      <c r="F1005" s="2">
        <v>45852.851761631937</v>
      </c>
      <c r="AC1005" s="24">
        <f t="shared" ca="1" si="31"/>
        <v>281.14823836806318</v>
      </c>
      <c r="AD1005" s="25" t="str">
        <f t="shared" ca="1" si="32"/>
        <v>&gt;60 dias</v>
      </c>
      <c r="AE1005" s="25">
        <f>MONTH(Tabela1[[#This Row],[Criado em]])</f>
        <v>7</v>
      </c>
      <c r="AF1005" s="25">
        <f>YEAR(Tabela1[[#This Row],[Criado em]])</f>
        <v>2025</v>
      </c>
      <c r="AG1005" s="25">
        <f>COUNTIFS(Tabela1[Mês],Tabela1[[#This Row],[Mês]])</f>
        <v>177</v>
      </c>
      <c r="AH1005" s="25">
        <f>COUNTIFS(Tabela1[Mês],Tabela1[[#This Row],[Mês]],Tabela1[Fase atual],"Recebido")</f>
        <v>130</v>
      </c>
      <c r="AI1005" s="26">
        <f>Tabela1[[#This Row],[Recebido_ Mes]]/Tabela1[[#This Row],[Total_Mes]]</f>
        <v>0.7344632768361582</v>
      </c>
      <c r="AJ1005" s="19">
        <f>COUNTIFS(Tabela1[Fase atual],"Recebido",Tabela1[Mês],Tabela1[[#This Row],[Mês]],Tabela1[Ano],Tabela1[[#This Row],[Ano]])/COUNTIF(Tabela1[Mês],Tabela1[[#This Row],[Mês]])</f>
        <v>0.7344632768361582</v>
      </c>
      <c r="AK1005" s="20">
        <f>100%</f>
        <v>1</v>
      </c>
    </row>
    <row r="1006" spans="1:37" ht="18" customHeight="1" x14ac:dyDescent="0.25">
      <c r="A1006">
        <v>1290342244</v>
      </c>
      <c r="B1006" t="s">
        <v>436</v>
      </c>
      <c r="C1006" t="s">
        <v>437</v>
      </c>
      <c r="D1006" t="s">
        <v>37</v>
      </c>
      <c r="E1006" t="s">
        <v>31</v>
      </c>
      <c r="F1006" s="2">
        <v>46051.628169606483</v>
      </c>
      <c r="AC1006" s="24">
        <f t="shared" ca="1" si="31"/>
        <v>82.371830393516575</v>
      </c>
      <c r="AD1006" s="25" t="str">
        <f t="shared" ca="1" si="32"/>
        <v>&gt;60 dias</v>
      </c>
      <c r="AE1006" s="25">
        <f>MONTH(Tabela1[[#This Row],[Criado em]])</f>
        <v>1</v>
      </c>
      <c r="AF1006" s="25">
        <f>YEAR(Tabela1[[#This Row],[Criado em]])</f>
        <v>2026</v>
      </c>
      <c r="AG1006" s="25">
        <f>COUNTIFS(Tabela1[Mês],Tabela1[[#This Row],[Mês]])</f>
        <v>222</v>
      </c>
      <c r="AH1006" s="25">
        <f>COUNTIFS(Tabela1[Mês],Tabela1[[#This Row],[Mês]],Tabela1[Fase atual],"Recebido")</f>
        <v>174</v>
      </c>
      <c r="AI1006" s="26">
        <f>Tabela1[[#This Row],[Recebido_ Mes]]/Tabela1[[#This Row],[Total_Mes]]</f>
        <v>0.78378378378378377</v>
      </c>
      <c r="AJ1006" s="19">
        <f>COUNTIFS(Tabela1[Fase atual],"Recebido",Tabela1[Mês],Tabela1[[#This Row],[Mês]],Tabela1[Ano],Tabela1[[#This Row],[Ano]])/COUNTIF(Tabela1[Mês],Tabela1[[#This Row],[Mês]])</f>
        <v>0.78378378378378377</v>
      </c>
      <c r="AK1006" s="20">
        <f>100%</f>
        <v>1</v>
      </c>
    </row>
    <row r="1007" spans="1:37" ht="18" customHeight="1" x14ac:dyDescent="0.25">
      <c r="A1007">
        <v>1304612757</v>
      </c>
      <c r="B1007" t="s">
        <v>694</v>
      </c>
      <c r="C1007" t="s">
        <v>695</v>
      </c>
      <c r="D1007" t="s">
        <v>2179</v>
      </c>
      <c r="E1007" t="s">
        <v>31</v>
      </c>
      <c r="F1007" s="2">
        <v>46079.629767361112</v>
      </c>
      <c r="AC1007" s="24">
        <f t="shared" ca="1" si="31"/>
        <v>54.37023263888841</v>
      </c>
      <c r="AD1007" s="25" t="str">
        <f t="shared" ca="1" si="32"/>
        <v>31-60 dias</v>
      </c>
      <c r="AE1007" s="25">
        <f>MONTH(Tabela1[[#This Row],[Criado em]])</f>
        <v>2</v>
      </c>
      <c r="AF1007" s="25">
        <f>YEAR(Tabela1[[#This Row],[Criado em]])</f>
        <v>2026</v>
      </c>
      <c r="AG1007" s="25">
        <f>COUNTIFS(Tabela1[Mês],Tabela1[[#This Row],[Mês]])</f>
        <v>197</v>
      </c>
      <c r="AH1007" s="25">
        <f>COUNTIFS(Tabela1[Mês],Tabela1[[#This Row],[Mês]],Tabela1[Fase atual],"Recebido")</f>
        <v>124</v>
      </c>
      <c r="AI1007" s="26">
        <f>Tabela1[[#This Row],[Recebido_ Mes]]/Tabela1[[#This Row],[Total_Mes]]</f>
        <v>0.62944162436548223</v>
      </c>
      <c r="AJ1007" s="19">
        <f>COUNTIFS(Tabela1[Fase atual],"Recebido",Tabela1[Mês],Tabela1[[#This Row],[Mês]],Tabela1[Ano],Tabela1[[#This Row],[Ano]])/COUNTIF(Tabela1[Mês],Tabela1[[#This Row],[Mês]])</f>
        <v>0.62944162436548223</v>
      </c>
      <c r="AK1007" s="20">
        <f>100%</f>
        <v>1</v>
      </c>
    </row>
    <row r="1008" spans="1:37" ht="18" customHeight="1" x14ac:dyDescent="0.25">
      <c r="A1008">
        <v>1198548109</v>
      </c>
      <c r="B1008" t="s">
        <v>800</v>
      </c>
      <c r="C1008" t="s">
        <v>1693</v>
      </c>
      <c r="D1008" t="s">
        <v>37</v>
      </c>
      <c r="E1008" t="s">
        <v>31</v>
      </c>
      <c r="F1008" s="2">
        <v>45889.562514062512</v>
      </c>
      <c r="AC1008" s="24">
        <f t="shared" ca="1" si="31"/>
        <v>244.43748593748751</v>
      </c>
      <c r="AD1008" s="25" t="str">
        <f t="shared" ca="1" si="32"/>
        <v>&gt;60 dias</v>
      </c>
      <c r="AE1008" s="25">
        <f>MONTH(Tabela1[[#This Row],[Criado em]])</f>
        <v>8</v>
      </c>
      <c r="AF1008" s="25">
        <f>YEAR(Tabela1[[#This Row],[Criado em]])</f>
        <v>2025</v>
      </c>
      <c r="AG1008" s="25">
        <f>COUNTIFS(Tabela1[Mês],Tabela1[[#This Row],[Mês]])</f>
        <v>146</v>
      </c>
      <c r="AH1008" s="25">
        <f>COUNTIFS(Tabela1[Mês],Tabela1[[#This Row],[Mês]],Tabela1[Fase atual],"Recebido")</f>
        <v>115</v>
      </c>
      <c r="AI1008" s="26">
        <f>Tabela1[[#This Row],[Recebido_ Mes]]/Tabela1[[#This Row],[Total_Mes]]</f>
        <v>0.78767123287671237</v>
      </c>
      <c r="AJ1008" s="19">
        <f>COUNTIFS(Tabela1[Fase atual],"Recebido",Tabela1[Mês],Tabela1[[#This Row],[Mês]],Tabela1[Ano],Tabela1[[#This Row],[Ano]])/COUNTIF(Tabela1[Mês],Tabela1[[#This Row],[Mês]])</f>
        <v>0.78767123287671237</v>
      </c>
      <c r="AK1008" s="20">
        <f>100%</f>
        <v>1</v>
      </c>
    </row>
    <row r="1009" spans="1:37" ht="18" customHeight="1" x14ac:dyDescent="0.25">
      <c r="A1009">
        <v>1261161041</v>
      </c>
      <c r="B1009" t="s">
        <v>1694</v>
      </c>
      <c r="C1009" t="s">
        <v>1695</v>
      </c>
      <c r="D1009" t="s">
        <v>40</v>
      </c>
      <c r="E1009" t="s">
        <v>31</v>
      </c>
      <c r="F1009" s="2">
        <v>45989.918994259257</v>
      </c>
      <c r="AC1009" s="24">
        <f t="shared" ca="1" si="31"/>
        <v>144.08100574074342</v>
      </c>
      <c r="AD1009" s="25" t="str">
        <f t="shared" ca="1" si="32"/>
        <v>&gt;60 dias</v>
      </c>
      <c r="AE1009" s="25">
        <f>MONTH(Tabela1[[#This Row],[Criado em]])</f>
        <v>11</v>
      </c>
      <c r="AF1009" s="25">
        <f>YEAR(Tabela1[[#This Row],[Criado em]])</f>
        <v>2025</v>
      </c>
      <c r="AG1009" s="25">
        <f>COUNTIFS(Tabela1[Mês],Tabela1[[#This Row],[Mês]])</f>
        <v>130</v>
      </c>
      <c r="AH1009" s="25">
        <f>COUNTIFS(Tabela1[Mês],Tabela1[[#This Row],[Mês]],Tabela1[Fase atual],"Recebido")</f>
        <v>100</v>
      </c>
      <c r="AI1009" s="26">
        <f>Tabela1[[#This Row],[Recebido_ Mes]]/Tabela1[[#This Row],[Total_Mes]]</f>
        <v>0.76923076923076927</v>
      </c>
      <c r="AJ1009" s="19">
        <f>COUNTIFS(Tabela1[Fase atual],"Recebido",Tabela1[Mês],Tabela1[[#This Row],[Mês]],Tabela1[Ano],Tabela1[[#This Row],[Ano]])/COUNTIF(Tabela1[Mês],Tabela1[[#This Row],[Mês]])</f>
        <v>0.76923076923076927</v>
      </c>
      <c r="AK1009" s="20">
        <f>100%</f>
        <v>1</v>
      </c>
    </row>
    <row r="1010" spans="1:37" ht="18" customHeight="1" x14ac:dyDescent="0.25">
      <c r="A1010">
        <v>1249873528</v>
      </c>
      <c r="B1010" t="s">
        <v>1696</v>
      </c>
      <c r="C1010" t="s">
        <v>1697</v>
      </c>
      <c r="D1010" t="s">
        <v>37</v>
      </c>
      <c r="E1010" t="s">
        <v>31</v>
      </c>
      <c r="F1010" s="2">
        <v>45965.919786388877</v>
      </c>
      <c r="AC1010" s="24">
        <f t="shared" ca="1" si="31"/>
        <v>168.08021361112333</v>
      </c>
      <c r="AD1010" s="25" t="str">
        <f t="shared" ca="1" si="32"/>
        <v>&gt;60 dias</v>
      </c>
      <c r="AE1010" s="25">
        <f>MONTH(Tabela1[[#This Row],[Criado em]])</f>
        <v>11</v>
      </c>
      <c r="AF1010" s="25">
        <f>YEAR(Tabela1[[#This Row],[Criado em]])</f>
        <v>2025</v>
      </c>
      <c r="AG1010" s="25">
        <f>COUNTIFS(Tabela1[Mês],Tabela1[[#This Row],[Mês]])</f>
        <v>130</v>
      </c>
      <c r="AH1010" s="25">
        <f>COUNTIFS(Tabela1[Mês],Tabela1[[#This Row],[Mês]],Tabela1[Fase atual],"Recebido")</f>
        <v>100</v>
      </c>
      <c r="AI1010" s="26">
        <f>Tabela1[[#This Row],[Recebido_ Mes]]/Tabela1[[#This Row],[Total_Mes]]</f>
        <v>0.76923076923076927</v>
      </c>
      <c r="AJ1010" s="19">
        <f>COUNTIFS(Tabela1[Fase atual],"Recebido",Tabela1[Mês],Tabela1[[#This Row],[Mês]],Tabela1[Ano],Tabela1[[#This Row],[Ano]])/COUNTIF(Tabela1[Mês],Tabela1[[#This Row],[Mês]])</f>
        <v>0.76923076923076927</v>
      </c>
      <c r="AK1010" s="20">
        <f>100%</f>
        <v>1</v>
      </c>
    </row>
    <row r="1011" spans="1:37" ht="18" customHeight="1" x14ac:dyDescent="0.25">
      <c r="A1011">
        <v>1238504710</v>
      </c>
      <c r="B1011" t="s">
        <v>1698</v>
      </c>
      <c r="C1011" t="s">
        <v>1699</v>
      </c>
      <c r="D1011" t="s">
        <v>784</v>
      </c>
      <c r="E1011" t="s">
        <v>31</v>
      </c>
      <c r="F1011" s="2">
        <v>45947.795560856481</v>
      </c>
      <c r="AC1011" s="24">
        <f t="shared" ca="1" si="31"/>
        <v>186.20443914351927</v>
      </c>
      <c r="AD1011" s="25" t="str">
        <f t="shared" ca="1" si="32"/>
        <v>&gt;60 dias</v>
      </c>
      <c r="AE1011" s="25">
        <f>MONTH(Tabela1[[#This Row],[Criado em]])</f>
        <v>10</v>
      </c>
      <c r="AF1011" s="25">
        <f>YEAR(Tabela1[[#This Row],[Criado em]])</f>
        <v>2025</v>
      </c>
      <c r="AG1011" s="25">
        <f>COUNTIFS(Tabela1[Mês],Tabela1[[#This Row],[Mês]])</f>
        <v>196</v>
      </c>
      <c r="AH1011" s="25">
        <f>COUNTIFS(Tabela1[Mês],Tabela1[[#This Row],[Mês]],Tabela1[Fase atual],"Recebido")</f>
        <v>138</v>
      </c>
      <c r="AI1011" s="26">
        <f>Tabela1[[#This Row],[Recebido_ Mes]]/Tabela1[[#This Row],[Total_Mes]]</f>
        <v>0.70408163265306123</v>
      </c>
      <c r="AJ1011" s="19">
        <f>COUNTIFS(Tabela1[Fase atual],"Recebido",Tabela1[Mês],Tabela1[[#This Row],[Mês]],Tabela1[Ano],Tabela1[[#This Row],[Ano]])/COUNTIF(Tabela1[Mês],Tabela1[[#This Row],[Mês]])</f>
        <v>0.70408163265306123</v>
      </c>
      <c r="AK1011" s="20">
        <f>100%</f>
        <v>1</v>
      </c>
    </row>
    <row r="1012" spans="1:37" ht="18" customHeight="1" x14ac:dyDescent="0.25">
      <c r="A1012">
        <v>1309289692</v>
      </c>
      <c r="B1012" t="s">
        <v>87</v>
      </c>
      <c r="C1012" t="s">
        <v>438</v>
      </c>
      <c r="D1012" t="s">
        <v>37</v>
      </c>
      <c r="E1012" t="s">
        <v>31</v>
      </c>
      <c r="F1012" s="2">
        <v>46085.79638216435</v>
      </c>
      <c r="AC1012" s="24">
        <f t="shared" ca="1" si="31"/>
        <v>48.203617835650221</v>
      </c>
      <c r="AD1012" s="25" t="str">
        <f t="shared" ca="1" si="32"/>
        <v>31-60 dias</v>
      </c>
      <c r="AE1012" s="25">
        <f>MONTH(Tabela1[[#This Row],[Criado em]])</f>
        <v>3</v>
      </c>
      <c r="AF1012" s="25">
        <f>YEAR(Tabela1[[#This Row],[Criado em]])</f>
        <v>2026</v>
      </c>
      <c r="AG1012" s="25">
        <f>COUNTIFS(Tabela1[Mês],Tabela1[[#This Row],[Mês]])</f>
        <v>62</v>
      </c>
      <c r="AH1012" s="25">
        <f>COUNTIFS(Tabela1[Mês],Tabela1[[#This Row],[Mês]],Tabela1[Fase atual],"Recebido")</f>
        <v>13</v>
      </c>
      <c r="AI1012" s="26">
        <f>Tabela1[[#This Row],[Recebido_ Mes]]/Tabela1[[#This Row],[Total_Mes]]</f>
        <v>0.20967741935483872</v>
      </c>
      <c r="AJ1012" s="19">
        <f>COUNTIFS(Tabela1[Fase atual],"Recebido",Tabela1[Mês],Tabela1[[#This Row],[Mês]],Tabela1[Ano],Tabela1[[#This Row],[Ano]])/COUNTIF(Tabela1[Mês],Tabela1[[#This Row],[Mês]])</f>
        <v>0.20967741935483872</v>
      </c>
      <c r="AK1012" s="20">
        <f>100%</f>
        <v>1</v>
      </c>
    </row>
    <row r="1013" spans="1:37" ht="18" customHeight="1" x14ac:dyDescent="0.25">
      <c r="A1013">
        <v>1302469017</v>
      </c>
      <c r="B1013" t="s">
        <v>87</v>
      </c>
      <c r="C1013" t="s">
        <v>438</v>
      </c>
      <c r="D1013" t="s">
        <v>37</v>
      </c>
      <c r="E1013" t="s">
        <v>31</v>
      </c>
      <c r="F1013" s="2">
        <v>46077.493102233799</v>
      </c>
      <c r="AC1013" s="24">
        <f t="shared" ca="1" si="31"/>
        <v>56.506897766201291</v>
      </c>
      <c r="AD1013" s="25" t="str">
        <f t="shared" ca="1" si="32"/>
        <v>31-60 dias</v>
      </c>
      <c r="AE1013" s="25">
        <f>MONTH(Tabela1[[#This Row],[Criado em]])</f>
        <v>2</v>
      </c>
      <c r="AF1013" s="25">
        <f>YEAR(Tabela1[[#This Row],[Criado em]])</f>
        <v>2026</v>
      </c>
      <c r="AG1013" s="25">
        <f>COUNTIFS(Tabela1[Mês],Tabela1[[#This Row],[Mês]])</f>
        <v>197</v>
      </c>
      <c r="AH1013" s="25">
        <f>COUNTIFS(Tabela1[Mês],Tabela1[[#This Row],[Mês]],Tabela1[Fase atual],"Recebido")</f>
        <v>124</v>
      </c>
      <c r="AI1013" s="26">
        <f>Tabela1[[#This Row],[Recebido_ Mes]]/Tabela1[[#This Row],[Total_Mes]]</f>
        <v>0.62944162436548223</v>
      </c>
      <c r="AJ1013" s="19">
        <f>COUNTIFS(Tabela1[Fase atual],"Recebido",Tabela1[Mês],Tabela1[[#This Row],[Mês]],Tabela1[Ano],Tabela1[[#This Row],[Ano]])/COUNTIF(Tabela1[Mês],Tabela1[[#This Row],[Mês]])</f>
        <v>0.62944162436548223</v>
      </c>
      <c r="AK1013" s="20">
        <f>100%</f>
        <v>1</v>
      </c>
    </row>
    <row r="1014" spans="1:37" ht="18" customHeight="1" x14ac:dyDescent="0.25">
      <c r="A1014">
        <v>1303829096</v>
      </c>
      <c r="B1014" t="s">
        <v>87</v>
      </c>
      <c r="C1014" t="s">
        <v>439</v>
      </c>
      <c r="D1014" t="s">
        <v>37</v>
      </c>
      <c r="E1014" t="s">
        <v>31</v>
      </c>
      <c r="F1014" s="2">
        <v>46078.557035532409</v>
      </c>
      <c r="AC1014" s="24">
        <f t="shared" ca="1" si="31"/>
        <v>55.442964467591082</v>
      </c>
      <c r="AD1014" s="25" t="str">
        <f t="shared" ca="1" si="32"/>
        <v>31-60 dias</v>
      </c>
      <c r="AE1014" s="25">
        <f>MONTH(Tabela1[[#This Row],[Criado em]])</f>
        <v>2</v>
      </c>
      <c r="AF1014" s="25">
        <f>YEAR(Tabela1[[#This Row],[Criado em]])</f>
        <v>2026</v>
      </c>
      <c r="AG1014" s="25">
        <f>COUNTIFS(Tabela1[Mês],Tabela1[[#This Row],[Mês]])</f>
        <v>197</v>
      </c>
      <c r="AH1014" s="25">
        <f>COUNTIFS(Tabela1[Mês],Tabela1[[#This Row],[Mês]],Tabela1[Fase atual],"Recebido")</f>
        <v>124</v>
      </c>
      <c r="AI1014" s="26">
        <f>Tabela1[[#This Row],[Recebido_ Mes]]/Tabela1[[#This Row],[Total_Mes]]</f>
        <v>0.62944162436548223</v>
      </c>
      <c r="AJ1014" s="19">
        <f>COUNTIFS(Tabela1[Fase atual],"Recebido",Tabela1[Mês],Tabela1[[#This Row],[Mês]],Tabela1[Ano],Tabela1[[#This Row],[Ano]])/COUNTIF(Tabela1[Mês],Tabela1[[#This Row],[Mês]])</f>
        <v>0.62944162436548223</v>
      </c>
      <c r="AK1014" s="20">
        <f>100%</f>
        <v>1</v>
      </c>
    </row>
    <row r="1015" spans="1:37" ht="18" customHeight="1" x14ac:dyDescent="0.25">
      <c r="A1015">
        <v>1231180120</v>
      </c>
      <c r="B1015" t="s">
        <v>87</v>
      </c>
      <c r="C1015" t="s">
        <v>1700</v>
      </c>
      <c r="D1015" t="s">
        <v>37</v>
      </c>
      <c r="E1015" t="s">
        <v>31</v>
      </c>
      <c r="F1015" s="2">
        <v>45939.644181898148</v>
      </c>
      <c r="AC1015" s="24">
        <f t="shared" ca="1" si="31"/>
        <v>194.35581810185249</v>
      </c>
      <c r="AD1015" s="25" t="str">
        <f t="shared" ca="1" si="32"/>
        <v>&gt;60 dias</v>
      </c>
      <c r="AE1015" s="25">
        <f>MONTH(Tabela1[[#This Row],[Criado em]])</f>
        <v>10</v>
      </c>
      <c r="AF1015" s="25">
        <f>YEAR(Tabela1[[#This Row],[Criado em]])</f>
        <v>2025</v>
      </c>
      <c r="AG1015" s="25">
        <f>COUNTIFS(Tabela1[Mês],Tabela1[[#This Row],[Mês]])</f>
        <v>196</v>
      </c>
      <c r="AH1015" s="25">
        <f>COUNTIFS(Tabela1[Mês],Tabela1[[#This Row],[Mês]],Tabela1[Fase atual],"Recebido")</f>
        <v>138</v>
      </c>
      <c r="AI1015" s="26">
        <f>Tabela1[[#This Row],[Recebido_ Mes]]/Tabela1[[#This Row],[Total_Mes]]</f>
        <v>0.70408163265306123</v>
      </c>
      <c r="AJ1015" s="19">
        <f>COUNTIFS(Tabela1[Fase atual],"Recebido",Tabela1[Mês],Tabela1[[#This Row],[Mês]],Tabela1[Ano],Tabela1[[#This Row],[Ano]])/COUNTIF(Tabela1[Mês],Tabela1[[#This Row],[Mês]])</f>
        <v>0.70408163265306123</v>
      </c>
      <c r="AK1015" s="20">
        <f>100%</f>
        <v>1</v>
      </c>
    </row>
    <row r="1016" spans="1:37" ht="18" customHeight="1" x14ac:dyDescent="0.25">
      <c r="A1016">
        <v>1252598921</v>
      </c>
      <c r="B1016" t="s">
        <v>87</v>
      </c>
      <c r="C1016" t="s">
        <v>1700</v>
      </c>
      <c r="D1016" t="s">
        <v>37</v>
      </c>
      <c r="E1016" t="s">
        <v>31</v>
      </c>
      <c r="F1016" s="2">
        <v>45971.500992754627</v>
      </c>
      <c r="AC1016" s="24">
        <f t="shared" ca="1" si="31"/>
        <v>162.49900724537292</v>
      </c>
      <c r="AD1016" s="25" t="str">
        <f t="shared" ca="1" si="32"/>
        <v>&gt;60 dias</v>
      </c>
      <c r="AE1016" s="25">
        <f>MONTH(Tabela1[[#This Row],[Criado em]])</f>
        <v>11</v>
      </c>
      <c r="AF1016" s="25">
        <f>YEAR(Tabela1[[#This Row],[Criado em]])</f>
        <v>2025</v>
      </c>
      <c r="AG1016" s="25">
        <f>COUNTIFS(Tabela1[Mês],Tabela1[[#This Row],[Mês]])</f>
        <v>130</v>
      </c>
      <c r="AH1016" s="25">
        <f>COUNTIFS(Tabela1[Mês],Tabela1[[#This Row],[Mês]],Tabela1[Fase atual],"Recebido")</f>
        <v>100</v>
      </c>
      <c r="AI1016" s="26">
        <f>Tabela1[[#This Row],[Recebido_ Mes]]/Tabela1[[#This Row],[Total_Mes]]</f>
        <v>0.76923076923076927</v>
      </c>
      <c r="AJ1016" s="19">
        <f>COUNTIFS(Tabela1[Fase atual],"Recebido",Tabela1[Mês],Tabela1[[#This Row],[Mês]],Tabela1[Ano],Tabela1[[#This Row],[Ano]])/COUNTIF(Tabela1[Mês],Tabela1[[#This Row],[Mês]])</f>
        <v>0.76923076923076927</v>
      </c>
      <c r="AK1016" s="20">
        <f>100%</f>
        <v>1</v>
      </c>
    </row>
    <row r="1017" spans="1:37" ht="18" customHeight="1" x14ac:dyDescent="0.25">
      <c r="A1017">
        <v>1256407617</v>
      </c>
      <c r="B1017" t="s">
        <v>87</v>
      </c>
      <c r="C1017" t="s">
        <v>1701</v>
      </c>
      <c r="D1017" t="s">
        <v>202</v>
      </c>
      <c r="E1017" t="s">
        <v>31</v>
      </c>
      <c r="F1017" s="2">
        <v>45979.744208275457</v>
      </c>
      <c r="AC1017" s="24">
        <f t="shared" ca="1" si="31"/>
        <v>154.25579172454309</v>
      </c>
      <c r="AD1017" s="25" t="str">
        <f t="shared" ca="1" si="32"/>
        <v>&gt;60 dias</v>
      </c>
      <c r="AE1017" s="25">
        <f>MONTH(Tabela1[[#This Row],[Criado em]])</f>
        <v>11</v>
      </c>
      <c r="AF1017" s="25">
        <f>YEAR(Tabela1[[#This Row],[Criado em]])</f>
        <v>2025</v>
      </c>
      <c r="AG1017" s="25">
        <f>COUNTIFS(Tabela1[Mês],Tabela1[[#This Row],[Mês]])</f>
        <v>130</v>
      </c>
      <c r="AH1017" s="25">
        <f>COUNTIFS(Tabela1[Mês],Tabela1[[#This Row],[Mês]],Tabela1[Fase atual],"Recebido")</f>
        <v>100</v>
      </c>
      <c r="AI1017" s="26">
        <f>Tabela1[[#This Row],[Recebido_ Mes]]/Tabela1[[#This Row],[Total_Mes]]</f>
        <v>0.76923076923076927</v>
      </c>
      <c r="AJ1017" s="19">
        <f>COUNTIFS(Tabela1[Fase atual],"Recebido",Tabela1[Mês],Tabela1[[#This Row],[Mês]],Tabela1[Ano],Tabela1[[#This Row],[Ano]])/COUNTIF(Tabela1[Mês],Tabela1[[#This Row],[Mês]])</f>
        <v>0.76923076923076927</v>
      </c>
      <c r="AK1017" s="20">
        <f>100%</f>
        <v>1</v>
      </c>
    </row>
    <row r="1018" spans="1:37" ht="18" customHeight="1" x14ac:dyDescent="0.25">
      <c r="A1018">
        <v>1278932354</v>
      </c>
      <c r="B1018" t="s">
        <v>87</v>
      </c>
      <c r="C1018" t="s">
        <v>440</v>
      </c>
      <c r="D1018" t="s">
        <v>37</v>
      </c>
      <c r="E1018" t="s">
        <v>441</v>
      </c>
      <c r="F1018" s="2">
        <v>46030.746984467587</v>
      </c>
      <c r="AC1018" s="24">
        <f t="shared" ca="1" si="31"/>
        <v>103.25301553241297</v>
      </c>
      <c r="AD1018" s="25" t="str">
        <f t="shared" ca="1" si="32"/>
        <v>&gt;60 dias</v>
      </c>
      <c r="AE1018" s="25">
        <f>MONTH(Tabela1[[#This Row],[Criado em]])</f>
        <v>1</v>
      </c>
      <c r="AF1018" s="25">
        <f>YEAR(Tabela1[[#This Row],[Criado em]])</f>
        <v>2026</v>
      </c>
      <c r="AG1018" s="25">
        <f>COUNTIFS(Tabela1[Mês],Tabela1[[#This Row],[Mês]])</f>
        <v>222</v>
      </c>
      <c r="AH1018" s="25">
        <f>COUNTIFS(Tabela1[Mês],Tabela1[[#This Row],[Mês]],Tabela1[Fase atual],"Recebido")</f>
        <v>174</v>
      </c>
      <c r="AI1018" s="26">
        <f>Tabela1[[#This Row],[Recebido_ Mes]]/Tabela1[[#This Row],[Total_Mes]]</f>
        <v>0.78378378378378377</v>
      </c>
      <c r="AJ1018" s="19">
        <f>COUNTIFS(Tabela1[Fase atual],"Recebido",Tabela1[Mês],Tabela1[[#This Row],[Mês]],Tabela1[Ano],Tabela1[[#This Row],[Ano]])/COUNTIF(Tabela1[Mês],Tabela1[[#This Row],[Mês]])</f>
        <v>0.78378378378378377</v>
      </c>
      <c r="AK1018" s="20">
        <f>100%</f>
        <v>1</v>
      </c>
    </row>
    <row r="1019" spans="1:37" ht="18" customHeight="1" x14ac:dyDescent="0.25">
      <c r="A1019">
        <v>1279390726</v>
      </c>
      <c r="B1019" t="s">
        <v>442</v>
      </c>
      <c r="C1019" t="s">
        <v>443</v>
      </c>
      <c r="D1019" t="s">
        <v>37</v>
      </c>
      <c r="E1019" t="s">
        <v>31</v>
      </c>
      <c r="F1019" s="2">
        <v>46031.571614884262</v>
      </c>
      <c r="AC1019" s="24">
        <f t="shared" ca="1" si="31"/>
        <v>102.42838511573791</v>
      </c>
      <c r="AD1019" s="25" t="str">
        <f t="shared" ca="1" si="32"/>
        <v>&gt;60 dias</v>
      </c>
      <c r="AE1019" s="25">
        <f>MONTH(Tabela1[[#This Row],[Criado em]])</f>
        <v>1</v>
      </c>
      <c r="AF1019" s="25">
        <f>YEAR(Tabela1[[#This Row],[Criado em]])</f>
        <v>2026</v>
      </c>
      <c r="AG1019" s="25">
        <f>COUNTIFS(Tabela1[Mês],Tabela1[[#This Row],[Mês]])</f>
        <v>222</v>
      </c>
      <c r="AH1019" s="25">
        <f>COUNTIFS(Tabela1[Mês],Tabela1[[#This Row],[Mês]],Tabela1[Fase atual],"Recebido")</f>
        <v>174</v>
      </c>
      <c r="AI1019" s="26">
        <f>Tabela1[[#This Row],[Recebido_ Mes]]/Tabela1[[#This Row],[Total_Mes]]</f>
        <v>0.78378378378378377</v>
      </c>
      <c r="AJ1019" s="19">
        <f>COUNTIFS(Tabela1[Fase atual],"Recebido",Tabela1[Mês],Tabela1[[#This Row],[Mês]],Tabela1[Ano],Tabela1[[#This Row],[Ano]])/COUNTIF(Tabela1[Mês],Tabela1[[#This Row],[Mês]])</f>
        <v>0.78378378378378377</v>
      </c>
      <c r="AK1019" s="20">
        <f>100%</f>
        <v>1</v>
      </c>
    </row>
    <row r="1020" spans="1:37" ht="18" customHeight="1" x14ac:dyDescent="0.25">
      <c r="A1020">
        <v>1193960110</v>
      </c>
      <c r="B1020" t="s">
        <v>442</v>
      </c>
      <c r="C1020" t="s">
        <v>1702</v>
      </c>
      <c r="D1020" t="s">
        <v>37</v>
      </c>
      <c r="E1020" t="s">
        <v>31</v>
      </c>
      <c r="F1020" s="2">
        <v>45881.850758460649</v>
      </c>
      <c r="AC1020" s="24">
        <f t="shared" ca="1" si="31"/>
        <v>252.14924153935135</v>
      </c>
      <c r="AD1020" s="25" t="str">
        <f t="shared" ca="1" si="32"/>
        <v>&gt;60 dias</v>
      </c>
      <c r="AE1020" s="25">
        <f>MONTH(Tabela1[[#This Row],[Criado em]])</f>
        <v>8</v>
      </c>
      <c r="AF1020" s="25">
        <f>YEAR(Tabela1[[#This Row],[Criado em]])</f>
        <v>2025</v>
      </c>
      <c r="AG1020" s="25">
        <f>COUNTIFS(Tabela1[Mês],Tabela1[[#This Row],[Mês]])</f>
        <v>146</v>
      </c>
      <c r="AH1020" s="25">
        <f>COUNTIFS(Tabela1[Mês],Tabela1[[#This Row],[Mês]],Tabela1[Fase atual],"Recebido")</f>
        <v>115</v>
      </c>
      <c r="AI1020" s="26">
        <f>Tabela1[[#This Row],[Recebido_ Mes]]/Tabela1[[#This Row],[Total_Mes]]</f>
        <v>0.78767123287671237</v>
      </c>
      <c r="AJ1020" s="19">
        <f>COUNTIFS(Tabela1[Fase atual],"Recebido",Tabela1[Mês],Tabela1[[#This Row],[Mês]],Tabela1[Ano],Tabela1[[#This Row],[Ano]])/COUNTIF(Tabela1[Mês],Tabela1[[#This Row],[Mês]])</f>
        <v>0.78767123287671237</v>
      </c>
      <c r="AK1020" s="20">
        <f>100%</f>
        <v>1</v>
      </c>
    </row>
    <row r="1021" spans="1:37" ht="18" customHeight="1" x14ac:dyDescent="0.25">
      <c r="A1021">
        <v>1258627951</v>
      </c>
      <c r="B1021" t="s">
        <v>442</v>
      </c>
      <c r="C1021" t="s">
        <v>1703</v>
      </c>
      <c r="D1021" t="s">
        <v>37</v>
      </c>
      <c r="E1021" t="s">
        <v>31</v>
      </c>
      <c r="F1021" s="2">
        <v>45985.598236331018</v>
      </c>
      <c r="AC1021" s="24">
        <f t="shared" ca="1" si="31"/>
        <v>148.40176366898231</v>
      </c>
      <c r="AD1021" s="25" t="str">
        <f t="shared" ca="1" si="32"/>
        <v>&gt;60 dias</v>
      </c>
      <c r="AE1021" s="25">
        <f>MONTH(Tabela1[[#This Row],[Criado em]])</f>
        <v>11</v>
      </c>
      <c r="AF1021" s="25">
        <f>YEAR(Tabela1[[#This Row],[Criado em]])</f>
        <v>2025</v>
      </c>
      <c r="AG1021" s="25">
        <f>COUNTIFS(Tabela1[Mês],Tabela1[[#This Row],[Mês]])</f>
        <v>130</v>
      </c>
      <c r="AH1021" s="25">
        <f>COUNTIFS(Tabela1[Mês],Tabela1[[#This Row],[Mês]],Tabela1[Fase atual],"Recebido")</f>
        <v>100</v>
      </c>
      <c r="AI1021" s="26">
        <f>Tabela1[[#This Row],[Recebido_ Mes]]/Tabela1[[#This Row],[Total_Mes]]</f>
        <v>0.76923076923076927</v>
      </c>
      <c r="AJ1021" s="19">
        <f>COUNTIFS(Tabela1[Fase atual],"Recebido",Tabela1[Mês],Tabela1[[#This Row],[Mês]],Tabela1[Ano],Tabela1[[#This Row],[Ano]])/COUNTIF(Tabela1[Mês],Tabela1[[#This Row],[Mês]])</f>
        <v>0.76923076923076927</v>
      </c>
      <c r="AK1021" s="20">
        <f>100%</f>
        <v>1</v>
      </c>
    </row>
    <row r="1022" spans="1:37" ht="18" customHeight="1" x14ac:dyDescent="0.25">
      <c r="A1022">
        <v>1296102136</v>
      </c>
      <c r="B1022" t="s">
        <v>444</v>
      </c>
      <c r="C1022" t="s">
        <v>445</v>
      </c>
      <c r="D1022" t="s">
        <v>37</v>
      </c>
      <c r="E1022" t="s">
        <v>31</v>
      </c>
      <c r="F1022" s="2">
        <v>46063.918971493047</v>
      </c>
      <c r="AC1022" s="24">
        <f t="shared" ca="1" si="31"/>
        <v>70.081028506952862</v>
      </c>
      <c r="AD1022" s="25" t="str">
        <f t="shared" ca="1" si="32"/>
        <v>&gt;60 dias</v>
      </c>
      <c r="AE1022" s="25">
        <f>MONTH(Tabela1[[#This Row],[Criado em]])</f>
        <v>2</v>
      </c>
      <c r="AF1022" s="25">
        <f>YEAR(Tabela1[[#This Row],[Criado em]])</f>
        <v>2026</v>
      </c>
      <c r="AG1022" s="25">
        <f>COUNTIFS(Tabela1[Mês],Tabela1[[#This Row],[Mês]])</f>
        <v>197</v>
      </c>
      <c r="AH1022" s="25">
        <f>COUNTIFS(Tabela1[Mês],Tabela1[[#This Row],[Mês]],Tabela1[Fase atual],"Recebido")</f>
        <v>124</v>
      </c>
      <c r="AI1022" s="26">
        <f>Tabela1[[#This Row],[Recebido_ Mes]]/Tabela1[[#This Row],[Total_Mes]]</f>
        <v>0.62944162436548223</v>
      </c>
      <c r="AJ1022" s="19">
        <f>COUNTIFS(Tabela1[Fase atual],"Recebido",Tabela1[Mês],Tabela1[[#This Row],[Mês]],Tabela1[Ano],Tabela1[[#This Row],[Ano]])/COUNTIF(Tabela1[Mês],Tabela1[[#This Row],[Mês]])</f>
        <v>0.62944162436548223</v>
      </c>
      <c r="AK1022" s="20">
        <f>100%</f>
        <v>1</v>
      </c>
    </row>
    <row r="1023" spans="1:37" ht="18" customHeight="1" x14ac:dyDescent="0.25">
      <c r="A1023">
        <v>1304259137</v>
      </c>
      <c r="B1023" t="s">
        <v>444</v>
      </c>
      <c r="C1023" t="s">
        <v>445</v>
      </c>
      <c r="D1023" t="s">
        <v>37</v>
      </c>
      <c r="E1023" t="s">
        <v>31</v>
      </c>
      <c r="F1023" s="2">
        <v>46078.921797893519</v>
      </c>
      <c r="AC1023" s="24">
        <f t="shared" ca="1" si="31"/>
        <v>55.078202106480603</v>
      </c>
      <c r="AD1023" s="25" t="str">
        <f t="shared" ca="1" si="32"/>
        <v>31-60 dias</v>
      </c>
      <c r="AE1023" s="25">
        <f>MONTH(Tabela1[[#This Row],[Criado em]])</f>
        <v>2</v>
      </c>
      <c r="AF1023" s="25">
        <f>YEAR(Tabela1[[#This Row],[Criado em]])</f>
        <v>2026</v>
      </c>
      <c r="AG1023" s="25">
        <f>COUNTIFS(Tabela1[Mês],Tabela1[[#This Row],[Mês]])</f>
        <v>197</v>
      </c>
      <c r="AH1023" s="25">
        <f>COUNTIFS(Tabela1[Mês],Tabela1[[#This Row],[Mês]],Tabela1[Fase atual],"Recebido")</f>
        <v>124</v>
      </c>
      <c r="AI1023" s="26">
        <f>Tabela1[[#This Row],[Recebido_ Mes]]/Tabela1[[#This Row],[Total_Mes]]</f>
        <v>0.62944162436548223</v>
      </c>
      <c r="AJ1023" s="19">
        <f>COUNTIFS(Tabela1[Fase atual],"Recebido",Tabela1[Mês],Tabela1[[#This Row],[Mês]],Tabela1[Ano],Tabela1[[#This Row],[Ano]])/COUNTIF(Tabela1[Mês],Tabela1[[#This Row],[Mês]])</f>
        <v>0.62944162436548223</v>
      </c>
      <c r="AK1023" s="20">
        <f>100%</f>
        <v>1</v>
      </c>
    </row>
    <row r="1024" spans="1:37" ht="18" customHeight="1" x14ac:dyDescent="0.25">
      <c r="A1024">
        <v>1303240355</v>
      </c>
      <c r="B1024" t="s">
        <v>446</v>
      </c>
      <c r="C1024" t="s">
        <v>447</v>
      </c>
      <c r="D1024" t="s">
        <v>37</v>
      </c>
      <c r="E1024" t="s">
        <v>31</v>
      </c>
      <c r="F1024" s="2">
        <v>46077.796064085647</v>
      </c>
      <c r="AC1024" s="24">
        <f t="shared" ca="1" si="31"/>
        <v>56.203935914352769</v>
      </c>
      <c r="AD1024" s="25" t="str">
        <f t="shared" ca="1" si="32"/>
        <v>31-60 dias</v>
      </c>
      <c r="AE1024" s="25">
        <f>MONTH(Tabela1[[#This Row],[Criado em]])</f>
        <v>2</v>
      </c>
      <c r="AF1024" s="25">
        <f>YEAR(Tabela1[[#This Row],[Criado em]])</f>
        <v>2026</v>
      </c>
      <c r="AG1024" s="25">
        <f>COUNTIFS(Tabela1[Mês],Tabela1[[#This Row],[Mês]])</f>
        <v>197</v>
      </c>
      <c r="AH1024" s="25">
        <f>COUNTIFS(Tabela1[Mês],Tabela1[[#This Row],[Mês]],Tabela1[Fase atual],"Recebido")</f>
        <v>124</v>
      </c>
      <c r="AI1024" s="26">
        <f>Tabela1[[#This Row],[Recebido_ Mes]]/Tabela1[[#This Row],[Total_Mes]]</f>
        <v>0.62944162436548223</v>
      </c>
      <c r="AJ1024" s="19">
        <f>COUNTIFS(Tabela1[Fase atual],"Recebido",Tabela1[Mês],Tabela1[[#This Row],[Mês]],Tabela1[Ano],Tabela1[[#This Row],[Ano]])/COUNTIF(Tabela1[Mês],Tabela1[[#This Row],[Mês]])</f>
        <v>0.62944162436548223</v>
      </c>
      <c r="AK1024" s="20">
        <f>100%</f>
        <v>1</v>
      </c>
    </row>
    <row r="1025" spans="1:37" ht="18" customHeight="1" x14ac:dyDescent="0.25">
      <c r="A1025">
        <v>1210588115</v>
      </c>
      <c r="B1025" t="s">
        <v>1704</v>
      </c>
      <c r="C1025" t="s">
        <v>1705</v>
      </c>
      <c r="D1025" t="s">
        <v>34</v>
      </c>
      <c r="E1025" t="s">
        <v>31</v>
      </c>
      <c r="F1025" s="2">
        <v>45908.907501030088</v>
      </c>
      <c r="AC1025" s="24">
        <f t="shared" ca="1" si="31"/>
        <v>225.09249896991241</v>
      </c>
      <c r="AD1025" s="25" t="str">
        <f t="shared" ca="1" si="32"/>
        <v>&gt;60 dias</v>
      </c>
      <c r="AE1025" s="25">
        <f>MONTH(Tabela1[[#This Row],[Criado em]])</f>
        <v>9</v>
      </c>
      <c r="AF1025" s="25">
        <f>YEAR(Tabela1[[#This Row],[Criado em]])</f>
        <v>2025</v>
      </c>
      <c r="AG1025" s="25">
        <f>COUNTIFS(Tabela1[Mês],Tabela1[[#This Row],[Mês]])</f>
        <v>197</v>
      </c>
      <c r="AH1025" s="25">
        <f>COUNTIFS(Tabela1[Mês],Tabela1[[#This Row],[Mês]],Tabela1[Fase atual],"Recebido")</f>
        <v>152</v>
      </c>
      <c r="AI1025" s="26">
        <f>Tabela1[[#This Row],[Recebido_ Mes]]/Tabela1[[#This Row],[Total_Mes]]</f>
        <v>0.77157360406091369</v>
      </c>
      <c r="AJ1025" s="19">
        <f>COUNTIFS(Tabela1[Fase atual],"Recebido",Tabela1[Mês],Tabela1[[#This Row],[Mês]],Tabela1[Ano],Tabela1[[#This Row],[Ano]])/COUNTIF(Tabela1[Mês],Tabela1[[#This Row],[Mês]])</f>
        <v>0.77157360406091369</v>
      </c>
      <c r="AK1025" s="20">
        <f>100%</f>
        <v>1</v>
      </c>
    </row>
    <row r="1026" spans="1:37" ht="18" customHeight="1" x14ac:dyDescent="0.25">
      <c r="A1026">
        <v>1248230347</v>
      </c>
      <c r="B1026" t="s">
        <v>1704</v>
      </c>
      <c r="C1026" t="s">
        <v>1706</v>
      </c>
      <c r="D1026" t="s">
        <v>37</v>
      </c>
      <c r="E1026" t="s">
        <v>31</v>
      </c>
      <c r="F1026" s="2">
        <v>45961.795511006952</v>
      </c>
      <c r="AC1026" s="24">
        <f t="shared" ca="1" si="31"/>
        <v>172.20448899304756</v>
      </c>
      <c r="AD1026" s="25" t="str">
        <f t="shared" ca="1" si="32"/>
        <v>&gt;60 dias</v>
      </c>
      <c r="AE1026" s="25">
        <f>MONTH(Tabela1[[#This Row],[Criado em]])</f>
        <v>10</v>
      </c>
      <c r="AF1026" s="25">
        <f>YEAR(Tabela1[[#This Row],[Criado em]])</f>
        <v>2025</v>
      </c>
      <c r="AG1026" s="25">
        <f>COUNTIFS(Tabela1[Mês],Tabela1[[#This Row],[Mês]])</f>
        <v>196</v>
      </c>
      <c r="AH1026" s="25">
        <f>COUNTIFS(Tabela1[Mês],Tabela1[[#This Row],[Mês]],Tabela1[Fase atual],"Recebido")</f>
        <v>138</v>
      </c>
      <c r="AI1026" s="26">
        <f>Tabela1[[#This Row],[Recebido_ Mes]]/Tabela1[[#This Row],[Total_Mes]]</f>
        <v>0.70408163265306123</v>
      </c>
      <c r="AJ1026" s="19">
        <f>COUNTIFS(Tabela1[Fase atual],"Recebido",Tabela1[Mês],Tabela1[[#This Row],[Mês]],Tabela1[Ano],Tabela1[[#This Row],[Ano]])/COUNTIF(Tabela1[Mês],Tabela1[[#This Row],[Mês]])</f>
        <v>0.70408163265306123</v>
      </c>
      <c r="AK1026" s="20">
        <f>100%</f>
        <v>1</v>
      </c>
    </row>
    <row r="1027" spans="1:37" ht="18" customHeight="1" x14ac:dyDescent="0.25">
      <c r="A1027">
        <v>1298250873</v>
      </c>
      <c r="B1027" t="s">
        <v>448</v>
      </c>
      <c r="C1027" t="s">
        <v>449</v>
      </c>
      <c r="D1027" t="s">
        <v>40</v>
      </c>
      <c r="E1027" t="s">
        <v>31</v>
      </c>
      <c r="F1027" s="2">
        <v>46069.546271678228</v>
      </c>
      <c r="AC1027" s="24">
        <f t="shared" ref="AC1027:AC1090" ca="1" si="33">TODAY() - F1027</f>
        <v>64.45372832177236</v>
      </c>
      <c r="AD1027" s="25" t="str">
        <f t="shared" ref="AD1027:AD1090" ca="1" si="34">IF(AC1027&lt;=14,"0-14 dias",
IF(AC1027&lt;=19,"15-19 dias",
IF(AC1027&lt;=24,"20-24 dias",
IF(AC1027&lt;=30,"25-30 dias",
IF(AC1027&lt;=60,"31-60 dias",
"&gt;60 dias")))))</f>
        <v>&gt;60 dias</v>
      </c>
      <c r="AE1027" s="25">
        <f>MONTH(Tabela1[[#This Row],[Criado em]])</f>
        <v>2</v>
      </c>
      <c r="AF1027" s="25">
        <f>YEAR(Tabela1[[#This Row],[Criado em]])</f>
        <v>2026</v>
      </c>
      <c r="AG1027" s="25">
        <f>COUNTIFS(Tabela1[Mês],Tabela1[[#This Row],[Mês]])</f>
        <v>197</v>
      </c>
      <c r="AH1027" s="25">
        <f>COUNTIFS(Tabela1[Mês],Tabela1[[#This Row],[Mês]],Tabela1[Fase atual],"Recebido")</f>
        <v>124</v>
      </c>
      <c r="AI1027" s="26">
        <f>Tabela1[[#This Row],[Recebido_ Mes]]/Tabela1[[#This Row],[Total_Mes]]</f>
        <v>0.62944162436548223</v>
      </c>
      <c r="AJ1027" s="19">
        <f>COUNTIFS(Tabela1[Fase atual],"Recebido",Tabela1[Mês],Tabela1[[#This Row],[Mês]],Tabela1[Ano],Tabela1[[#This Row],[Ano]])/COUNTIF(Tabela1[Mês],Tabela1[[#This Row],[Mês]])</f>
        <v>0.62944162436548223</v>
      </c>
      <c r="AK1027" s="20">
        <f>100%</f>
        <v>1</v>
      </c>
    </row>
    <row r="1028" spans="1:37" ht="18" customHeight="1" x14ac:dyDescent="0.25">
      <c r="A1028">
        <v>1301743703</v>
      </c>
      <c r="B1028" t="s">
        <v>448</v>
      </c>
      <c r="C1028" t="s">
        <v>449</v>
      </c>
      <c r="D1028" t="s">
        <v>40</v>
      </c>
      <c r="E1028" t="s">
        <v>31</v>
      </c>
      <c r="F1028" s="2">
        <v>46076.794849722217</v>
      </c>
      <c r="AC1028" s="24">
        <f t="shared" ca="1" si="33"/>
        <v>57.205150277783105</v>
      </c>
      <c r="AD1028" s="25" t="str">
        <f t="shared" ca="1" si="34"/>
        <v>31-60 dias</v>
      </c>
      <c r="AE1028" s="25">
        <f>MONTH(Tabela1[[#This Row],[Criado em]])</f>
        <v>2</v>
      </c>
      <c r="AF1028" s="25">
        <f>YEAR(Tabela1[[#This Row],[Criado em]])</f>
        <v>2026</v>
      </c>
      <c r="AG1028" s="25">
        <f>COUNTIFS(Tabela1[Mês],Tabela1[[#This Row],[Mês]])</f>
        <v>197</v>
      </c>
      <c r="AH1028" s="25">
        <f>COUNTIFS(Tabela1[Mês],Tabela1[[#This Row],[Mês]],Tabela1[Fase atual],"Recebido")</f>
        <v>124</v>
      </c>
      <c r="AI1028" s="26">
        <f>Tabela1[[#This Row],[Recebido_ Mes]]/Tabela1[[#This Row],[Total_Mes]]</f>
        <v>0.62944162436548223</v>
      </c>
      <c r="AJ1028" s="19">
        <f>COUNTIFS(Tabela1[Fase atual],"Recebido",Tabela1[Mês],Tabela1[[#This Row],[Mês]],Tabela1[Ano],Tabela1[[#This Row],[Ano]])/COUNTIF(Tabela1[Mês],Tabela1[[#This Row],[Mês]])</f>
        <v>0.62944162436548223</v>
      </c>
      <c r="AK1028" s="20">
        <f>100%</f>
        <v>1</v>
      </c>
    </row>
    <row r="1029" spans="1:37" ht="18" customHeight="1" x14ac:dyDescent="0.25">
      <c r="A1029">
        <v>1231630196</v>
      </c>
      <c r="B1029" t="s">
        <v>448</v>
      </c>
      <c r="C1029" t="s">
        <v>1707</v>
      </c>
      <c r="D1029" t="s">
        <v>40</v>
      </c>
      <c r="E1029" t="s">
        <v>31</v>
      </c>
      <c r="F1029" s="2">
        <v>45940.018241550933</v>
      </c>
      <c r="AC1029" s="24">
        <f t="shared" ca="1" si="33"/>
        <v>193.98175844906655</v>
      </c>
      <c r="AD1029" s="25" t="str">
        <f t="shared" ca="1" si="34"/>
        <v>&gt;60 dias</v>
      </c>
      <c r="AE1029" s="25">
        <f>MONTH(Tabela1[[#This Row],[Criado em]])</f>
        <v>10</v>
      </c>
      <c r="AF1029" s="25">
        <f>YEAR(Tabela1[[#This Row],[Criado em]])</f>
        <v>2025</v>
      </c>
      <c r="AG1029" s="25">
        <f>COUNTIFS(Tabela1[Mês],Tabela1[[#This Row],[Mês]])</f>
        <v>196</v>
      </c>
      <c r="AH1029" s="25">
        <f>COUNTIFS(Tabela1[Mês],Tabela1[[#This Row],[Mês]],Tabela1[Fase atual],"Recebido")</f>
        <v>138</v>
      </c>
      <c r="AI1029" s="26">
        <f>Tabela1[[#This Row],[Recebido_ Mes]]/Tabela1[[#This Row],[Total_Mes]]</f>
        <v>0.70408163265306123</v>
      </c>
      <c r="AJ1029" s="19">
        <f>COUNTIFS(Tabela1[Fase atual],"Recebido",Tabela1[Mês],Tabela1[[#This Row],[Mês]],Tabela1[Ano],Tabela1[[#This Row],[Ano]])/COUNTIF(Tabela1[Mês],Tabela1[[#This Row],[Mês]])</f>
        <v>0.70408163265306123</v>
      </c>
      <c r="AK1029" s="20">
        <f>100%</f>
        <v>1</v>
      </c>
    </row>
    <row r="1030" spans="1:37" ht="18" customHeight="1" x14ac:dyDescent="0.25">
      <c r="A1030">
        <v>1255860100</v>
      </c>
      <c r="B1030" t="s">
        <v>1708</v>
      </c>
      <c r="C1030" t="s">
        <v>1709</v>
      </c>
      <c r="D1030" t="s">
        <v>40</v>
      </c>
      <c r="E1030" t="s">
        <v>31</v>
      </c>
      <c r="F1030" s="2">
        <v>45978.794050601849</v>
      </c>
      <c r="AC1030" s="24">
        <f t="shared" ca="1" si="33"/>
        <v>155.20594939815055</v>
      </c>
      <c r="AD1030" s="25" t="str">
        <f t="shared" ca="1" si="34"/>
        <v>&gt;60 dias</v>
      </c>
      <c r="AE1030" s="25">
        <f>MONTH(Tabela1[[#This Row],[Criado em]])</f>
        <v>11</v>
      </c>
      <c r="AF1030" s="25">
        <f>YEAR(Tabela1[[#This Row],[Criado em]])</f>
        <v>2025</v>
      </c>
      <c r="AG1030" s="25">
        <f>COUNTIFS(Tabela1[Mês],Tabela1[[#This Row],[Mês]])</f>
        <v>130</v>
      </c>
      <c r="AH1030" s="25">
        <f>COUNTIFS(Tabela1[Mês],Tabela1[[#This Row],[Mês]],Tabela1[Fase atual],"Recebido")</f>
        <v>100</v>
      </c>
      <c r="AI1030" s="26">
        <f>Tabela1[[#This Row],[Recebido_ Mes]]/Tabela1[[#This Row],[Total_Mes]]</f>
        <v>0.76923076923076927</v>
      </c>
      <c r="AJ1030" s="19">
        <f>COUNTIFS(Tabela1[Fase atual],"Recebido",Tabela1[Mês],Tabela1[[#This Row],[Mês]],Tabela1[Ano],Tabela1[[#This Row],[Ano]])/COUNTIF(Tabela1[Mês],Tabela1[[#This Row],[Mês]])</f>
        <v>0.76923076923076927</v>
      </c>
      <c r="AK1030" s="20">
        <f>100%</f>
        <v>1</v>
      </c>
    </row>
    <row r="1031" spans="1:37" ht="18" customHeight="1" x14ac:dyDescent="0.25">
      <c r="A1031">
        <v>1294226194</v>
      </c>
      <c r="B1031" t="s">
        <v>450</v>
      </c>
      <c r="C1031" t="s">
        <v>451</v>
      </c>
      <c r="D1031" t="s">
        <v>37</v>
      </c>
      <c r="E1031" t="s">
        <v>31</v>
      </c>
      <c r="F1031" s="2">
        <v>46059.508519224531</v>
      </c>
      <c r="AC1031" s="24">
        <f t="shared" ca="1" si="33"/>
        <v>74.491480775468517</v>
      </c>
      <c r="AD1031" s="25" t="str">
        <f t="shared" ca="1" si="34"/>
        <v>&gt;60 dias</v>
      </c>
      <c r="AE1031" s="25">
        <f>MONTH(Tabela1[[#This Row],[Criado em]])</f>
        <v>2</v>
      </c>
      <c r="AF1031" s="25">
        <f>YEAR(Tabela1[[#This Row],[Criado em]])</f>
        <v>2026</v>
      </c>
      <c r="AG1031" s="25">
        <f>COUNTIFS(Tabela1[Mês],Tabela1[[#This Row],[Mês]])</f>
        <v>197</v>
      </c>
      <c r="AH1031" s="25">
        <f>COUNTIFS(Tabela1[Mês],Tabela1[[#This Row],[Mês]],Tabela1[Fase atual],"Recebido")</f>
        <v>124</v>
      </c>
      <c r="AI1031" s="26">
        <f>Tabela1[[#This Row],[Recebido_ Mes]]/Tabela1[[#This Row],[Total_Mes]]</f>
        <v>0.62944162436548223</v>
      </c>
      <c r="AJ1031" s="19">
        <f>COUNTIFS(Tabela1[Fase atual],"Recebido",Tabela1[Mês],Tabela1[[#This Row],[Mês]],Tabela1[Ano],Tabela1[[#This Row],[Ano]])/COUNTIF(Tabela1[Mês],Tabela1[[#This Row],[Mês]])</f>
        <v>0.62944162436548223</v>
      </c>
      <c r="AK1031" s="20">
        <f>100%</f>
        <v>1</v>
      </c>
    </row>
    <row r="1032" spans="1:37" ht="18" customHeight="1" x14ac:dyDescent="0.25">
      <c r="A1032">
        <v>1274229104</v>
      </c>
      <c r="B1032" t="s">
        <v>1710</v>
      </c>
      <c r="C1032" t="s">
        <v>1711</v>
      </c>
      <c r="D1032" t="s">
        <v>37</v>
      </c>
      <c r="E1032" t="s">
        <v>31</v>
      </c>
      <c r="F1032" s="2">
        <v>46020.545519282408</v>
      </c>
      <c r="AC1032" s="24">
        <f t="shared" ca="1" si="33"/>
        <v>113.45448071759165</v>
      </c>
      <c r="AD1032" s="25" t="str">
        <f t="shared" ca="1" si="34"/>
        <v>&gt;60 dias</v>
      </c>
      <c r="AE1032" s="25">
        <f>MONTH(Tabela1[[#This Row],[Criado em]])</f>
        <v>12</v>
      </c>
      <c r="AF1032" s="25">
        <f>YEAR(Tabela1[[#This Row],[Criado em]])</f>
        <v>2025</v>
      </c>
      <c r="AG1032" s="25">
        <f>COUNTIFS(Tabela1[Mês],Tabela1[[#This Row],[Mês]])</f>
        <v>207</v>
      </c>
      <c r="AH1032" s="25">
        <f>COUNTIFS(Tabela1[Mês],Tabela1[[#This Row],[Mês]],Tabela1[Fase atual],"Recebido")</f>
        <v>155</v>
      </c>
      <c r="AI1032" s="26">
        <f>Tabela1[[#This Row],[Recebido_ Mes]]/Tabela1[[#This Row],[Total_Mes]]</f>
        <v>0.74879227053140096</v>
      </c>
      <c r="AJ1032" s="19">
        <f>COUNTIFS(Tabela1[Fase atual],"Recebido",Tabela1[Mês],Tabela1[[#This Row],[Mês]],Tabela1[Ano],Tabela1[[#This Row],[Ano]])/COUNTIF(Tabela1[Mês],Tabela1[[#This Row],[Mês]])</f>
        <v>0.74879227053140096</v>
      </c>
      <c r="AK1032" s="20">
        <f>100%</f>
        <v>1</v>
      </c>
    </row>
    <row r="1033" spans="1:37" ht="18" customHeight="1" x14ac:dyDescent="0.25">
      <c r="A1033">
        <v>1207656324</v>
      </c>
      <c r="B1033" t="s">
        <v>1712</v>
      </c>
      <c r="C1033" t="s">
        <v>1713</v>
      </c>
      <c r="D1033" t="s">
        <v>37</v>
      </c>
      <c r="E1033" t="s">
        <v>31</v>
      </c>
      <c r="F1033" s="2">
        <v>45903.851433206008</v>
      </c>
      <c r="AC1033" s="24">
        <f t="shared" ca="1" si="33"/>
        <v>230.14856679399236</v>
      </c>
      <c r="AD1033" s="25" t="str">
        <f t="shared" ca="1" si="34"/>
        <v>&gt;60 dias</v>
      </c>
      <c r="AE1033" s="25">
        <f>MONTH(Tabela1[[#This Row],[Criado em]])</f>
        <v>9</v>
      </c>
      <c r="AF1033" s="25">
        <f>YEAR(Tabela1[[#This Row],[Criado em]])</f>
        <v>2025</v>
      </c>
      <c r="AG1033" s="25">
        <f>COUNTIFS(Tabela1[Mês],Tabela1[[#This Row],[Mês]])</f>
        <v>197</v>
      </c>
      <c r="AH1033" s="25">
        <f>COUNTIFS(Tabela1[Mês],Tabela1[[#This Row],[Mês]],Tabela1[Fase atual],"Recebido")</f>
        <v>152</v>
      </c>
      <c r="AI1033" s="26">
        <f>Tabela1[[#This Row],[Recebido_ Mes]]/Tabela1[[#This Row],[Total_Mes]]</f>
        <v>0.77157360406091369</v>
      </c>
      <c r="AJ1033" s="19">
        <f>COUNTIFS(Tabela1[Fase atual],"Recebido",Tabela1[Mês],Tabela1[[#This Row],[Mês]],Tabela1[Ano],Tabela1[[#This Row],[Ano]])/COUNTIF(Tabela1[Mês],Tabela1[[#This Row],[Mês]])</f>
        <v>0.77157360406091369</v>
      </c>
      <c r="AK1033" s="20">
        <f>100%</f>
        <v>1</v>
      </c>
    </row>
    <row r="1034" spans="1:37" ht="18" customHeight="1" x14ac:dyDescent="0.25">
      <c r="A1034">
        <v>1211285984</v>
      </c>
      <c r="B1034" t="s">
        <v>1714</v>
      </c>
      <c r="C1034" t="s">
        <v>1715</v>
      </c>
      <c r="D1034" t="s">
        <v>202</v>
      </c>
      <c r="E1034" t="s">
        <v>31</v>
      </c>
      <c r="F1034" s="2">
        <v>45909.851457523153</v>
      </c>
      <c r="AC1034" s="24">
        <f t="shared" ca="1" si="33"/>
        <v>224.14854247684707</v>
      </c>
      <c r="AD1034" s="25" t="str">
        <f t="shared" ca="1" si="34"/>
        <v>&gt;60 dias</v>
      </c>
      <c r="AE1034" s="25">
        <f>MONTH(Tabela1[[#This Row],[Criado em]])</f>
        <v>9</v>
      </c>
      <c r="AF1034" s="25">
        <f>YEAR(Tabela1[[#This Row],[Criado em]])</f>
        <v>2025</v>
      </c>
      <c r="AG1034" s="25">
        <f>COUNTIFS(Tabela1[Mês],Tabela1[[#This Row],[Mês]])</f>
        <v>197</v>
      </c>
      <c r="AH1034" s="25">
        <f>COUNTIFS(Tabela1[Mês],Tabela1[[#This Row],[Mês]],Tabela1[Fase atual],"Recebido")</f>
        <v>152</v>
      </c>
      <c r="AI1034" s="26">
        <f>Tabela1[[#This Row],[Recebido_ Mes]]/Tabela1[[#This Row],[Total_Mes]]</f>
        <v>0.77157360406091369</v>
      </c>
      <c r="AJ1034" s="19">
        <f>COUNTIFS(Tabela1[Fase atual],"Recebido",Tabela1[Mês],Tabela1[[#This Row],[Mês]],Tabela1[Ano],Tabela1[[#This Row],[Ano]])/COUNTIF(Tabela1[Mês],Tabela1[[#This Row],[Mês]])</f>
        <v>0.77157360406091369</v>
      </c>
      <c r="AK1034" s="20">
        <f>100%</f>
        <v>1</v>
      </c>
    </row>
    <row r="1035" spans="1:37" ht="18" customHeight="1" x14ac:dyDescent="0.25">
      <c r="A1035">
        <v>1171784401</v>
      </c>
      <c r="B1035" t="s">
        <v>1716</v>
      </c>
      <c r="C1035" t="s">
        <v>1717</v>
      </c>
      <c r="D1035" t="s">
        <v>784</v>
      </c>
      <c r="E1035" t="s">
        <v>31</v>
      </c>
      <c r="F1035" s="2">
        <v>45842.643662048613</v>
      </c>
      <c r="AC1035" s="24">
        <f t="shared" ca="1" si="33"/>
        <v>291.3563379513871</v>
      </c>
      <c r="AD1035" s="25" t="str">
        <f t="shared" ca="1" si="34"/>
        <v>&gt;60 dias</v>
      </c>
      <c r="AE1035" s="25">
        <f>MONTH(Tabela1[[#This Row],[Criado em]])</f>
        <v>7</v>
      </c>
      <c r="AF1035" s="25">
        <f>YEAR(Tabela1[[#This Row],[Criado em]])</f>
        <v>2025</v>
      </c>
      <c r="AG1035" s="25">
        <f>COUNTIFS(Tabela1[Mês],Tabela1[[#This Row],[Mês]])</f>
        <v>177</v>
      </c>
      <c r="AH1035" s="25">
        <f>COUNTIFS(Tabela1[Mês],Tabela1[[#This Row],[Mês]],Tabela1[Fase atual],"Recebido")</f>
        <v>130</v>
      </c>
      <c r="AI1035" s="26">
        <f>Tabela1[[#This Row],[Recebido_ Mes]]/Tabela1[[#This Row],[Total_Mes]]</f>
        <v>0.7344632768361582</v>
      </c>
      <c r="AJ1035" s="19">
        <f>COUNTIFS(Tabela1[Fase atual],"Recebido",Tabela1[Mês],Tabela1[[#This Row],[Mês]],Tabela1[Ano],Tabela1[[#This Row],[Ano]])/COUNTIF(Tabela1[Mês],Tabela1[[#This Row],[Mês]])</f>
        <v>0.7344632768361582</v>
      </c>
      <c r="AK1035" s="20">
        <f>100%</f>
        <v>1</v>
      </c>
    </row>
    <row r="1036" spans="1:37" ht="18" customHeight="1" x14ac:dyDescent="0.25">
      <c r="A1036">
        <v>1238233530</v>
      </c>
      <c r="B1036" t="s">
        <v>1718</v>
      </c>
      <c r="C1036" t="s">
        <v>1719</v>
      </c>
      <c r="D1036" t="s">
        <v>40</v>
      </c>
      <c r="E1036" t="s">
        <v>31</v>
      </c>
      <c r="F1036" s="2">
        <v>45947.563479247678</v>
      </c>
      <c r="AC1036" s="24">
        <f t="shared" ca="1" si="33"/>
        <v>186.43652075232239</v>
      </c>
      <c r="AD1036" s="25" t="str">
        <f t="shared" ca="1" si="34"/>
        <v>&gt;60 dias</v>
      </c>
      <c r="AE1036" s="25">
        <f>MONTH(Tabela1[[#This Row],[Criado em]])</f>
        <v>10</v>
      </c>
      <c r="AF1036" s="25">
        <f>YEAR(Tabela1[[#This Row],[Criado em]])</f>
        <v>2025</v>
      </c>
      <c r="AG1036" s="25">
        <f>COUNTIFS(Tabela1[Mês],Tabela1[[#This Row],[Mês]])</f>
        <v>196</v>
      </c>
      <c r="AH1036" s="25">
        <f>COUNTIFS(Tabela1[Mês],Tabela1[[#This Row],[Mês]],Tabela1[Fase atual],"Recebido")</f>
        <v>138</v>
      </c>
      <c r="AI1036" s="26">
        <f>Tabela1[[#This Row],[Recebido_ Mes]]/Tabela1[[#This Row],[Total_Mes]]</f>
        <v>0.70408163265306123</v>
      </c>
      <c r="AJ1036" s="19">
        <f>COUNTIFS(Tabela1[Fase atual],"Recebido",Tabela1[Mês],Tabela1[[#This Row],[Mês]],Tabela1[Ano],Tabela1[[#This Row],[Ano]])/COUNTIF(Tabela1[Mês],Tabela1[[#This Row],[Mês]])</f>
        <v>0.70408163265306123</v>
      </c>
      <c r="AK1036" s="20">
        <f>100%</f>
        <v>1</v>
      </c>
    </row>
    <row r="1037" spans="1:37" ht="18" customHeight="1" x14ac:dyDescent="0.25">
      <c r="A1037">
        <v>1213466827</v>
      </c>
      <c r="B1037" t="s">
        <v>1720</v>
      </c>
      <c r="C1037" t="s">
        <v>1721</v>
      </c>
      <c r="D1037" t="s">
        <v>37</v>
      </c>
      <c r="E1037" t="s">
        <v>31</v>
      </c>
      <c r="F1037" s="2">
        <v>45912.852050532412</v>
      </c>
      <c r="AC1037" s="24">
        <f t="shared" ca="1" si="33"/>
        <v>221.14794946758775</v>
      </c>
      <c r="AD1037" s="25" t="str">
        <f t="shared" ca="1" si="34"/>
        <v>&gt;60 dias</v>
      </c>
      <c r="AE1037" s="25">
        <f>MONTH(Tabela1[[#This Row],[Criado em]])</f>
        <v>9</v>
      </c>
      <c r="AF1037" s="25">
        <f>YEAR(Tabela1[[#This Row],[Criado em]])</f>
        <v>2025</v>
      </c>
      <c r="AG1037" s="25">
        <f>COUNTIFS(Tabela1[Mês],Tabela1[[#This Row],[Mês]])</f>
        <v>197</v>
      </c>
      <c r="AH1037" s="25">
        <f>COUNTIFS(Tabela1[Mês],Tabela1[[#This Row],[Mês]],Tabela1[Fase atual],"Recebido")</f>
        <v>152</v>
      </c>
      <c r="AI1037" s="26">
        <f>Tabela1[[#This Row],[Recebido_ Mes]]/Tabela1[[#This Row],[Total_Mes]]</f>
        <v>0.77157360406091369</v>
      </c>
      <c r="AJ1037" s="19">
        <f>COUNTIFS(Tabela1[Fase atual],"Recebido",Tabela1[Mês],Tabela1[[#This Row],[Mês]],Tabela1[Ano],Tabela1[[#This Row],[Ano]])/COUNTIF(Tabela1[Mês],Tabela1[[#This Row],[Mês]])</f>
        <v>0.77157360406091369</v>
      </c>
      <c r="AK1037" s="20">
        <f>100%</f>
        <v>1</v>
      </c>
    </row>
    <row r="1038" spans="1:37" ht="18" customHeight="1" x14ac:dyDescent="0.25">
      <c r="A1038">
        <v>1278988801</v>
      </c>
      <c r="B1038" t="s">
        <v>452</v>
      </c>
      <c r="C1038" t="s">
        <v>453</v>
      </c>
      <c r="D1038" t="s">
        <v>40</v>
      </c>
      <c r="E1038" t="s">
        <v>31</v>
      </c>
      <c r="F1038" s="2">
        <v>46030.794030717603</v>
      </c>
      <c r="AC1038" s="24">
        <f t="shared" ca="1" si="33"/>
        <v>103.20596928239684</v>
      </c>
      <c r="AD1038" s="25" t="str">
        <f t="shared" ca="1" si="34"/>
        <v>&gt;60 dias</v>
      </c>
      <c r="AE1038" s="25">
        <f>MONTH(Tabela1[[#This Row],[Criado em]])</f>
        <v>1</v>
      </c>
      <c r="AF1038" s="25">
        <f>YEAR(Tabela1[[#This Row],[Criado em]])</f>
        <v>2026</v>
      </c>
      <c r="AG1038" s="25">
        <f>COUNTIFS(Tabela1[Mês],Tabela1[[#This Row],[Mês]])</f>
        <v>222</v>
      </c>
      <c r="AH1038" s="25">
        <f>COUNTIFS(Tabela1[Mês],Tabela1[[#This Row],[Mês]],Tabela1[Fase atual],"Recebido")</f>
        <v>174</v>
      </c>
      <c r="AI1038" s="26">
        <f>Tabela1[[#This Row],[Recebido_ Mes]]/Tabela1[[#This Row],[Total_Mes]]</f>
        <v>0.78378378378378377</v>
      </c>
      <c r="AJ1038" s="19">
        <f>COUNTIFS(Tabela1[Fase atual],"Recebido",Tabela1[Mês],Tabela1[[#This Row],[Mês]],Tabela1[Ano],Tabela1[[#This Row],[Ano]])/COUNTIF(Tabela1[Mês],Tabela1[[#This Row],[Mês]])</f>
        <v>0.78378378378378377</v>
      </c>
      <c r="AK1038" s="20">
        <f>100%</f>
        <v>1</v>
      </c>
    </row>
    <row r="1039" spans="1:37" ht="18" customHeight="1" x14ac:dyDescent="0.25">
      <c r="A1039">
        <v>1220203766</v>
      </c>
      <c r="B1039" t="s">
        <v>277</v>
      </c>
      <c r="C1039" t="s">
        <v>1722</v>
      </c>
      <c r="D1039" t="s">
        <v>37</v>
      </c>
      <c r="E1039" t="s">
        <v>31</v>
      </c>
      <c r="F1039" s="2">
        <v>45923.85084598379</v>
      </c>
      <c r="AC1039" s="24">
        <f t="shared" ca="1" si="33"/>
        <v>210.14915401620965</v>
      </c>
      <c r="AD1039" s="25" t="str">
        <f t="shared" ca="1" si="34"/>
        <v>&gt;60 dias</v>
      </c>
      <c r="AE1039" s="25">
        <f>MONTH(Tabela1[[#This Row],[Criado em]])</f>
        <v>9</v>
      </c>
      <c r="AF1039" s="25">
        <f>YEAR(Tabela1[[#This Row],[Criado em]])</f>
        <v>2025</v>
      </c>
      <c r="AG1039" s="25">
        <f>COUNTIFS(Tabela1[Mês],Tabela1[[#This Row],[Mês]])</f>
        <v>197</v>
      </c>
      <c r="AH1039" s="25">
        <f>COUNTIFS(Tabela1[Mês],Tabela1[[#This Row],[Mês]],Tabela1[Fase atual],"Recebido")</f>
        <v>152</v>
      </c>
      <c r="AI1039" s="26">
        <f>Tabela1[[#This Row],[Recebido_ Mes]]/Tabela1[[#This Row],[Total_Mes]]</f>
        <v>0.77157360406091369</v>
      </c>
      <c r="AJ1039" s="19">
        <f>COUNTIFS(Tabela1[Fase atual],"Recebido",Tabela1[Mês],Tabela1[[#This Row],[Mês]],Tabela1[Ano],Tabela1[[#This Row],[Ano]])/COUNTIF(Tabela1[Mês],Tabela1[[#This Row],[Mês]])</f>
        <v>0.77157360406091369</v>
      </c>
      <c r="AK1039" s="20">
        <f>100%</f>
        <v>1</v>
      </c>
    </row>
    <row r="1040" spans="1:37" ht="18" customHeight="1" x14ac:dyDescent="0.25">
      <c r="A1040">
        <v>1285964868</v>
      </c>
      <c r="B1040" t="s">
        <v>454</v>
      </c>
      <c r="C1040" t="s">
        <v>455</v>
      </c>
      <c r="D1040" t="s">
        <v>37</v>
      </c>
      <c r="E1040" t="s">
        <v>31</v>
      </c>
      <c r="F1040" s="2">
        <v>46044.796463865743</v>
      </c>
      <c r="AC1040" s="24">
        <f t="shared" ca="1" si="33"/>
        <v>89.203536134256865</v>
      </c>
      <c r="AD1040" s="25" t="str">
        <f t="shared" ca="1" si="34"/>
        <v>&gt;60 dias</v>
      </c>
      <c r="AE1040" s="25">
        <f>MONTH(Tabela1[[#This Row],[Criado em]])</f>
        <v>1</v>
      </c>
      <c r="AF1040" s="25">
        <f>YEAR(Tabela1[[#This Row],[Criado em]])</f>
        <v>2026</v>
      </c>
      <c r="AG1040" s="25">
        <f>COUNTIFS(Tabela1[Mês],Tabela1[[#This Row],[Mês]])</f>
        <v>222</v>
      </c>
      <c r="AH1040" s="25">
        <f>COUNTIFS(Tabela1[Mês],Tabela1[[#This Row],[Mês]],Tabela1[Fase atual],"Recebido")</f>
        <v>174</v>
      </c>
      <c r="AI1040" s="26">
        <f>Tabela1[[#This Row],[Recebido_ Mes]]/Tabela1[[#This Row],[Total_Mes]]</f>
        <v>0.78378378378378377</v>
      </c>
      <c r="AJ1040" s="19">
        <f>COUNTIFS(Tabela1[Fase atual],"Recebido",Tabela1[Mês],Tabela1[[#This Row],[Mês]],Tabela1[Ano],Tabela1[[#This Row],[Ano]])/COUNTIF(Tabela1[Mês],Tabela1[[#This Row],[Mês]])</f>
        <v>0.78378378378378377</v>
      </c>
      <c r="AK1040" s="20">
        <f>100%</f>
        <v>1</v>
      </c>
    </row>
    <row r="1041" spans="1:37" ht="18" customHeight="1" x14ac:dyDescent="0.25">
      <c r="A1041">
        <v>1193056589</v>
      </c>
      <c r="B1041" t="s">
        <v>1723</v>
      </c>
      <c r="C1041" t="s">
        <v>1724</v>
      </c>
      <c r="D1041" t="s">
        <v>37</v>
      </c>
      <c r="E1041" t="s">
        <v>31</v>
      </c>
      <c r="F1041" s="2">
        <v>45880.642134317117</v>
      </c>
      <c r="AC1041" s="24">
        <f t="shared" ca="1" si="33"/>
        <v>253.35786568288313</v>
      </c>
      <c r="AD1041" s="25" t="str">
        <f t="shared" ca="1" si="34"/>
        <v>&gt;60 dias</v>
      </c>
      <c r="AE1041" s="25">
        <f>MONTH(Tabela1[[#This Row],[Criado em]])</f>
        <v>8</v>
      </c>
      <c r="AF1041" s="25">
        <f>YEAR(Tabela1[[#This Row],[Criado em]])</f>
        <v>2025</v>
      </c>
      <c r="AG1041" s="25">
        <f>COUNTIFS(Tabela1[Mês],Tabela1[[#This Row],[Mês]])</f>
        <v>146</v>
      </c>
      <c r="AH1041" s="25">
        <f>COUNTIFS(Tabela1[Mês],Tabela1[[#This Row],[Mês]],Tabela1[Fase atual],"Recebido")</f>
        <v>115</v>
      </c>
      <c r="AI1041" s="26">
        <f>Tabela1[[#This Row],[Recebido_ Mes]]/Tabela1[[#This Row],[Total_Mes]]</f>
        <v>0.78767123287671237</v>
      </c>
      <c r="AJ1041" s="19">
        <f>COUNTIFS(Tabela1[Fase atual],"Recebido",Tabela1[Mês],Tabela1[[#This Row],[Mês]],Tabela1[Ano],Tabela1[[#This Row],[Ano]])/COUNTIF(Tabela1[Mês],Tabela1[[#This Row],[Mês]])</f>
        <v>0.78767123287671237</v>
      </c>
      <c r="AK1041" s="20">
        <f>100%</f>
        <v>1</v>
      </c>
    </row>
    <row r="1042" spans="1:37" ht="18" customHeight="1" x14ac:dyDescent="0.25">
      <c r="A1042">
        <v>1210539939</v>
      </c>
      <c r="B1042" t="s">
        <v>1725</v>
      </c>
      <c r="C1042" t="s">
        <v>1726</v>
      </c>
      <c r="D1042" t="s">
        <v>784</v>
      </c>
      <c r="E1042" t="s">
        <v>31</v>
      </c>
      <c r="F1042" s="2">
        <v>45908.851743206018</v>
      </c>
      <c r="AC1042" s="24">
        <f t="shared" ca="1" si="33"/>
        <v>225.148256793982</v>
      </c>
      <c r="AD1042" s="25" t="str">
        <f t="shared" ca="1" si="34"/>
        <v>&gt;60 dias</v>
      </c>
      <c r="AE1042" s="25">
        <f>MONTH(Tabela1[[#This Row],[Criado em]])</f>
        <v>9</v>
      </c>
      <c r="AF1042" s="25">
        <f>YEAR(Tabela1[[#This Row],[Criado em]])</f>
        <v>2025</v>
      </c>
      <c r="AG1042" s="25">
        <f>COUNTIFS(Tabela1[Mês],Tabela1[[#This Row],[Mês]])</f>
        <v>197</v>
      </c>
      <c r="AH1042" s="25">
        <f>COUNTIFS(Tabela1[Mês],Tabela1[[#This Row],[Mês]],Tabela1[Fase atual],"Recebido")</f>
        <v>152</v>
      </c>
      <c r="AI1042" s="26">
        <f>Tabela1[[#This Row],[Recebido_ Mes]]/Tabela1[[#This Row],[Total_Mes]]</f>
        <v>0.77157360406091369</v>
      </c>
      <c r="AJ1042" s="19">
        <f>COUNTIFS(Tabela1[Fase atual],"Recebido",Tabela1[Mês],Tabela1[[#This Row],[Mês]],Tabela1[Ano],Tabela1[[#This Row],[Ano]])/COUNTIF(Tabela1[Mês],Tabela1[[#This Row],[Mês]])</f>
        <v>0.77157360406091369</v>
      </c>
      <c r="AK1042" s="20">
        <f>100%</f>
        <v>1</v>
      </c>
    </row>
    <row r="1043" spans="1:37" ht="18" customHeight="1" x14ac:dyDescent="0.25">
      <c r="A1043">
        <v>1220845296</v>
      </c>
      <c r="B1043" t="s">
        <v>456</v>
      </c>
      <c r="C1043" t="s">
        <v>1727</v>
      </c>
      <c r="D1043" t="s">
        <v>37</v>
      </c>
      <c r="E1043" t="s">
        <v>31</v>
      </c>
      <c r="F1043" s="2">
        <v>45924.853149849543</v>
      </c>
      <c r="AC1043" s="24">
        <f t="shared" ca="1" si="33"/>
        <v>209.14685015045688</v>
      </c>
      <c r="AD1043" s="25" t="str">
        <f t="shared" ca="1" si="34"/>
        <v>&gt;60 dias</v>
      </c>
      <c r="AE1043" s="25">
        <f>MONTH(Tabela1[[#This Row],[Criado em]])</f>
        <v>9</v>
      </c>
      <c r="AF1043" s="25">
        <f>YEAR(Tabela1[[#This Row],[Criado em]])</f>
        <v>2025</v>
      </c>
      <c r="AG1043" s="25">
        <f>COUNTIFS(Tabela1[Mês],Tabela1[[#This Row],[Mês]])</f>
        <v>197</v>
      </c>
      <c r="AH1043" s="25">
        <f>COUNTIFS(Tabela1[Mês],Tabela1[[#This Row],[Mês]],Tabela1[Fase atual],"Recebido")</f>
        <v>152</v>
      </c>
      <c r="AI1043" s="26">
        <f>Tabela1[[#This Row],[Recebido_ Mes]]/Tabela1[[#This Row],[Total_Mes]]</f>
        <v>0.77157360406091369</v>
      </c>
      <c r="AJ1043" s="19">
        <f>COUNTIFS(Tabela1[Fase atual],"Recebido",Tabela1[Mês],Tabela1[[#This Row],[Mês]],Tabela1[Ano],Tabela1[[#This Row],[Ano]])/COUNTIF(Tabela1[Mês],Tabela1[[#This Row],[Mês]])</f>
        <v>0.77157360406091369</v>
      </c>
      <c r="AK1043" s="20">
        <f>100%</f>
        <v>1</v>
      </c>
    </row>
    <row r="1044" spans="1:37" ht="18" customHeight="1" x14ac:dyDescent="0.25">
      <c r="A1044">
        <v>1282983946</v>
      </c>
      <c r="B1044" t="s">
        <v>456</v>
      </c>
      <c r="C1044" t="s">
        <v>457</v>
      </c>
      <c r="D1044" t="s">
        <v>37</v>
      </c>
      <c r="E1044" t="s">
        <v>31</v>
      </c>
      <c r="F1044" s="2">
        <v>46038.796906527772</v>
      </c>
      <c r="AC1044" s="24">
        <f t="shared" ca="1" si="33"/>
        <v>95.20309347222792</v>
      </c>
      <c r="AD1044" s="25" t="str">
        <f t="shared" ca="1" si="34"/>
        <v>&gt;60 dias</v>
      </c>
      <c r="AE1044" s="25">
        <f>MONTH(Tabela1[[#This Row],[Criado em]])</f>
        <v>1</v>
      </c>
      <c r="AF1044" s="25">
        <f>YEAR(Tabela1[[#This Row],[Criado em]])</f>
        <v>2026</v>
      </c>
      <c r="AG1044" s="25">
        <f>COUNTIFS(Tabela1[Mês],Tabela1[[#This Row],[Mês]])</f>
        <v>222</v>
      </c>
      <c r="AH1044" s="25">
        <f>COUNTIFS(Tabela1[Mês],Tabela1[[#This Row],[Mês]],Tabela1[Fase atual],"Recebido")</f>
        <v>174</v>
      </c>
      <c r="AI1044" s="26">
        <f>Tabela1[[#This Row],[Recebido_ Mes]]/Tabela1[[#This Row],[Total_Mes]]</f>
        <v>0.78378378378378377</v>
      </c>
      <c r="AJ1044" s="19">
        <f>COUNTIFS(Tabela1[Fase atual],"Recebido",Tabela1[Mês],Tabela1[[#This Row],[Mês]],Tabela1[Ano],Tabela1[[#This Row],[Ano]])/COUNTIF(Tabela1[Mês],Tabela1[[#This Row],[Mês]])</f>
        <v>0.78378378378378377</v>
      </c>
      <c r="AK1044" s="20">
        <f>100%</f>
        <v>1</v>
      </c>
    </row>
    <row r="1045" spans="1:37" ht="18" customHeight="1" x14ac:dyDescent="0.25">
      <c r="A1045">
        <v>1267659059</v>
      </c>
      <c r="B1045" t="s">
        <v>1728</v>
      </c>
      <c r="C1045" t="s">
        <v>1729</v>
      </c>
      <c r="D1045" t="s">
        <v>40</v>
      </c>
      <c r="E1045" t="s">
        <v>374</v>
      </c>
      <c r="F1045" s="2">
        <v>46003.726873009262</v>
      </c>
      <c r="AC1045" s="24">
        <f t="shared" ca="1" si="33"/>
        <v>130.27312699073809</v>
      </c>
      <c r="AD1045" s="25" t="str">
        <f t="shared" ca="1" si="34"/>
        <v>&gt;60 dias</v>
      </c>
      <c r="AE1045" s="25">
        <f>MONTH(Tabela1[[#This Row],[Criado em]])</f>
        <v>12</v>
      </c>
      <c r="AF1045" s="25">
        <f>YEAR(Tabela1[[#This Row],[Criado em]])</f>
        <v>2025</v>
      </c>
      <c r="AG1045" s="25">
        <f>COUNTIFS(Tabela1[Mês],Tabela1[[#This Row],[Mês]])</f>
        <v>207</v>
      </c>
      <c r="AH1045" s="25">
        <f>COUNTIFS(Tabela1[Mês],Tabela1[[#This Row],[Mês]],Tabela1[Fase atual],"Recebido")</f>
        <v>155</v>
      </c>
      <c r="AI1045" s="26">
        <f>Tabela1[[#This Row],[Recebido_ Mes]]/Tabela1[[#This Row],[Total_Mes]]</f>
        <v>0.74879227053140096</v>
      </c>
      <c r="AJ1045" s="19">
        <f>COUNTIFS(Tabela1[Fase atual],"Recebido",Tabela1[Mês],Tabela1[[#This Row],[Mês]],Tabela1[Ano],Tabela1[[#This Row],[Ano]])/COUNTIF(Tabela1[Mês],Tabela1[[#This Row],[Mês]])</f>
        <v>0.74879227053140096</v>
      </c>
      <c r="AK1045" s="20">
        <f>100%</f>
        <v>1</v>
      </c>
    </row>
    <row r="1046" spans="1:37" ht="18" customHeight="1" x14ac:dyDescent="0.25">
      <c r="A1046">
        <v>1243426666</v>
      </c>
      <c r="B1046" t="s">
        <v>1730</v>
      </c>
      <c r="C1046" t="s">
        <v>1731</v>
      </c>
      <c r="D1046" t="s">
        <v>784</v>
      </c>
      <c r="E1046" t="s">
        <v>31</v>
      </c>
      <c r="F1046" s="2">
        <v>45954.795504062502</v>
      </c>
      <c r="AC1046" s="24">
        <f t="shared" ca="1" si="33"/>
        <v>179.204495937498</v>
      </c>
      <c r="AD1046" s="25" t="str">
        <f t="shared" ca="1" si="34"/>
        <v>&gt;60 dias</v>
      </c>
      <c r="AE1046" s="25">
        <f>MONTH(Tabela1[[#This Row],[Criado em]])</f>
        <v>10</v>
      </c>
      <c r="AF1046" s="25">
        <f>YEAR(Tabela1[[#This Row],[Criado em]])</f>
        <v>2025</v>
      </c>
      <c r="AG1046" s="25">
        <f>COUNTIFS(Tabela1[Mês],Tabela1[[#This Row],[Mês]])</f>
        <v>196</v>
      </c>
      <c r="AH1046" s="25">
        <f>COUNTIFS(Tabela1[Mês],Tabela1[[#This Row],[Mês]],Tabela1[Fase atual],"Recebido")</f>
        <v>138</v>
      </c>
      <c r="AI1046" s="26">
        <f>Tabela1[[#This Row],[Recebido_ Mes]]/Tabela1[[#This Row],[Total_Mes]]</f>
        <v>0.70408163265306123</v>
      </c>
      <c r="AJ1046" s="19">
        <f>COUNTIFS(Tabela1[Fase atual],"Recebido",Tabela1[Mês],Tabela1[[#This Row],[Mês]],Tabela1[Ano],Tabela1[[#This Row],[Ano]])/COUNTIF(Tabela1[Mês],Tabela1[[#This Row],[Mês]])</f>
        <v>0.70408163265306123</v>
      </c>
      <c r="AK1046" s="20">
        <f>100%</f>
        <v>1</v>
      </c>
    </row>
    <row r="1047" spans="1:37" ht="18" customHeight="1" x14ac:dyDescent="0.25">
      <c r="A1047">
        <v>1242271959</v>
      </c>
      <c r="B1047" t="s">
        <v>1732</v>
      </c>
      <c r="C1047" t="s">
        <v>1733</v>
      </c>
      <c r="D1047" t="s">
        <v>37</v>
      </c>
      <c r="E1047" t="s">
        <v>31</v>
      </c>
      <c r="F1047" s="2">
        <v>45953.627870590281</v>
      </c>
      <c r="AC1047" s="24">
        <f t="shared" ca="1" si="33"/>
        <v>180.37212940971949</v>
      </c>
      <c r="AD1047" s="25" t="str">
        <f t="shared" ca="1" si="34"/>
        <v>&gt;60 dias</v>
      </c>
      <c r="AE1047" s="25">
        <f>MONTH(Tabela1[[#This Row],[Criado em]])</f>
        <v>10</v>
      </c>
      <c r="AF1047" s="25">
        <f>YEAR(Tabela1[[#This Row],[Criado em]])</f>
        <v>2025</v>
      </c>
      <c r="AG1047" s="25">
        <f>COUNTIFS(Tabela1[Mês],Tabela1[[#This Row],[Mês]])</f>
        <v>196</v>
      </c>
      <c r="AH1047" s="25">
        <f>COUNTIFS(Tabela1[Mês],Tabela1[[#This Row],[Mês]],Tabela1[Fase atual],"Recebido")</f>
        <v>138</v>
      </c>
      <c r="AI1047" s="26">
        <f>Tabela1[[#This Row],[Recebido_ Mes]]/Tabela1[[#This Row],[Total_Mes]]</f>
        <v>0.70408163265306123</v>
      </c>
      <c r="AJ1047" s="19">
        <f>COUNTIFS(Tabela1[Fase atual],"Recebido",Tabela1[Mês],Tabela1[[#This Row],[Mês]],Tabela1[Ano],Tabela1[[#This Row],[Ano]])/COUNTIF(Tabela1[Mês],Tabela1[[#This Row],[Mês]])</f>
        <v>0.70408163265306123</v>
      </c>
      <c r="AK1047" s="20">
        <f>100%</f>
        <v>1</v>
      </c>
    </row>
    <row r="1048" spans="1:37" ht="18" customHeight="1" x14ac:dyDescent="0.25">
      <c r="A1048">
        <v>1198093378</v>
      </c>
      <c r="B1048" t="s">
        <v>1734</v>
      </c>
      <c r="C1048" t="s">
        <v>1735</v>
      </c>
      <c r="D1048" t="s">
        <v>37</v>
      </c>
      <c r="E1048" t="s">
        <v>31</v>
      </c>
      <c r="F1048" s="2">
        <v>45888.850167025463</v>
      </c>
      <c r="AC1048" s="24">
        <f t="shared" ca="1" si="33"/>
        <v>245.14983297453728</v>
      </c>
      <c r="AD1048" s="25" t="str">
        <f t="shared" ca="1" si="34"/>
        <v>&gt;60 dias</v>
      </c>
      <c r="AE1048" s="25">
        <f>MONTH(Tabela1[[#This Row],[Criado em]])</f>
        <v>8</v>
      </c>
      <c r="AF1048" s="25">
        <f>YEAR(Tabela1[[#This Row],[Criado em]])</f>
        <v>2025</v>
      </c>
      <c r="AG1048" s="25">
        <f>COUNTIFS(Tabela1[Mês],Tabela1[[#This Row],[Mês]])</f>
        <v>146</v>
      </c>
      <c r="AH1048" s="25">
        <f>COUNTIFS(Tabela1[Mês],Tabela1[[#This Row],[Mês]],Tabela1[Fase atual],"Recebido")</f>
        <v>115</v>
      </c>
      <c r="AI1048" s="26">
        <f>Tabela1[[#This Row],[Recebido_ Mes]]/Tabela1[[#This Row],[Total_Mes]]</f>
        <v>0.78767123287671237</v>
      </c>
      <c r="AJ1048" s="19">
        <f>COUNTIFS(Tabela1[Fase atual],"Recebido",Tabela1[Mês],Tabela1[[#This Row],[Mês]],Tabela1[Ano],Tabela1[[#This Row],[Ano]])/COUNTIF(Tabela1[Mês],Tabela1[[#This Row],[Mês]])</f>
        <v>0.78767123287671237</v>
      </c>
      <c r="AK1048" s="20">
        <f>100%</f>
        <v>1</v>
      </c>
    </row>
    <row r="1049" spans="1:37" ht="18" customHeight="1" x14ac:dyDescent="0.25">
      <c r="A1049">
        <v>1229642450</v>
      </c>
      <c r="B1049" t="s">
        <v>1736</v>
      </c>
      <c r="C1049" t="s">
        <v>1737</v>
      </c>
      <c r="D1049" t="s">
        <v>37</v>
      </c>
      <c r="E1049" t="s">
        <v>31</v>
      </c>
      <c r="F1049" s="2">
        <v>45937.618339282402</v>
      </c>
      <c r="AC1049" s="24">
        <f t="shared" ca="1" si="33"/>
        <v>196.3816607175977</v>
      </c>
      <c r="AD1049" s="25" t="str">
        <f t="shared" ca="1" si="34"/>
        <v>&gt;60 dias</v>
      </c>
      <c r="AE1049" s="25">
        <f>MONTH(Tabela1[[#This Row],[Criado em]])</f>
        <v>10</v>
      </c>
      <c r="AF1049" s="25">
        <f>YEAR(Tabela1[[#This Row],[Criado em]])</f>
        <v>2025</v>
      </c>
      <c r="AG1049" s="25">
        <f>COUNTIFS(Tabela1[Mês],Tabela1[[#This Row],[Mês]])</f>
        <v>196</v>
      </c>
      <c r="AH1049" s="25">
        <f>COUNTIFS(Tabela1[Mês],Tabela1[[#This Row],[Mês]],Tabela1[Fase atual],"Recebido")</f>
        <v>138</v>
      </c>
      <c r="AI1049" s="26">
        <f>Tabela1[[#This Row],[Recebido_ Mes]]/Tabela1[[#This Row],[Total_Mes]]</f>
        <v>0.70408163265306123</v>
      </c>
      <c r="AJ1049" s="19">
        <f>COUNTIFS(Tabela1[Fase atual],"Recebido",Tabela1[Mês],Tabela1[[#This Row],[Mês]],Tabela1[Ano],Tabela1[[#This Row],[Ano]])/COUNTIF(Tabela1[Mês],Tabela1[[#This Row],[Mês]])</f>
        <v>0.70408163265306123</v>
      </c>
      <c r="AK1049" s="20">
        <f>100%</f>
        <v>1</v>
      </c>
    </row>
    <row r="1050" spans="1:37" ht="18" customHeight="1" x14ac:dyDescent="0.25">
      <c r="A1050">
        <v>1215275803</v>
      </c>
      <c r="B1050" t="s">
        <v>1738</v>
      </c>
      <c r="C1050" t="s">
        <v>1739</v>
      </c>
      <c r="D1050" t="s">
        <v>37</v>
      </c>
      <c r="E1050" t="s">
        <v>31</v>
      </c>
      <c r="F1050" s="2">
        <v>45916.642134791669</v>
      </c>
      <c r="AC1050" s="24">
        <f t="shared" ca="1" si="33"/>
        <v>217.35786520833062</v>
      </c>
      <c r="AD1050" s="25" t="str">
        <f t="shared" ca="1" si="34"/>
        <v>&gt;60 dias</v>
      </c>
      <c r="AE1050" s="25">
        <f>MONTH(Tabela1[[#This Row],[Criado em]])</f>
        <v>9</v>
      </c>
      <c r="AF1050" s="25">
        <f>YEAR(Tabela1[[#This Row],[Criado em]])</f>
        <v>2025</v>
      </c>
      <c r="AG1050" s="25">
        <f>COUNTIFS(Tabela1[Mês],Tabela1[[#This Row],[Mês]])</f>
        <v>197</v>
      </c>
      <c r="AH1050" s="25">
        <f>COUNTIFS(Tabela1[Mês],Tabela1[[#This Row],[Mês]],Tabela1[Fase atual],"Recebido")</f>
        <v>152</v>
      </c>
      <c r="AI1050" s="26">
        <f>Tabela1[[#This Row],[Recebido_ Mes]]/Tabela1[[#This Row],[Total_Mes]]</f>
        <v>0.77157360406091369</v>
      </c>
      <c r="AJ1050" s="19">
        <f>COUNTIFS(Tabela1[Fase atual],"Recebido",Tabela1[Mês],Tabela1[[#This Row],[Mês]],Tabela1[Ano],Tabela1[[#This Row],[Ano]])/COUNTIF(Tabela1[Mês],Tabela1[[#This Row],[Mês]])</f>
        <v>0.77157360406091369</v>
      </c>
      <c r="AK1050" s="20">
        <f>100%</f>
        <v>1</v>
      </c>
    </row>
    <row r="1051" spans="1:37" ht="18" customHeight="1" x14ac:dyDescent="0.25">
      <c r="A1051">
        <v>1219993185</v>
      </c>
      <c r="B1051" t="s">
        <v>1738</v>
      </c>
      <c r="C1051" t="s">
        <v>1740</v>
      </c>
      <c r="D1051" t="s">
        <v>37</v>
      </c>
      <c r="E1051" t="s">
        <v>31</v>
      </c>
      <c r="F1051" s="2">
        <v>45923.64207627315</v>
      </c>
      <c r="AC1051" s="24">
        <f t="shared" ca="1" si="33"/>
        <v>210.35792372684955</v>
      </c>
      <c r="AD1051" s="25" t="str">
        <f t="shared" ca="1" si="34"/>
        <v>&gt;60 dias</v>
      </c>
      <c r="AE1051" s="25">
        <f>MONTH(Tabela1[[#This Row],[Criado em]])</f>
        <v>9</v>
      </c>
      <c r="AF1051" s="25">
        <f>YEAR(Tabela1[[#This Row],[Criado em]])</f>
        <v>2025</v>
      </c>
      <c r="AG1051" s="25">
        <f>COUNTIFS(Tabela1[Mês],Tabela1[[#This Row],[Mês]])</f>
        <v>197</v>
      </c>
      <c r="AH1051" s="25">
        <f>COUNTIFS(Tabela1[Mês],Tabela1[[#This Row],[Mês]],Tabela1[Fase atual],"Recebido")</f>
        <v>152</v>
      </c>
      <c r="AI1051" s="26">
        <f>Tabela1[[#This Row],[Recebido_ Mes]]/Tabela1[[#This Row],[Total_Mes]]</f>
        <v>0.77157360406091369</v>
      </c>
      <c r="AJ1051" s="19">
        <f>COUNTIFS(Tabela1[Fase atual],"Recebido",Tabela1[Mês],Tabela1[[#This Row],[Mês]],Tabela1[Ano],Tabela1[[#This Row],[Ano]])/COUNTIF(Tabela1[Mês],Tabela1[[#This Row],[Mês]])</f>
        <v>0.77157360406091369</v>
      </c>
      <c r="AK1051" s="20">
        <f>100%</f>
        <v>1</v>
      </c>
    </row>
    <row r="1052" spans="1:37" ht="18" customHeight="1" x14ac:dyDescent="0.25">
      <c r="A1052">
        <v>1180159271</v>
      </c>
      <c r="B1052" t="s">
        <v>1741</v>
      </c>
      <c r="C1052" t="s">
        <v>1742</v>
      </c>
      <c r="D1052" t="s">
        <v>784</v>
      </c>
      <c r="E1052" t="s">
        <v>31</v>
      </c>
      <c r="F1052" s="2">
        <v>45859.643735497681</v>
      </c>
      <c r="AC1052" s="24">
        <f t="shared" ca="1" si="33"/>
        <v>274.35626450231939</v>
      </c>
      <c r="AD1052" s="25" t="str">
        <f t="shared" ca="1" si="34"/>
        <v>&gt;60 dias</v>
      </c>
      <c r="AE1052" s="25">
        <f>MONTH(Tabela1[[#This Row],[Criado em]])</f>
        <v>7</v>
      </c>
      <c r="AF1052" s="25">
        <f>YEAR(Tabela1[[#This Row],[Criado em]])</f>
        <v>2025</v>
      </c>
      <c r="AG1052" s="25">
        <f>COUNTIFS(Tabela1[Mês],Tabela1[[#This Row],[Mês]])</f>
        <v>177</v>
      </c>
      <c r="AH1052" s="25">
        <f>COUNTIFS(Tabela1[Mês],Tabela1[[#This Row],[Mês]],Tabela1[Fase atual],"Recebido")</f>
        <v>130</v>
      </c>
      <c r="AI1052" s="26">
        <f>Tabela1[[#This Row],[Recebido_ Mes]]/Tabela1[[#This Row],[Total_Mes]]</f>
        <v>0.7344632768361582</v>
      </c>
      <c r="AJ1052" s="19">
        <f>COUNTIFS(Tabela1[Fase atual],"Recebido",Tabela1[Mês],Tabela1[[#This Row],[Mês]],Tabela1[Ano],Tabela1[[#This Row],[Ano]])/COUNTIF(Tabela1[Mês],Tabela1[[#This Row],[Mês]])</f>
        <v>0.7344632768361582</v>
      </c>
      <c r="AK1052" s="20">
        <f>100%</f>
        <v>1</v>
      </c>
    </row>
    <row r="1053" spans="1:37" ht="18" customHeight="1" x14ac:dyDescent="0.25">
      <c r="A1053">
        <v>1282981208</v>
      </c>
      <c r="B1053" t="s">
        <v>458</v>
      </c>
      <c r="C1053" t="s">
        <v>459</v>
      </c>
      <c r="D1053" t="s">
        <v>40</v>
      </c>
      <c r="E1053" t="s">
        <v>31</v>
      </c>
      <c r="F1053" s="2">
        <v>46038.793929375002</v>
      </c>
      <c r="AC1053" s="24">
        <f t="shared" ca="1" si="33"/>
        <v>95.206070624997665</v>
      </c>
      <c r="AD1053" s="25" t="str">
        <f t="shared" ca="1" si="34"/>
        <v>&gt;60 dias</v>
      </c>
      <c r="AE1053" s="25">
        <f>MONTH(Tabela1[[#This Row],[Criado em]])</f>
        <v>1</v>
      </c>
      <c r="AF1053" s="25">
        <f>YEAR(Tabela1[[#This Row],[Criado em]])</f>
        <v>2026</v>
      </c>
      <c r="AG1053" s="25">
        <f>COUNTIFS(Tabela1[Mês],Tabela1[[#This Row],[Mês]])</f>
        <v>222</v>
      </c>
      <c r="AH1053" s="25">
        <f>COUNTIFS(Tabela1[Mês],Tabela1[[#This Row],[Mês]],Tabela1[Fase atual],"Recebido")</f>
        <v>174</v>
      </c>
      <c r="AI1053" s="26">
        <f>Tabela1[[#This Row],[Recebido_ Mes]]/Tabela1[[#This Row],[Total_Mes]]</f>
        <v>0.78378378378378377</v>
      </c>
      <c r="AJ1053" s="19">
        <f>COUNTIFS(Tabela1[Fase atual],"Recebido",Tabela1[Mês],Tabela1[[#This Row],[Mês]],Tabela1[Ano],Tabela1[[#This Row],[Ano]])/COUNTIF(Tabela1[Mês],Tabela1[[#This Row],[Mês]])</f>
        <v>0.78378378378378377</v>
      </c>
      <c r="AK1053" s="20">
        <f>100%</f>
        <v>1</v>
      </c>
    </row>
    <row r="1054" spans="1:37" ht="18" customHeight="1" x14ac:dyDescent="0.25">
      <c r="A1054">
        <v>1249613852</v>
      </c>
      <c r="B1054" t="s">
        <v>1743</v>
      </c>
      <c r="C1054" t="s">
        <v>2254</v>
      </c>
      <c r="D1054" t="s">
        <v>40</v>
      </c>
      <c r="E1054" t="s">
        <v>31</v>
      </c>
      <c r="F1054" s="2">
        <v>45965.67526329861</v>
      </c>
      <c r="AC1054" s="24">
        <f t="shared" ca="1" si="33"/>
        <v>168.32473670139007</v>
      </c>
      <c r="AD1054" s="25" t="str">
        <f t="shared" ca="1" si="34"/>
        <v>&gt;60 dias</v>
      </c>
      <c r="AE1054" s="25">
        <f>MONTH(Tabela1[[#This Row],[Criado em]])</f>
        <v>11</v>
      </c>
      <c r="AF1054" s="25">
        <f>YEAR(Tabela1[[#This Row],[Criado em]])</f>
        <v>2025</v>
      </c>
      <c r="AG1054" s="25">
        <f>COUNTIFS(Tabela1[Mês],Tabela1[[#This Row],[Mês]])</f>
        <v>130</v>
      </c>
      <c r="AH1054" s="25">
        <f>COUNTIFS(Tabela1[Mês],Tabela1[[#This Row],[Mês]],Tabela1[Fase atual],"Recebido")</f>
        <v>100</v>
      </c>
      <c r="AI1054" s="26">
        <f>Tabela1[[#This Row],[Recebido_ Mes]]/Tabela1[[#This Row],[Total_Mes]]</f>
        <v>0.76923076923076927</v>
      </c>
      <c r="AJ1054" s="19">
        <f>COUNTIFS(Tabela1[Fase atual],"Recebido",Tabela1[Mês],Tabela1[[#This Row],[Mês]],Tabela1[Ano],Tabela1[[#This Row],[Ano]])/COUNTIF(Tabela1[Mês],Tabela1[[#This Row],[Mês]])</f>
        <v>0.76923076923076927</v>
      </c>
      <c r="AK1054" s="20">
        <f>100%</f>
        <v>1</v>
      </c>
    </row>
    <row r="1055" spans="1:37" ht="18" customHeight="1" x14ac:dyDescent="0.25">
      <c r="A1055">
        <v>1267303029</v>
      </c>
      <c r="B1055" t="s">
        <v>1744</v>
      </c>
      <c r="C1055" t="s">
        <v>1745</v>
      </c>
      <c r="D1055" t="s">
        <v>37</v>
      </c>
      <c r="E1055" t="s">
        <v>31</v>
      </c>
      <c r="F1055" s="2">
        <v>46002.922386886567</v>
      </c>
      <c r="AC1055" s="24">
        <f t="shared" ca="1" si="33"/>
        <v>131.07761311343347</v>
      </c>
      <c r="AD1055" s="25" t="str">
        <f t="shared" ca="1" si="34"/>
        <v>&gt;60 dias</v>
      </c>
      <c r="AE1055" s="25">
        <f>MONTH(Tabela1[[#This Row],[Criado em]])</f>
        <v>12</v>
      </c>
      <c r="AF1055" s="25">
        <f>YEAR(Tabela1[[#This Row],[Criado em]])</f>
        <v>2025</v>
      </c>
      <c r="AG1055" s="25">
        <f>COUNTIFS(Tabela1[Mês],Tabela1[[#This Row],[Mês]])</f>
        <v>207</v>
      </c>
      <c r="AH1055" s="25">
        <f>COUNTIFS(Tabela1[Mês],Tabela1[[#This Row],[Mês]],Tabela1[Fase atual],"Recebido")</f>
        <v>155</v>
      </c>
      <c r="AI1055" s="26">
        <f>Tabela1[[#This Row],[Recebido_ Mes]]/Tabela1[[#This Row],[Total_Mes]]</f>
        <v>0.74879227053140096</v>
      </c>
      <c r="AJ1055" s="19">
        <f>COUNTIFS(Tabela1[Fase atual],"Recebido",Tabela1[Mês],Tabela1[[#This Row],[Mês]],Tabela1[Ano],Tabela1[[#This Row],[Ano]])/COUNTIF(Tabela1[Mês],Tabela1[[#This Row],[Mês]])</f>
        <v>0.74879227053140096</v>
      </c>
      <c r="AK1055" s="20">
        <f>100%</f>
        <v>1</v>
      </c>
    </row>
    <row r="1056" spans="1:37" ht="18" customHeight="1" x14ac:dyDescent="0.25">
      <c r="A1056">
        <v>1245763901</v>
      </c>
      <c r="B1056" t="s">
        <v>1746</v>
      </c>
      <c r="C1056" t="s">
        <v>1747</v>
      </c>
      <c r="D1056" t="s">
        <v>40</v>
      </c>
      <c r="E1056" t="s">
        <v>31</v>
      </c>
      <c r="F1056" s="2">
        <v>45957.91920186342</v>
      </c>
      <c r="AC1056" s="24">
        <f t="shared" ca="1" si="33"/>
        <v>176.08079813657969</v>
      </c>
      <c r="AD1056" s="25" t="str">
        <f t="shared" ca="1" si="34"/>
        <v>&gt;60 dias</v>
      </c>
      <c r="AE1056" s="25">
        <f>MONTH(Tabela1[[#This Row],[Criado em]])</f>
        <v>10</v>
      </c>
      <c r="AF1056" s="25">
        <f>YEAR(Tabela1[[#This Row],[Criado em]])</f>
        <v>2025</v>
      </c>
      <c r="AG1056" s="25">
        <f>COUNTIFS(Tabela1[Mês],Tabela1[[#This Row],[Mês]])</f>
        <v>196</v>
      </c>
      <c r="AH1056" s="25">
        <f>COUNTIFS(Tabela1[Mês],Tabela1[[#This Row],[Mês]],Tabela1[Fase atual],"Recebido")</f>
        <v>138</v>
      </c>
      <c r="AI1056" s="26">
        <f>Tabela1[[#This Row],[Recebido_ Mes]]/Tabela1[[#This Row],[Total_Mes]]</f>
        <v>0.70408163265306123</v>
      </c>
      <c r="AJ1056" s="19">
        <f>COUNTIFS(Tabela1[Fase atual],"Recebido",Tabela1[Mês],Tabela1[[#This Row],[Mês]],Tabela1[Ano],Tabela1[[#This Row],[Ano]])/COUNTIF(Tabela1[Mês],Tabela1[[#This Row],[Mês]])</f>
        <v>0.70408163265306123</v>
      </c>
      <c r="AK1056" s="20">
        <f>100%</f>
        <v>1</v>
      </c>
    </row>
    <row r="1057" spans="1:37" ht="18" customHeight="1" x14ac:dyDescent="0.25">
      <c r="A1057">
        <v>1293739133</v>
      </c>
      <c r="B1057" t="s">
        <v>460</v>
      </c>
      <c r="C1057" t="s">
        <v>461</v>
      </c>
      <c r="D1057" t="s">
        <v>40</v>
      </c>
      <c r="E1057" t="s">
        <v>31</v>
      </c>
      <c r="F1057" s="2">
        <v>46058.62857990741</v>
      </c>
      <c r="AC1057" s="24">
        <f t="shared" ca="1" si="33"/>
        <v>75.371420092589688</v>
      </c>
      <c r="AD1057" s="25" t="str">
        <f t="shared" ca="1" si="34"/>
        <v>&gt;60 dias</v>
      </c>
      <c r="AE1057" s="25">
        <f>MONTH(Tabela1[[#This Row],[Criado em]])</f>
        <v>2</v>
      </c>
      <c r="AF1057" s="25">
        <f>YEAR(Tabela1[[#This Row],[Criado em]])</f>
        <v>2026</v>
      </c>
      <c r="AG1057" s="25">
        <f>COUNTIFS(Tabela1[Mês],Tabela1[[#This Row],[Mês]])</f>
        <v>197</v>
      </c>
      <c r="AH1057" s="25">
        <f>COUNTIFS(Tabela1[Mês],Tabela1[[#This Row],[Mês]],Tabela1[Fase atual],"Recebido")</f>
        <v>124</v>
      </c>
      <c r="AI1057" s="26">
        <f>Tabela1[[#This Row],[Recebido_ Mes]]/Tabela1[[#This Row],[Total_Mes]]</f>
        <v>0.62944162436548223</v>
      </c>
      <c r="AJ1057" s="19">
        <f>COUNTIFS(Tabela1[Fase atual],"Recebido",Tabela1[Mês],Tabela1[[#This Row],[Mês]],Tabela1[Ano],Tabela1[[#This Row],[Ano]])/COUNTIF(Tabela1[Mês],Tabela1[[#This Row],[Mês]])</f>
        <v>0.62944162436548223</v>
      </c>
      <c r="AK1057" s="20">
        <f>100%</f>
        <v>1</v>
      </c>
    </row>
    <row r="1058" spans="1:37" ht="18" customHeight="1" x14ac:dyDescent="0.25">
      <c r="A1058">
        <v>1235644394</v>
      </c>
      <c r="B1058" t="s">
        <v>495</v>
      </c>
      <c r="C1058" t="s">
        <v>1748</v>
      </c>
      <c r="D1058" t="s">
        <v>37</v>
      </c>
      <c r="E1058" t="s">
        <v>31</v>
      </c>
      <c r="F1058" s="2">
        <v>45944.920513958343</v>
      </c>
      <c r="AC1058" s="24">
        <f t="shared" ca="1" si="33"/>
        <v>189.07948604165722</v>
      </c>
      <c r="AD1058" s="25" t="str">
        <f t="shared" ca="1" si="34"/>
        <v>&gt;60 dias</v>
      </c>
      <c r="AE1058" s="25">
        <f>MONTH(Tabela1[[#This Row],[Criado em]])</f>
        <v>10</v>
      </c>
      <c r="AF1058" s="25">
        <f>YEAR(Tabela1[[#This Row],[Criado em]])</f>
        <v>2025</v>
      </c>
      <c r="AG1058" s="25">
        <f>COUNTIFS(Tabela1[Mês],Tabela1[[#This Row],[Mês]])</f>
        <v>196</v>
      </c>
      <c r="AH1058" s="25">
        <f>COUNTIFS(Tabela1[Mês],Tabela1[[#This Row],[Mês]],Tabela1[Fase atual],"Recebido")</f>
        <v>138</v>
      </c>
      <c r="AI1058" s="26">
        <f>Tabela1[[#This Row],[Recebido_ Mes]]/Tabela1[[#This Row],[Total_Mes]]</f>
        <v>0.70408163265306123</v>
      </c>
      <c r="AJ1058" s="19">
        <f>COUNTIFS(Tabela1[Fase atual],"Recebido",Tabela1[Mês],Tabela1[[#This Row],[Mês]],Tabela1[Ano],Tabela1[[#This Row],[Ano]])/COUNTIF(Tabela1[Mês],Tabela1[[#This Row],[Mês]])</f>
        <v>0.70408163265306123</v>
      </c>
      <c r="AK1058" s="20">
        <f>100%</f>
        <v>1</v>
      </c>
    </row>
    <row r="1059" spans="1:37" ht="18" customHeight="1" x14ac:dyDescent="0.25">
      <c r="A1059">
        <v>1297689770</v>
      </c>
      <c r="B1059" t="s">
        <v>462</v>
      </c>
      <c r="C1059" t="s">
        <v>463</v>
      </c>
      <c r="D1059" t="s">
        <v>37</v>
      </c>
      <c r="E1059" t="s">
        <v>31</v>
      </c>
      <c r="F1059" s="2">
        <v>46066.795494560181</v>
      </c>
      <c r="AC1059" s="24">
        <f t="shared" ca="1" si="33"/>
        <v>67.204505439818604</v>
      </c>
      <c r="AD1059" s="25" t="str">
        <f t="shared" ca="1" si="34"/>
        <v>&gt;60 dias</v>
      </c>
      <c r="AE1059" s="25">
        <f>MONTH(Tabela1[[#This Row],[Criado em]])</f>
        <v>2</v>
      </c>
      <c r="AF1059" s="25">
        <f>YEAR(Tabela1[[#This Row],[Criado em]])</f>
        <v>2026</v>
      </c>
      <c r="AG1059" s="25">
        <f>COUNTIFS(Tabela1[Mês],Tabela1[[#This Row],[Mês]])</f>
        <v>197</v>
      </c>
      <c r="AH1059" s="25">
        <f>COUNTIFS(Tabela1[Mês],Tabela1[[#This Row],[Mês]],Tabela1[Fase atual],"Recebido")</f>
        <v>124</v>
      </c>
      <c r="AI1059" s="26">
        <f>Tabela1[[#This Row],[Recebido_ Mes]]/Tabela1[[#This Row],[Total_Mes]]</f>
        <v>0.62944162436548223</v>
      </c>
      <c r="AJ1059" s="19">
        <f>COUNTIFS(Tabela1[Fase atual],"Recebido",Tabela1[Mês],Tabela1[[#This Row],[Mês]],Tabela1[Ano],Tabela1[[#This Row],[Ano]])/COUNTIF(Tabela1[Mês],Tabela1[[#This Row],[Mês]])</f>
        <v>0.62944162436548223</v>
      </c>
      <c r="AK1059" s="20">
        <f>100%</f>
        <v>1</v>
      </c>
    </row>
    <row r="1060" spans="1:37" ht="18" customHeight="1" x14ac:dyDescent="0.25">
      <c r="A1060">
        <v>1186999099</v>
      </c>
      <c r="B1060" t="s">
        <v>398</v>
      </c>
      <c r="C1060" t="s">
        <v>1749</v>
      </c>
      <c r="D1060" t="s">
        <v>37</v>
      </c>
      <c r="E1060" t="s">
        <v>31</v>
      </c>
      <c r="F1060" s="2">
        <v>45870.642441342592</v>
      </c>
      <c r="AC1060" s="24">
        <f t="shared" ca="1" si="33"/>
        <v>263.35755865740794</v>
      </c>
      <c r="AD1060" s="25" t="str">
        <f t="shared" ca="1" si="34"/>
        <v>&gt;60 dias</v>
      </c>
      <c r="AE1060" s="25">
        <f>MONTH(Tabela1[[#This Row],[Criado em]])</f>
        <v>8</v>
      </c>
      <c r="AF1060" s="25">
        <f>YEAR(Tabela1[[#This Row],[Criado em]])</f>
        <v>2025</v>
      </c>
      <c r="AG1060" s="25">
        <f>COUNTIFS(Tabela1[Mês],Tabela1[[#This Row],[Mês]])</f>
        <v>146</v>
      </c>
      <c r="AH1060" s="25">
        <f>COUNTIFS(Tabela1[Mês],Tabela1[[#This Row],[Mês]],Tabela1[Fase atual],"Recebido")</f>
        <v>115</v>
      </c>
      <c r="AI1060" s="26">
        <f>Tabela1[[#This Row],[Recebido_ Mes]]/Tabela1[[#This Row],[Total_Mes]]</f>
        <v>0.78767123287671237</v>
      </c>
      <c r="AJ1060" s="19">
        <f>COUNTIFS(Tabela1[Fase atual],"Recebido",Tabela1[Mês],Tabela1[[#This Row],[Mês]],Tabela1[Ano],Tabela1[[#This Row],[Ano]])/COUNTIF(Tabela1[Mês],Tabela1[[#This Row],[Mês]])</f>
        <v>0.78767123287671237</v>
      </c>
      <c r="AK1060" s="20">
        <f>100%</f>
        <v>1</v>
      </c>
    </row>
    <row r="1061" spans="1:37" ht="18" customHeight="1" x14ac:dyDescent="0.25">
      <c r="A1061">
        <v>1220627873</v>
      </c>
      <c r="B1061" t="s">
        <v>1750</v>
      </c>
      <c r="C1061" t="s">
        <v>1751</v>
      </c>
      <c r="D1061" t="s">
        <v>37</v>
      </c>
      <c r="E1061" t="s">
        <v>31</v>
      </c>
      <c r="F1061" s="2">
        <v>45924.643813356481</v>
      </c>
      <c r="AC1061" s="24">
        <f t="shared" ca="1" si="33"/>
        <v>209.35618664351932</v>
      </c>
      <c r="AD1061" s="25" t="str">
        <f t="shared" ca="1" si="34"/>
        <v>&gt;60 dias</v>
      </c>
      <c r="AE1061" s="25">
        <f>MONTH(Tabela1[[#This Row],[Criado em]])</f>
        <v>9</v>
      </c>
      <c r="AF1061" s="25">
        <f>YEAR(Tabela1[[#This Row],[Criado em]])</f>
        <v>2025</v>
      </c>
      <c r="AG1061" s="25">
        <f>COUNTIFS(Tabela1[Mês],Tabela1[[#This Row],[Mês]])</f>
        <v>197</v>
      </c>
      <c r="AH1061" s="25">
        <f>COUNTIFS(Tabela1[Mês],Tabela1[[#This Row],[Mês]],Tabela1[Fase atual],"Recebido")</f>
        <v>152</v>
      </c>
      <c r="AI1061" s="26">
        <f>Tabela1[[#This Row],[Recebido_ Mes]]/Tabela1[[#This Row],[Total_Mes]]</f>
        <v>0.77157360406091369</v>
      </c>
      <c r="AJ1061" s="19">
        <f>COUNTIFS(Tabela1[Fase atual],"Recebido",Tabela1[Mês],Tabela1[[#This Row],[Mês]],Tabela1[Ano],Tabela1[[#This Row],[Ano]])/COUNTIF(Tabela1[Mês],Tabela1[[#This Row],[Mês]])</f>
        <v>0.77157360406091369</v>
      </c>
      <c r="AK1061" s="20">
        <f>100%</f>
        <v>1</v>
      </c>
    </row>
    <row r="1062" spans="1:37" ht="18" customHeight="1" x14ac:dyDescent="0.25">
      <c r="A1062">
        <v>1288419607</v>
      </c>
      <c r="B1062" t="s">
        <v>464</v>
      </c>
      <c r="C1062" t="s">
        <v>465</v>
      </c>
      <c r="D1062" t="s">
        <v>37</v>
      </c>
      <c r="E1062" t="s">
        <v>31</v>
      </c>
      <c r="F1062" s="2">
        <v>46048.920125081022</v>
      </c>
      <c r="AC1062" s="24">
        <f t="shared" ca="1" si="33"/>
        <v>85.079874918978021</v>
      </c>
      <c r="AD1062" s="25" t="str">
        <f t="shared" ca="1" si="34"/>
        <v>&gt;60 dias</v>
      </c>
      <c r="AE1062" s="25">
        <f>MONTH(Tabela1[[#This Row],[Criado em]])</f>
        <v>1</v>
      </c>
      <c r="AF1062" s="25">
        <f>YEAR(Tabela1[[#This Row],[Criado em]])</f>
        <v>2026</v>
      </c>
      <c r="AG1062" s="25">
        <f>COUNTIFS(Tabela1[Mês],Tabela1[[#This Row],[Mês]])</f>
        <v>222</v>
      </c>
      <c r="AH1062" s="25">
        <f>COUNTIFS(Tabela1[Mês],Tabela1[[#This Row],[Mês]],Tabela1[Fase atual],"Recebido")</f>
        <v>174</v>
      </c>
      <c r="AI1062" s="26">
        <f>Tabela1[[#This Row],[Recebido_ Mes]]/Tabela1[[#This Row],[Total_Mes]]</f>
        <v>0.78378378378378377</v>
      </c>
      <c r="AJ1062" s="19">
        <f>COUNTIFS(Tabela1[Fase atual],"Recebido",Tabela1[Mês],Tabela1[[#This Row],[Mês]],Tabela1[Ano],Tabela1[[#This Row],[Ano]])/COUNTIF(Tabela1[Mês],Tabela1[[#This Row],[Mês]])</f>
        <v>0.78378378378378377</v>
      </c>
      <c r="AK1062" s="20">
        <f>100%</f>
        <v>1</v>
      </c>
    </row>
    <row r="1063" spans="1:37" ht="18" customHeight="1" x14ac:dyDescent="0.25">
      <c r="A1063">
        <v>1212789541</v>
      </c>
      <c r="B1063" t="s">
        <v>1752</v>
      </c>
      <c r="C1063" t="s">
        <v>1753</v>
      </c>
      <c r="D1063" t="s">
        <v>784</v>
      </c>
      <c r="E1063" t="s">
        <v>31</v>
      </c>
      <c r="F1063" s="2">
        <v>45911.84963636574</v>
      </c>
      <c r="AC1063" s="24">
        <f t="shared" ca="1" si="33"/>
        <v>222.15036363426043</v>
      </c>
      <c r="AD1063" s="25" t="str">
        <f t="shared" ca="1" si="34"/>
        <v>&gt;60 dias</v>
      </c>
      <c r="AE1063" s="25">
        <f>MONTH(Tabela1[[#This Row],[Criado em]])</f>
        <v>9</v>
      </c>
      <c r="AF1063" s="25">
        <f>YEAR(Tabela1[[#This Row],[Criado em]])</f>
        <v>2025</v>
      </c>
      <c r="AG1063" s="25">
        <f>COUNTIFS(Tabela1[Mês],Tabela1[[#This Row],[Mês]])</f>
        <v>197</v>
      </c>
      <c r="AH1063" s="25">
        <f>COUNTIFS(Tabela1[Mês],Tabela1[[#This Row],[Mês]],Tabela1[Fase atual],"Recebido")</f>
        <v>152</v>
      </c>
      <c r="AI1063" s="26">
        <f>Tabela1[[#This Row],[Recebido_ Mes]]/Tabela1[[#This Row],[Total_Mes]]</f>
        <v>0.77157360406091369</v>
      </c>
      <c r="AJ1063" s="19">
        <f>COUNTIFS(Tabela1[Fase atual],"Recebido",Tabela1[Mês],Tabela1[[#This Row],[Mês]],Tabela1[Ano],Tabela1[[#This Row],[Ano]])/COUNTIF(Tabela1[Mês],Tabela1[[#This Row],[Mês]])</f>
        <v>0.77157360406091369</v>
      </c>
      <c r="AK1063" s="20">
        <f>100%</f>
        <v>1</v>
      </c>
    </row>
    <row r="1064" spans="1:37" ht="18" customHeight="1" x14ac:dyDescent="0.25">
      <c r="A1064">
        <v>1206100980</v>
      </c>
      <c r="B1064" t="s">
        <v>1754</v>
      </c>
      <c r="C1064" t="s">
        <v>1755</v>
      </c>
      <c r="D1064" t="s">
        <v>37</v>
      </c>
      <c r="E1064" t="s">
        <v>31</v>
      </c>
      <c r="F1064" s="2">
        <v>45901.851517581017</v>
      </c>
      <c r="AC1064" s="24">
        <f t="shared" ca="1" si="33"/>
        <v>232.14848241898289</v>
      </c>
      <c r="AD1064" s="25" t="str">
        <f t="shared" ca="1" si="34"/>
        <v>&gt;60 dias</v>
      </c>
      <c r="AE1064" s="25">
        <f>MONTH(Tabela1[[#This Row],[Criado em]])</f>
        <v>9</v>
      </c>
      <c r="AF1064" s="25">
        <f>YEAR(Tabela1[[#This Row],[Criado em]])</f>
        <v>2025</v>
      </c>
      <c r="AG1064" s="25">
        <f>COUNTIFS(Tabela1[Mês],Tabela1[[#This Row],[Mês]])</f>
        <v>197</v>
      </c>
      <c r="AH1064" s="25">
        <f>COUNTIFS(Tabela1[Mês],Tabela1[[#This Row],[Mês]],Tabela1[Fase atual],"Recebido")</f>
        <v>152</v>
      </c>
      <c r="AI1064" s="26">
        <f>Tabela1[[#This Row],[Recebido_ Mes]]/Tabela1[[#This Row],[Total_Mes]]</f>
        <v>0.77157360406091369</v>
      </c>
      <c r="AJ1064" s="19">
        <f>COUNTIFS(Tabela1[Fase atual],"Recebido",Tabela1[Mês],Tabela1[[#This Row],[Mês]],Tabela1[Ano],Tabela1[[#This Row],[Ano]])/COUNTIF(Tabela1[Mês],Tabela1[[#This Row],[Mês]])</f>
        <v>0.77157360406091369</v>
      </c>
      <c r="AK1064" s="20">
        <f>100%</f>
        <v>1</v>
      </c>
    </row>
    <row r="1065" spans="1:37" ht="18" customHeight="1" x14ac:dyDescent="0.25">
      <c r="A1065">
        <v>1199604724</v>
      </c>
      <c r="B1065" t="s">
        <v>1754</v>
      </c>
      <c r="C1065" t="s">
        <v>1756</v>
      </c>
      <c r="D1065" t="s">
        <v>37</v>
      </c>
      <c r="E1065" t="s">
        <v>31</v>
      </c>
      <c r="F1065" s="2">
        <v>45890.851288599537</v>
      </c>
      <c r="AC1065" s="24">
        <f t="shared" ca="1" si="33"/>
        <v>243.14871140046307</v>
      </c>
      <c r="AD1065" s="25" t="str">
        <f t="shared" ca="1" si="34"/>
        <v>&gt;60 dias</v>
      </c>
      <c r="AE1065" s="25">
        <f>MONTH(Tabela1[[#This Row],[Criado em]])</f>
        <v>8</v>
      </c>
      <c r="AF1065" s="25">
        <f>YEAR(Tabela1[[#This Row],[Criado em]])</f>
        <v>2025</v>
      </c>
      <c r="AG1065" s="25">
        <f>COUNTIFS(Tabela1[Mês],Tabela1[[#This Row],[Mês]])</f>
        <v>146</v>
      </c>
      <c r="AH1065" s="25">
        <f>COUNTIFS(Tabela1[Mês],Tabela1[[#This Row],[Mês]],Tabela1[Fase atual],"Recebido")</f>
        <v>115</v>
      </c>
      <c r="AI1065" s="26">
        <f>Tabela1[[#This Row],[Recebido_ Mes]]/Tabela1[[#This Row],[Total_Mes]]</f>
        <v>0.78767123287671237</v>
      </c>
      <c r="AJ1065" s="19">
        <f>COUNTIFS(Tabela1[Fase atual],"Recebido",Tabela1[Mês],Tabela1[[#This Row],[Mês]],Tabela1[Ano],Tabela1[[#This Row],[Ano]])/COUNTIF(Tabela1[Mês],Tabela1[[#This Row],[Mês]])</f>
        <v>0.78767123287671237</v>
      </c>
      <c r="AK1065" s="20">
        <f>100%</f>
        <v>1</v>
      </c>
    </row>
    <row r="1066" spans="1:37" ht="18" customHeight="1" x14ac:dyDescent="0.25">
      <c r="A1066">
        <v>1231461405</v>
      </c>
      <c r="B1066" t="s">
        <v>1757</v>
      </c>
      <c r="C1066" t="s">
        <v>1758</v>
      </c>
      <c r="D1066" t="s">
        <v>37</v>
      </c>
      <c r="E1066" t="s">
        <v>31</v>
      </c>
      <c r="F1066" s="2">
        <v>45939.851091180557</v>
      </c>
      <c r="AC1066" s="24">
        <f t="shared" ca="1" si="33"/>
        <v>194.14890881944302</v>
      </c>
      <c r="AD1066" s="25" t="str">
        <f t="shared" ca="1" si="34"/>
        <v>&gt;60 dias</v>
      </c>
      <c r="AE1066" s="25">
        <f>MONTH(Tabela1[[#This Row],[Criado em]])</f>
        <v>10</v>
      </c>
      <c r="AF1066" s="25">
        <f>YEAR(Tabela1[[#This Row],[Criado em]])</f>
        <v>2025</v>
      </c>
      <c r="AG1066" s="25">
        <f>COUNTIFS(Tabela1[Mês],Tabela1[[#This Row],[Mês]])</f>
        <v>196</v>
      </c>
      <c r="AH1066" s="25">
        <f>COUNTIFS(Tabela1[Mês],Tabela1[[#This Row],[Mês]],Tabela1[Fase atual],"Recebido")</f>
        <v>138</v>
      </c>
      <c r="AI1066" s="26">
        <f>Tabela1[[#This Row],[Recebido_ Mes]]/Tabela1[[#This Row],[Total_Mes]]</f>
        <v>0.70408163265306123</v>
      </c>
      <c r="AJ1066" s="19">
        <f>COUNTIFS(Tabela1[Fase atual],"Recebido",Tabela1[Mês],Tabela1[[#This Row],[Mês]],Tabela1[Ano],Tabela1[[#This Row],[Ano]])/COUNTIF(Tabela1[Mês],Tabela1[[#This Row],[Mês]])</f>
        <v>0.70408163265306123</v>
      </c>
      <c r="AK1066" s="20">
        <f>100%</f>
        <v>1</v>
      </c>
    </row>
    <row r="1067" spans="1:37" ht="18" customHeight="1" x14ac:dyDescent="0.25">
      <c r="A1067">
        <v>1227027343</v>
      </c>
      <c r="B1067" t="s">
        <v>1757</v>
      </c>
      <c r="C1067" t="s">
        <v>1758</v>
      </c>
      <c r="D1067" t="s">
        <v>37</v>
      </c>
      <c r="E1067" t="s">
        <v>31</v>
      </c>
      <c r="F1067" s="2">
        <v>45933.850033923613</v>
      </c>
      <c r="AC1067" s="24">
        <f t="shared" ca="1" si="33"/>
        <v>200.1499660763875</v>
      </c>
      <c r="AD1067" s="25" t="str">
        <f t="shared" ca="1" si="34"/>
        <v>&gt;60 dias</v>
      </c>
      <c r="AE1067" s="25">
        <f>MONTH(Tabela1[[#This Row],[Criado em]])</f>
        <v>10</v>
      </c>
      <c r="AF1067" s="25">
        <f>YEAR(Tabela1[[#This Row],[Criado em]])</f>
        <v>2025</v>
      </c>
      <c r="AG1067" s="25">
        <f>COUNTIFS(Tabela1[Mês],Tabela1[[#This Row],[Mês]])</f>
        <v>196</v>
      </c>
      <c r="AH1067" s="25">
        <f>COUNTIFS(Tabela1[Mês],Tabela1[[#This Row],[Mês]],Tabela1[Fase atual],"Recebido")</f>
        <v>138</v>
      </c>
      <c r="AI1067" s="26">
        <f>Tabela1[[#This Row],[Recebido_ Mes]]/Tabela1[[#This Row],[Total_Mes]]</f>
        <v>0.70408163265306123</v>
      </c>
      <c r="AJ1067" s="19">
        <f>COUNTIFS(Tabela1[Fase atual],"Recebido",Tabela1[Mês],Tabela1[[#This Row],[Mês]],Tabela1[Ano],Tabela1[[#This Row],[Ano]])/COUNTIF(Tabela1[Mês],Tabela1[[#This Row],[Mês]])</f>
        <v>0.70408163265306123</v>
      </c>
      <c r="AK1067" s="20">
        <f>100%</f>
        <v>1</v>
      </c>
    </row>
    <row r="1068" spans="1:37" ht="18" customHeight="1" x14ac:dyDescent="0.25">
      <c r="A1068">
        <v>1257102833</v>
      </c>
      <c r="B1068" t="s">
        <v>1759</v>
      </c>
      <c r="C1068" t="s">
        <v>1760</v>
      </c>
      <c r="D1068" t="s">
        <v>37</v>
      </c>
      <c r="E1068" t="s">
        <v>31</v>
      </c>
      <c r="F1068" s="2">
        <v>45980.795742187503</v>
      </c>
      <c r="AC1068" s="24">
        <f t="shared" ca="1" si="33"/>
        <v>153.20425781249651</v>
      </c>
      <c r="AD1068" s="25" t="str">
        <f t="shared" ca="1" si="34"/>
        <v>&gt;60 dias</v>
      </c>
      <c r="AE1068" s="25">
        <f>MONTH(Tabela1[[#This Row],[Criado em]])</f>
        <v>11</v>
      </c>
      <c r="AF1068" s="25">
        <f>YEAR(Tabela1[[#This Row],[Criado em]])</f>
        <v>2025</v>
      </c>
      <c r="AG1068" s="25">
        <f>COUNTIFS(Tabela1[Mês],Tabela1[[#This Row],[Mês]])</f>
        <v>130</v>
      </c>
      <c r="AH1068" s="25">
        <f>COUNTIFS(Tabela1[Mês],Tabela1[[#This Row],[Mês]],Tabela1[Fase atual],"Recebido")</f>
        <v>100</v>
      </c>
      <c r="AI1068" s="26">
        <f>Tabela1[[#This Row],[Recebido_ Mes]]/Tabela1[[#This Row],[Total_Mes]]</f>
        <v>0.76923076923076927</v>
      </c>
      <c r="AJ1068" s="19">
        <f>COUNTIFS(Tabela1[Fase atual],"Recebido",Tabela1[Mês],Tabela1[[#This Row],[Mês]],Tabela1[Ano],Tabela1[[#This Row],[Ano]])/COUNTIF(Tabela1[Mês],Tabela1[[#This Row],[Mês]])</f>
        <v>0.76923076923076927</v>
      </c>
      <c r="AK1068" s="20">
        <f>100%</f>
        <v>1</v>
      </c>
    </row>
    <row r="1069" spans="1:37" ht="18" customHeight="1" x14ac:dyDescent="0.25">
      <c r="A1069">
        <v>1186589056</v>
      </c>
      <c r="B1069" t="s">
        <v>1761</v>
      </c>
      <c r="C1069" t="s">
        <v>1762</v>
      </c>
      <c r="D1069" t="s">
        <v>37</v>
      </c>
      <c r="E1069" t="s">
        <v>31</v>
      </c>
      <c r="F1069" s="2">
        <v>45869.851434837961</v>
      </c>
      <c r="AC1069" s="24">
        <f t="shared" ca="1" si="33"/>
        <v>264.14856516203872</v>
      </c>
      <c r="AD1069" s="25" t="str">
        <f t="shared" ca="1" si="34"/>
        <v>&gt;60 dias</v>
      </c>
      <c r="AE1069" s="25">
        <f>MONTH(Tabela1[[#This Row],[Criado em]])</f>
        <v>7</v>
      </c>
      <c r="AF1069" s="25">
        <f>YEAR(Tabela1[[#This Row],[Criado em]])</f>
        <v>2025</v>
      </c>
      <c r="AG1069" s="25">
        <f>COUNTIFS(Tabela1[Mês],Tabela1[[#This Row],[Mês]])</f>
        <v>177</v>
      </c>
      <c r="AH1069" s="25">
        <f>COUNTIFS(Tabela1[Mês],Tabela1[[#This Row],[Mês]],Tabela1[Fase atual],"Recebido")</f>
        <v>130</v>
      </c>
      <c r="AI1069" s="26">
        <f>Tabela1[[#This Row],[Recebido_ Mes]]/Tabela1[[#This Row],[Total_Mes]]</f>
        <v>0.7344632768361582</v>
      </c>
      <c r="AJ1069" s="19">
        <f>COUNTIFS(Tabela1[Fase atual],"Recebido",Tabela1[Mês],Tabela1[[#This Row],[Mês]],Tabela1[Ano],Tabela1[[#This Row],[Ano]])/COUNTIF(Tabela1[Mês],Tabela1[[#This Row],[Mês]])</f>
        <v>0.7344632768361582</v>
      </c>
      <c r="AK1069" s="20">
        <f>100%</f>
        <v>1</v>
      </c>
    </row>
    <row r="1070" spans="1:37" ht="18" customHeight="1" x14ac:dyDescent="0.25">
      <c r="A1070">
        <v>1270227579</v>
      </c>
      <c r="B1070" t="s">
        <v>1763</v>
      </c>
      <c r="C1070" t="s">
        <v>1764</v>
      </c>
      <c r="D1070" t="s">
        <v>37</v>
      </c>
      <c r="E1070" t="s">
        <v>31</v>
      </c>
      <c r="F1070" s="2">
        <v>46009.843333553254</v>
      </c>
      <c r="AC1070" s="24">
        <f t="shared" ca="1" si="33"/>
        <v>124.15666644674639</v>
      </c>
      <c r="AD1070" s="25" t="str">
        <f t="shared" ca="1" si="34"/>
        <v>&gt;60 dias</v>
      </c>
      <c r="AE1070" s="25">
        <f>MONTH(Tabela1[[#This Row],[Criado em]])</f>
        <v>12</v>
      </c>
      <c r="AF1070" s="25">
        <f>YEAR(Tabela1[[#This Row],[Criado em]])</f>
        <v>2025</v>
      </c>
      <c r="AG1070" s="25">
        <f>COUNTIFS(Tabela1[Mês],Tabela1[[#This Row],[Mês]])</f>
        <v>207</v>
      </c>
      <c r="AH1070" s="25">
        <f>COUNTIFS(Tabela1[Mês],Tabela1[[#This Row],[Mês]],Tabela1[Fase atual],"Recebido")</f>
        <v>155</v>
      </c>
      <c r="AI1070" s="26">
        <f>Tabela1[[#This Row],[Recebido_ Mes]]/Tabela1[[#This Row],[Total_Mes]]</f>
        <v>0.74879227053140096</v>
      </c>
      <c r="AJ1070" s="19">
        <f>COUNTIFS(Tabela1[Fase atual],"Recebido",Tabela1[Mês],Tabela1[[#This Row],[Mês]],Tabela1[Ano],Tabela1[[#This Row],[Ano]])/COUNTIF(Tabela1[Mês],Tabela1[[#This Row],[Mês]])</f>
        <v>0.74879227053140096</v>
      </c>
      <c r="AK1070" s="20">
        <f>100%</f>
        <v>1</v>
      </c>
    </row>
    <row r="1071" spans="1:37" ht="18" customHeight="1" x14ac:dyDescent="0.25">
      <c r="A1071">
        <v>1281645027</v>
      </c>
      <c r="B1071" t="s">
        <v>466</v>
      </c>
      <c r="C1071" t="s">
        <v>467</v>
      </c>
      <c r="D1071" t="s">
        <v>37</v>
      </c>
      <c r="E1071" t="s">
        <v>31</v>
      </c>
      <c r="F1071" s="2">
        <v>46036.546267777783</v>
      </c>
      <c r="AC1071" s="24">
        <f t="shared" ca="1" si="33"/>
        <v>97.453732222216786</v>
      </c>
      <c r="AD1071" s="25" t="str">
        <f t="shared" ca="1" si="34"/>
        <v>&gt;60 dias</v>
      </c>
      <c r="AE1071" s="25">
        <f>MONTH(Tabela1[[#This Row],[Criado em]])</f>
        <v>1</v>
      </c>
      <c r="AF1071" s="25">
        <f>YEAR(Tabela1[[#This Row],[Criado em]])</f>
        <v>2026</v>
      </c>
      <c r="AG1071" s="25">
        <f>COUNTIFS(Tabela1[Mês],Tabela1[[#This Row],[Mês]])</f>
        <v>222</v>
      </c>
      <c r="AH1071" s="25">
        <f>COUNTIFS(Tabela1[Mês],Tabela1[[#This Row],[Mês]],Tabela1[Fase atual],"Recebido")</f>
        <v>174</v>
      </c>
      <c r="AI1071" s="26">
        <f>Tabela1[[#This Row],[Recebido_ Mes]]/Tabela1[[#This Row],[Total_Mes]]</f>
        <v>0.78378378378378377</v>
      </c>
      <c r="AJ1071" s="19">
        <f>COUNTIFS(Tabela1[Fase atual],"Recebido",Tabela1[Mês],Tabela1[[#This Row],[Mês]],Tabela1[Ano],Tabela1[[#This Row],[Ano]])/COUNTIF(Tabela1[Mês],Tabela1[[#This Row],[Mês]])</f>
        <v>0.78378378378378377</v>
      </c>
      <c r="AK1071" s="20">
        <f>100%</f>
        <v>1</v>
      </c>
    </row>
    <row r="1072" spans="1:37" ht="18" customHeight="1" x14ac:dyDescent="0.25">
      <c r="A1072">
        <v>1285760996</v>
      </c>
      <c r="B1072" t="s">
        <v>468</v>
      </c>
      <c r="C1072" t="s">
        <v>469</v>
      </c>
      <c r="D1072" t="s">
        <v>40</v>
      </c>
      <c r="E1072" t="s">
        <v>31</v>
      </c>
      <c r="F1072" s="2">
        <v>46044.629474340283</v>
      </c>
      <c r="AC1072" s="24">
        <f t="shared" ca="1" si="33"/>
        <v>89.370525659716805</v>
      </c>
      <c r="AD1072" s="25" t="str">
        <f t="shared" ca="1" si="34"/>
        <v>&gt;60 dias</v>
      </c>
      <c r="AE1072" s="25">
        <f>MONTH(Tabela1[[#This Row],[Criado em]])</f>
        <v>1</v>
      </c>
      <c r="AF1072" s="25">
        <f>YEAR(Tabela1[[#This Row],[Criado em]])</f>
        <v>2026</v>
      </c>
      <c r="AG1072" s="25">
        <f>COUNTIFS(Tabela1[Mês],Tabela1[[#This Row],[Mês]])</f>
        <v>222</v>
      </c>
      <c r="AH1072" s="25">
        <f>COUNTIFS(Tabela1[Mês],Tabela1[[#This Row],[Mês]],Tabela1[Fase atual],"Recebido")</f>
        <v>174</v>
      </c>
      <c r="AI1072" s="26">
        <f>Tabela1[[#This Row],[Recebido_ Mes]]/Tabela1[[#This Row],[Total_Mes]]</f>
        <v>0.78378378378378377</v>
      </c>
      <c r="AJ1072" s="19">
        <f>COUNTIFS(Tabela1[Fase atual],"Recebido",Tabela1[Mês],Tabela1[[#This Row],[Mês]],Tabela1[Ano],Tabela1[[#This Row],[Ano]])/COUNTIF(Tabela1[Mês],Tabela1[[#This Row],[Mês]])</f>
        <v>0.78378378378378377</v>
      </c>
      <c r="AK1072" s="20">
        <f>100%</f>
        <v>1</v>
      </c>
    </row>
    <row r="1073" spans="1:37" ht="18" customHeight="1" x14ac:dyDescent="0.25">
      <c r="A1073">
        <v>1234440471</v>
      </c>
      <c r="B1073" t="s">
        <v>657</v>
      </c>
      <c r="C1073" t="s">
        <v>1765</v>
      </c>
      <c r="D1073" t="s">
        <v>37</v>
      </c>
      <c r="E1073" t="s">
        <v>31</v>
      </c>
      <c r="F1073" s="2">
        <v>45943.794244583332</v>
      </c>
      <c r="AC1073" s="24">
        <f t="shared" ca="1" si="33"/>
        <v>190.20575541666767</v>
      </c>
      <c r="AD1073" s="25" t="str">
        <f t="shared" ca="1" si="34"/>
        <v>&gt;60 dias</v>
      </c>
      <c r="AE1073" s="25">
        <f>MONTH(Tabela1[[#This Row],[Criado em]])</f>
        <v>10</v>
      </c>
      <c r="AF1073" s="25">
        <f>YEAR(Tabela1[[#This Row],[Criado em]])</f>
        <v>2025</v>
      </c>
      <c r="AG1073" s="25">
        <f>COUNTIFS(Tabela1[Mês],Tabela1[[#This Row],[Mês]])</f>
        <v>196</v>
      </c>
      <c r="AH1073" s="25">
        <f>COUNTIFS(Tabela1[Mês],Tabela1[[#This Row],[Mês]],Tabela1[Fase atual],"Recebido")</f>
        <v>138</v>
      </c>
      <c r="AI1073" s="26">
        <f>Tabela1[[#This Row],[Recebido_ Mes]]/Tabela1[[#This Row],[Total_Mes]]</f>
        <v>0.70408163265306123</v>
      </c>
      <c r="AJ1073" s="19">
        <f>COUNTIFS(Tabela1[Fase atual],"Recebido",Tabela1[Mês],Tabela1[[#This Row],[Mês]],Tabela1[Ano],Tabela1[[#This Row],[Ano]])/COUNTIF(Tabela1[Mês],Tabela1[[#This Row],[Mês]])</f>
        <v>0.70408163265306123</v>
      </c>
      <c r="AK1073" s="20">
        <f>100%</f>
        <v>1</v>
      </c>
    </row>
    <row r="1074" spans="1:37" ht="18" customHeight="1" x14ac:dyDescent="0.25">
      <c r="A1074">
        <v>1299040465</v>
      </c>
      <c r="B1074" t="s">
        <v>413</v>
      </c>
      <c r="C1074" t="s">
        <v>470</v>
      </c>
      <c r="D1074" t="s">
        <v>37</v>
      </c>
      <c r="E1074" t="s">
        <v>31</v>
      </c>
      <c r="F1074" s="2">
        <v>46071.79651857639</v>
      </c>
      <c r="AC1074" s="24">
        <f t="shared" ca="1" si="33"/>
        <v>62.203481423610356</v>
      </c>
      <c r="AD1074" s="25" t="str">
        <f t="shared" ca="1" si="34"/>
        <v>&gt;60 dias</v>
      </c>
      <c r="AE1074" s="25">
        <f>MONTH(Tabela1[[#This Row],[Criado em]])</f>
        <v>2</v>
      </c>
      <c r="AF1074" s="25">
        <f>YEAR(Tabela1[[#This Row],[Criado em]])</f>
        <v>2026</v>
      </c>
      <c r="AG1074" s="25">
        <f>COUNTIFS(Tabela1[Mês],Tabela1[[#This Row],[Mês]])</f>
        <v>197</v>
      </c>
      <c r="AH1074" s="25">
        <f>COUNTIFS(Tabela1[Mês],Tabela1[[#This Row],[Mês]],Tabela1[Fase atual],"Recebido")</f>
        <v>124</v>
      </c>
      <c r="AI1074" s="26">
        <f>Tabela1[[#This Row],[Recebido_ Mes]]/Tabela1[[#This Row],[Total_Mes]]</f>
        <v>0.62944162436548223</v>
      </c>
      <c r="AJ1074" s="19">
        <f>COUNTIFS(Tabela1[Fase atual],"Recebido",Tabela1[Mês],Tabela1[[#This Row],[Mês]],Tabela1[Ano],Tabela1[[#This Row],[Ano]])/COUNTIF(Tabela1[Mês],Tabela1[[#This Row],[Mês]])</f>
        <v>0.62944162436548223</v>
      </c>
      <c r="AK1074" s="20">
        <f>100%</f>
        <v>1</v>
      </c>
    </row>
    <row r="1075" spans="1:37" ht="18" customHeight="1" x14ac:dyDescent="0.25">
      <c r="A1075">
        <v>1215530879</v>
      </c>
      <c r="B1075" t="s">
        <v>1766</v>
      </c>
      <c r="C1075" t="s">
        <v>1767</v>
      </c>
      <c r="D1075" t="s">
        <v>37</v>
      </c>
      <c r="E1075" t="s">
        <v>31</v>
      </c>
      <c r="F1075" s="2">
        <v>45916.851619328707</v>
      </c>
      <c r="AC1075" s="24">
        <f t="shared" ca="1" si="33"/>
        <v>217.14838067129313</v>
      </c>
      <c r="AD1075" s="25" t="str">
        <f t="shared" ca="1" si="34"/>
        <v>&gt;60 dias</v>
      </c>
      <c r="AE1075" s="25">
        <f>MONTH(Tabela1[[#This Row],[Criado em]])</f>
        <v>9</v>
      </c>
      <c r="AF1075" s="25">
        <f>YEAR(Tabela1[[#This Row],[Criado em]])</f>
        <v>2025</v>
      </c>
      <c r="AG1075" s="25">
        <f>COUNTIFS(Tabela1[Mês],Tabela1[[#This Row],[Mês]])</f>
        <v>197</v>
      </c>
      <c r="AH1075" s="25">
        <f>COUNTIFS(Tabela1[Mês],Tabela1[[#This Row],[Mês]],Tabela1[Fase atual],"Recebido")</f>
        <v>152</v>
      </c>
      <c r="AI1075" s="26">
        <f>Tabela1[[#This Row],[Recebido_ Mes]]/Tabela1[[#This Row],[Total_Mes]]</f>
        <v>0.77157360406091369</v>
      </c>
      <c r="AJ1075" s="19">
        <f>COUNTIFS(Tabela1[Fase atual],"Recebido",Tabela1[Mês],Tabela1[[#This Row],[Mês]],Tabela1[Ano],Tabela1[[#This Row],[Ano]])/COUNTIF(Tabela1[Mês],Tabela1[[#This Row],[Mês]])</f>
        <v>0.77157360406091369</v>
      </c>
      <c r="AK1075" s="20">
        <f>100%</f>
        <v>1</v>
      </c>
    </row>
    <row r="1076" spans="1:37" ht="18" customHeight="1" x14ac:dyDescent="0.25">
      <c r="A1076">
        <v>1230592806</v>
      </c>
      <c r="B1076" t="s">
        <v>1766</v>
      </c>
      <c r="C1076" t="s">
        <v>1767</v>
      </c>
      <c r="D1076" t="s">
        <v>37</v>
      </c>
      <c r="E1076" t="s">
        <v>31</v>
      </c>
      <c r="F1076" s="2">
        <v>45938.852228495372</v>
      </c>
      <c r="AC1076" s="24">
        <f t="shared" ca="1" si="33"/>
        <v>195.1477715046276</v>
      </c>
      <c r="AD1076" s="25" t="str">
        <f t="shared" ca="1" si="34"/>
        <v>&gt;60 dias</v>
      </c>
      <c r="AE1076" s="25">
        <f>MONTH(Tabela1[[#This Row],[Criado em]])</f>
        <v>10</v>
      </c>
      <c r="AF1076" s="25">
        <f>YEAR(Tabela1[[#This Row],[Criado em]])</f>
        <v>2025</v>
      </c>
      <c r="AG1076" s="25">
        <f>COUNTIFS(Tabela1[Mês],Tabela1[[#This Row],[Mês]])</f>
        <v>196</v>
      </c>
      <c r="AH1076" s="25">
        <f>COUNTIFS(Tabela1[Mês],Tabela1[[#This Row],[Mês]],Tabela1[Fase atual],"Recebido")</f>
        <v>138</v>
      </c>
      <c r="AI1076" s="26">
        <f>Tabela1[[#This Row],[Recebido_ Mes]]/Tabela1[[#This Row],[Total_Mes]]</f>
        <v>0.70408163265306123</v>
      </c>
      <c r="AJ1076" s="19">
        <f>COUNTIFS(Tabela1[Fase atual],"Recebido",Tabela1[Mês],Tabela1[[#This Row],[Mês]],Tabela1[Ano],Tabela1[[#This Row],[Ano]])/COUNTIF(Tabela1[Mês],Tabela1[[#This Row],[Mês]])</f>
        <v>0.70408163265306123</v>
      </c>
      <c r="AK1076" s="20">
        <f>100%</f>
        <v>1</v>
      </c>
    </row>
    <row r="1077" spans="1:37" ht="18" customHeight="1" x14ac:dyDescent="0.25">
      <c r="A1077">
        <v>1209597252</v>
      </c>
      <c r="B1077" t="s">
        <v>736</v>
      </c>
      <c r="C1077" t="s">
        <v>1768</v>
      </c>
      <c r="D1077" t="s">
        <v>37</v>
      </c>
      <c r="E1077" t="s">
        <v>31</v>
      </c>
      <c r="F1077" s="2">
        <v>45906.642838321757</v>
      </c>
      <c r="AC1077" s="24">
        <f t="shared" ca="1" si="33"/>
        <v>227.35716167824285</v>
      </c>
      <c r="AD1077" s="25" t="str">
        <f t="shared" ca="1" si="34"/>
        <v>&gt;60 dias</v>
      </c>
      <c r="AE1077" s="25">
        <f>MONTH(Tabela1[[#This Row],[Criado em]])</f>
        <v>9</v>
      </c>
      <c r="AF1077" s="25">
        <f>YEAR(Tabela1[[#This Row],[Criado em]])</f>
        <v>2025</v>
      </c>
      <c r="AG1077" s="25">
        <f>COUNTIFS(Tabela1[Mês],Tabela1[[#This Row],[Mês]])</f>
        <v>197</v>
      </c>
      <c r="AH1077" s="25">
        <f>COUNTIFS(Tabela1[Mês],Tabela1[[#This Row],[Mês]],Tabela1[Fase atual],"Recebido")</f>
        <v>152</v>
      </c>
      <c r="AI1077" s="26">
        <f>Tabela1[[#This Row],[Recebido_ Mes]]/Tabela1[[#This Row],[Total_Mes]]</f>
        <v>0.77157360406091369</v>
      </c>
      <c r="AJ1077" s="19">
        <f>COUNTIFS(Tabela1[Fase atual],"Recebido",Tabela1[Mês],Tabela1[[#This Row],[Mês]],Tabela1[Ano],Tabela1[[#This Row],[Ano]])/COUNTIF(Tabela1[Mês],Tabela1[[#This Row],[Mês]])</f>
        <v>0.77157360406091369</v>
      </c>
      <c r="AK1077" s="20">
        <f>100%</f>
        <v>1</v>
      </c>
    </row>
    <row r="1078" spans="1:37" ht="18" customHeight="1" x14ac:dyDescent="0.25">
      <c r="A1078">
        <v>1265512286</v>
      </c>
      <c r="B1078" t="s">
        <v>471</v>
      </c>
      <c r="C1078" t="s">
        <v>1769</v>
      </c>
      <c r="D1078" t="s">
        <v>37</v>
      </c>
      <c r="E1078" t="s">
        <v>31</v>
      </c>
      <c r="F1078" s="2">
        <v>45999.795858773163</v>
      </c>
      <c r="AC1078" s="24">
        <f t="shared" ca="1" si="33"/>
        <v>134.20414122683724</v>
      </c>
      <c r="AD1078" s="25" t="str">
        <f t="shared" ca="1" si="34"/>
        <v>&gt;60 dias</v>
      </c>
      <c r="AE1078" s="25">
        <f>MONTH(Tabela1[[#This Row],[Criado em]])</f>
        <v>12</v>
      </c>
      <c r="AF1078" s="25">
        <f>YEAR(Tabela1[[#This Row],[Criado em]])</f>
        <v>2025</v>
      </c>
      <c r="AG1078" s="25">
        <f>COUNTIFS(Tabela1[Mês],Tabela1[[#This Row],[Mês]])</f>
        <v>207</v>
      </c>
      <c r="AH1078" s="25">
        <f>COUNTIFS(Tabela1[Mês],Tabela1[[#This Row],[Mês]],Tabela1[Fase atual],"Recebido")</f>
        <v>155</v>
      </c>
      <c r="AI1078" s="26">
        <f>Tabela1[[#This Row],[Recebido_ Mes]]/Tabela1[[#This Row],[Total_Mes]]</f>
        <v>0.74879227053140096</v>
      </c>
      <c r="AJ1078" s="19">
        <f>COUNTIFS(Tabela1[Fase atual],"Recebido",Tabela1[Mês],Tabela1[[#This Row],[Mês]],Tabela1[Ano],Tabela1[[#This Row],[Ano]])/COUNTIF(Tabela1[Mês],Tabela1[[#This Row],[Mês]])</f>
        <v>0.74879227053140096</v>
      </c>
      <c r="AK1078" s="20">
        <f>100%</f>
        <v>1</v>
      </c>
    </row>
    <row r="1079" spans="1:37" ht="18" customHeight="1" x14ac:dyDescent="0.25">
      <c r="A1079">
        <v>1288253501</v>
      </c>
      <c r="B1079" t="s">
        <v>471</v>
      </c>
      <c r="C1079" t="s">
        <v>472</v>
      </c>
      <c r="D1079" t="s">
        <v>37</v>
      </c>
      <c r="E1079" t="s">
        <v>31</v>
      </c>
      <c r="F1079" s="2">
        <v>46048.744236874998</v>
      </c>
      <c r="AC1079" s="24">
        <f t="shared" ca="1" si="33"/>
        <v>85.255763125001977</v>
      </c>
      <c r="AD1079" s="25" t="str">
        <f t="shared" ca="1" si="34"/>
        <v>&gt;60 dias</v>
      </c>
      <c r="AE1079" s="25">
        <f>MONTH(Tabela1[[#This Row],[Criado em]])</f>
        <v>1</v>
      </c>
      <c r="AF1079" s="25">
        <f>YEAR(Tabela1[[#This Row],[Criado em]])</f>
        <v>2026</v>
      </c>
      <c r="AG1079" s="25">
        <f>COUNTIFS(Tabela1[Mês],Tabela1[[#This Row],[Mês]])</f>
        <v>222</v>
      </c>
      <c r="AH1079" s="25">
        <f>COUNTIFS(Tabela1[Mês],Tabela1[[#This Row],[Mês]],Tabela1[Fase atual],"Recebido")</f>
        <v>174</v>
      </c>
      <c r="AI1079" s="26">
        <f>Tabela1[[#This Row],[Recebido_ Mes]]/Tabela1[[#This Row],[Total_Mes]]</f>
        <v>0.78378378378378377</v>
      </c>
      <c r="AJ1079" s="19">
        <f>COUNTIFS(Tabela1[Fase atual],"Recebido",Tabela1[Mês],Tabela1[[#This Row],[Mês]],Tabela1[Ano],Tabela1[[#This Row],[Ano]])/COUNTIF(Tabela1[Mês],Tabela1[[#This Row],[Mês]])</f>
        <v>0.78378378378378377</v>
      </c>
      <c r="AK1079" s="20">
        <f>100%</f>
        <v>1</v>
      </c>
    </row>
    <row r="1080" spans="1:37" ht="18" customHeight="1" x14ac:dyDescent="0.25">
      <c r="A1080">
        <v>1278110434</v>
      </c>
      <c r="B1080" t="s">
        <v>471</v>
      </c>
      <c r="C1080" t="s">
        <v>472</v>
      </c>
      <c r="D1080" t="s">
        <v>37</v>
      </c>
      <c r="E1080" t="s">
        <v>31</v>
      </c>
      <c r="F1080" s="2">
        <v>46029.542517002308</v>
      </c>
      <c r="AC1080" s="24">
        <f t="shared" ca="1" si="33"/>
        <v>104.45748299769184</v>
      </c>
      <c r="AD1080" s="25" t="str">
        <f t="shared" ca="1" si="34"/>
        <v>&gt;60 dias</v>
      </c>
      <c r="AE1080" s="25">
        <f>MONTH(Tabela1[[#This Row],[Criado em]])</f>
        <v>1</v>
      </c>
      <c r="AF1080" s="25">
        <f>YEAR(Tabela1[[#This Row],[Criado em]])</f>
        <v>2026</v>
      </c>
      <c r="AG1080" s="25">
        <f>COUNTIFS(Tabela1[Mês],Tabela1[[#This Row],[Mês]])</f>
        <v>222</v>
      </c>
      <c r="AH1080" s="25">
        <f>COUNTIFS(Tabela1[Mês],Tabela1[[#This Row],[Mês]],Tabela1[Fase atual],"Recebido")</f>
        <v>174</v>
      </c>
      <c r="AI1080" s="26">
        <f>Tabela1[[#This Row],[Recebido_ Mes]]/Tabela1[[#This Row],[Total_Mes]]</f>
        <v>0.78378378378378377</v>
      </c>
      <c r="AJ1080" s="19">
        <f>COUNTIFS(Tabela1[Fase atual],"Recebido",Tabela1[Mês],Tabela1[[#This Row],[Mês]],Tabela1[Ano],Tabela1[[#This Row],[Ano]])/COUNTIF(Tabela1[Mês],Tabela1[[#This Row],[Mês]])</f>
        <v>0.78378378378378377</v>
      </c>
      <c r="AK1080" s="20">
        <f>100%</f>
        <v>1</v>
      </c>
    </row>
    <row r="1081" spans="1:37" ht="18" customHeight="1" x14ac:dyDescent="0.25">
      <c r="A1081">
        <v>1278362334</v>
      </c>
      <c r="B1081" t="s">
        <v>471</v>
      </c>
      <c r="C1081" t="s">
        <v>472</v>
      </c>
      <c r="D1081" t="s">
        <v>37</v>
      </c>
      <c r="E1081" t="s">
        <v>31</v>
      </c>
      <c r="F1081" s="2">
        <v>46029.79743288194</v>
      </c>
      <c r="AC1081" s="24">
        <f t="shared" ca="1" si="33"/>
        <v>104.20256711805996</v>
      </c>
      <c r="AD1081" s="25" t="str">
        <f t="shared" ca="1" si="34"/>
        <v>&gt;60 dias</v>
      </c>
      <c r="AE1081" s="25">
        <f>MONTH(Tabela1[[#This Row],[Criado em]])</f>
        <v>1</v>
      </c>
      <c r="AF1081" s="25">
        <f>YEAR(Tabela1[[#This Row],[Criado em]])</f>
        <v>2026</v>
      </c>
      <c r="AG1081" s="25">
        <f>COUNTIFS(Tabela1[Mês],Tabela1[[#This Row],[Mês]])</f>
        <v>222</v>
      </c>
      <c r="AH1081" s="25">
        <f>COUNTIFS(Tabela1[Mês],Tabela1[[#This Row],[Mês]],Tabela1[Fase atual],"Recebido")</f>
        <v>174</v>
      </c>
      <c r="AI1081" s="26">
        <f>Tabela1[[#This Row],[Recebido_ Mes]]/Tabela1[[#This Row],[Total_Mes]]</f>
        <v>0.78378378378378377</v>
      </c>
      <c r="AJ1081" s="19">
        <f>COUNTIFS(Tabela1[Fase atual],"Recebido",Tabela1[Mês],Tabela1[[#This Row],[Mês]],Tabela1[Ano],Tabela1[[#This Row],[Ano]])/COUNTIF(Tabela1[Mês],Tabela1[[#This Row],[Mês]])</f>
        <v>0.78378378378378377</v>
      </c>
      <c r="AK1081" s="20">
        <f>100%</f>
        <v>1</v>
      </c>
    </row>
    <row r="1082" spans="1:37" ht="18" customHeight="1" x14ac:dyDescent="0.25">
      <c r="A1082">
        <v>1170683879</v>
      </c>
      <c r="B1082" t="s">
        <v>1770</v>
      </c>
      <c r="C1082" t="s">
        <v>1771</v>
      </c>
      <c r="D1082" t="s">
        <v>37</v>
      </c>
      <c r="E1082" t="s">
        <v>31</v>
      </c>
      <c r="F1082" s="2">
        <v>45840.851281006951</v>
      </c>
      <c r="AC1082" s="24">
        <f t="shared" ca="1" si="33"/>
        <v>293.14871899304853</v>
      </c>
      <c r="AD1082" s="25" t="str">
        <f t="shared" ca="1" si="34"/>
        <v>&gt;60 dias</v>
      </c>
      <c r="AE1082" s="25">
        <f>MONTH(Tabela1[[#This Row],[Criado em]])</f>
        <v>7</v>
      </c>
      <c r="AF1082" s="25">
        <f>YEAR(Tabela1[[#This Row],[Criado em]])</f>
        <v>2025</v>
      </c>
      <c r="AG1082" s="25">
        <f>COUNTIFS(Tabela1[Mês],Tabela1[[#This Row],[Mês]])</f>
        <v>177</v>
      </c>
      <c r="AH1082" s="25">
        <f>COUNTIFS(Tabela1[Mês],Tabela1[[#This Row],[Mês]],Tabela1[Fase atual],"Recebido")</f>
        <v>130</v>
      </c>
      <c r="AI1082" s="26">
        <f>Tabela1[[#This Row],[Recebido_ Mes]]/Tabela1[[#This Row],[Total_Mes]]</f>
        <v>0.7344632768361582</v>
      </c>
      <c r="AJ1082" s="19">
        <f>COUNTIFS(Tabela1[Fase atual],"Recebido",Tabela1[Mês],Tabela1[[#This Row],[Mês]],Tabela1[Ano],Tabela1[[#This Row],[Ano]])/COUNTIF(Tabela1[Mês],Tabela1[[#This Row],[Mês]])</f>
        <v>0.7344632768361582</v>
      </c>
      <c r="AK1082" s="20">
        <f>100%</f>
        <v>1</v>
      </c>
    </row>
    <row r="1083" spans="1:37" ht="18" customHeight="1" x14ac:dyDescent="0.25">
      <c r="A1083">
        <v>1260052231</v>
      </c>
      <c r="B1083" t="s">
        <v>762</v>
      </c>
      <c r="C1083" t="s">
        <v>1772</v>
      </c>
      <c r="D1083" t="s">
        <v>37</v>
      </c>
      <c r="E1083" t="s">
        <v>31</v>
      </c>
      <c r="F1083" s="2">
        <v>45987.919051192133</v>
      </c>
      <c r="AC1083" s="24">
        <f t="shared" ca="1" si="33"/>
        <v>146.08094880786666</v>
      </c>
      <c r="AD1083" s="25" t="str">
        <f t="shared" ca="1" si="34"/>
        <v>&gt;60 dias</v>
      </c>
      <c r="AE1083" s="25">
        <f>MONTH(Tabela1[[#This Row],[Criado em]])</f>
        <v>11</v>
      </c>
      <c r="AF1083" s="25">
        <f>YEAR(Tabela1[[#This Row],[Criado em]])</f>
        <v>2025</v>
      </c>
      <c r="AG1083" s="25">
        <f>COUNTIFS(Tabela1[Mês],Tabela1[[#This Row],[Mês]])</f>
        <v>130</v>
      </c>
      <c r="AH1083" s="25">
        <f>COUNTIFS(Tabela1[Mês],Tabela1[[#This Row],[Mês]],Tabela1[Fase atual],"Recebido")</f>
        <v>100</v>
      </c>
      <c r="AI1083" s="26">
        <f>Tabela1[[#This Row],[Recebido_ Mes]]/Tabela1[[#This Row],[Total_Mes]]</f>
        <v>0.76923076923076927</v>
      </c>
      <c r="AJ1083" s="19">
        <f>COUNTIFS(Tabela1[Fase atual],"Recebido",Tabela1[Mês],Tabela1[[#This Row],[Mês]],Tabela1[Ano],Tabela1[[#This Row],[Ano]])/COUNTIF(Tabela1[Mês],Tabela1[[#This Row],[Mês]])</f>
        <v>0.76923076923076927</v>
      </c>
      <c r="AK1083" s="20">
        <f>100%</f>
        <v>1</v>
      </c>
    </row>
    <row r="1084" spans="1:37" ht="18" customHeight="1" x14ac:dyDescent="0.25">
      <c r="A1084">
        <v>1234442871</v>
      </c>
      <c r="B1084" t="s">
        <v>1773</v>
      </c>
      <c r="C1084" t="s">
        <v>1774</v>
      </c>
      <c r="D1084" t="s">
        <v>37</v>
      </c>
      <c r="E1084" t="s">
        <v>31</v>
      </c>
      <c r="F1084" s="2">
        <v>45943.795794560181</v>
      </c>
      <c r="AC1084" s="24">
        <f t="shared" ca="1" si="33"/>
        <v>190.20420543981891</v>
      </c>
      <c r="AD1084" s="25" t="str">
        <f t="shared" ca="1" si="34"/>
        <v>&gt;60 dias</v>
      </c>
      <c r="AE1084" s="25">
        <f>MONTH(Tabela1[[#This Row],[Criado em]])</f>
        <v>10</v>
      </c>
      <c r="AF1084" s="25">
        <f>YEAR(Tabela1[[#This Row],[Criado em]])</f>
        <v>2025</v>
      </c>
      <c r="AG1084" s="25">
        <f>COUNTIFS(Tabela1[Mês],Tabela1[[#This Row],[Mês]])</f>
        <v>196</v>
      </c>
      <c r="AH1084" s="25">
        <f>COUNTIFS(Tabela1[Mês],Tabela1[[#This Row],[Mês]],Tabela1[Fase atual],"Recebido")</f>
        <v>138</v>
      </c>
      <c r="AI1084" s="26">
        <f>Tabela1[[#This Row],[Recebido_ Mes]]/Tabela1[[#This Row],[Total_Mes]]</f>
        <v>0.70408163265306123</v>
      </c>
      <c r="AJ1084" s="19">
        <f>COUNTIFS(Tabela1[Fase atual],"Recebido",Tabela1[Mês],Tabela1[[#This Row],[Mês]],Tabela1[Ano],Tabela1[[#This Row],[Ano]])/COUNTIF(Tabela1[Mês],Tabela1[[#This Row],[Mês]])</f>
        <v>0.70408163265306123</v>
      </c>
      <c r="AK1084" s="20">
        <f>100%</f>
        <v>1</v>
      </c>
    </row>
    <row r="1085" spans="1:37" ht="18" customHeight="1" x14ac:dyDescent="0.25">
      <c r="A1085">
        <v>1251742229</v>
      </c>
      <c r="B1085" t="s">
        <v>1775</v>
      </c>
      <c r="C1085" t="s">
        <v>1776</v>
      </c>
      <c r="D1085" t="s">
        <v>40</v>
      </c>
      <c r="E1085" t="s">
        <v>31</v>
      </c>
      <c r="F1085" s="2">
        <v>45968.794835115739</v>
      </c>
      <c r="AC1085" s="24">
        <f t="shared" ca="1" si="33"/>
        <v>165.20516488426074</v>
      </c>
      <c r="AD1085" s="25" t="str">
        <f t="shared" ca="1" si="34"/>
        <v>&gt;60 dias</v>
      </c>
      <c r="AE1085" s="25">
        <f>MONTH(Tabela1[[#This Row],[Criado em]])</f>
        <v>11</v>
      </c>
      <c r="AF1085" s="25">
        <f>YEAR(Tabela1[[#This Row],[Criado em]])</f>
        <v>2025</v>
      </c>
      <c r="AG1085" s="25">
        <f>COUNTIFS(Tabela1[Mês],Tabela1[[#This Row],[Mês]])</f>
        <v>130</v>
      </c>
      <c r="AH1085" s="25">
        <f>COUNTIFS(Tabela1[Mês],Tabela1[[#This Row],[Mês]],Tabela1[Fase atual],"Recebido")</f>
        <v>100</v>
      </c>
      <c r="AI1085" s="26">
        <f>Tabela1[[#This Row],[Recebido_ Mes]]/Tabela1[[#This Row],[Total_Mes]]</f>
        <v>0.76923076923076927</v>
      </c>
      <c r="AJ1085" s="19">
        <f>COUNTIFS(Tabela1[Fase atual],"Recebido",Tabela1[Mês],Tabela1[[#This Row],[Mês]],Tabela1[Ano],Tabela1[[#This Row],[Ano]])/COUNTIF(Tabela1[Mês],Tabela1[[#This Row],[Mês]])</f>
        <v>0.76923076923076927</v>
      </c>
      <c r="AK1085" s="20">
        <f>100%</f>
        <v>1</v>
      </c>
    </row>
    <row r="1086" spans="1:37" ht="18" customHeight="1" x14ac:dyDescent="0.25">
      <c r="A1086">
        <v>1303236363</v>
      </c>
      <c r="B1086" t="s">
        <v>473</v>
      </c>
      <c r="C1086" t="s">
        <v>474</v>
      </c>
      <c r="D1086" t="s">
        <v>37</v>
      </c>
      <c r="E1086" t="s">
        <v>31</v>
      </c>
      <c r="F1086" s="2">
        <v>46077.795098136572</v>
      </c>
      <c r="AC1086" s="24">
        <f t="shared" ca="1" si="33"/>
        <v>56.204901863427949</v>
      </c>
      <c r="AD1086" s="25" t="str">
        <f t="shared" ca="1" si="34"/>
        <v>31-60 dias</v>
      </c>
      <c r="AE1086" s="25">
        <f>MONTH(Tabela1[[#This Row],[Criado em]])</f>
        <v>2</v>
      </c>
      <c r="AF1086" s="25">
        <f>YEAR(Tabela1[[#This Row],[Criado em]])</f>
        <v>2026</v>
      </c>
      <c r="AG1086" s="25">
        <f>COUNTIFS(Tabela1[Mês],Tabela1[[#This Row],[Mês]])</f>
        <v>197</v>
      </c>
      <c r="AH1086" s="25">
        <f>COUNTIFS(Tabela1[Mês],Tabela1[[#This Row],[Mês]],Tabela1[Fase atual],"Recebido")</f>
        <v>124</v>
      </c>
      <c r="AI1086" s="26">
        <f>Tabela1[[#This Row],[Recebido_ Mes]]/Tabela1[[#This Row],[Total_Mes]]</f>
        <v>0.62944162436548223</v>
      </c>
      <c r="AJ1086" s="19">
        <f>COUNTIFS(Tabela1[Fase atual],"Recebido",Tabela1[Mês],Tabela1[[#This Row],[Mês]],Tabela1[Ano],Tabela1[[#This Row],[Ano]])/COUNTIF(Tabela1[Mês],Tabela1[[#This Row],[Mês]])</f>
        <v>0.62944162436548223</v>
      </c>
      <c r="AK1086" s="20">
        <f>100%</f>
        <v>1</v>
      </c>
    </row>
    <row r="1087" spans="1:37" ht="18" customHeight="1" x14ac:dyDescent="0.25">
      <c r="A1087">
        <v>1266541103</v>
      </c>
      <c r="B1087" t="s">
        <v>473</v>
      </c>
      <c r="C1087" t="s">
        <v>1777</v>
      </c>
      <c r="D1087" t="s">
        <v>37</v>
      </c>
      <c r="E1087" t="s">
        <v>31</v>
      </c>
      <c r="F1087" s="2">
        <v>46001.6305741088</v>
      </c>
      <c r="AC1087" s="24">
        <f t="shared" ca="1" si="33"/>
        <v>132.36942589120008</v>
      </c>
      <c r="AD1087" s="25" t="str">
        <f t="shared" ca="1" si="34"/>
        <v>&gt;60 dias</v>
      </c>
      <c r="AE1087" s="25">
        <f>MONTH(Tabela1[[#This Row],[Criado em]])</f>
        <v>12</v>
      </c>
      <c r="AF1087" s="25">
        <f>YEAR(Tabela1[[#This Row],[Criado em]])</f>
        <v>2025</v>
      </c>
      <c r="AG1087" s="25">
        <f>COUNTIFS(Tabela1[Mês],Tabela1[[#This Row],[Mês]])</f>
        <v>207</v>
      </c>
      <c r="AH1087" s="25">
        <f>COUNTIFS(Tabela1[Mês],Tabela1[[#This Row],[Mês]],Tabela1[Fase atual],"Recebido")</f>
        <v>155</v>
      </c>
      <c r="AI1087" s="26">
        <f>Tabela1[[#This Row],[Recebido_ Mes]]/Tabela1[[#This Row],[Total_Mes]]</f>
        <v>0.74879227053140096</v>
      </c>
      <c r="AJ1087" s="19">
        <f>COUNTIFS(Tabela1[Fase atual],"Recebido",Tabela1[Mês],Tabela1[[#This Row],[Mês]],Tabela1[Ano],Tabela1[[#This Row],[Ano]])/COUNTIF(Tabela1[Mês],Tabela1[[#This Row],[Mês]])</f>
        <v>0.74879227053140096</v>
      </c>
      <c r="AK1087" s="20">
        <f>100%</f>
        <v>1</v>
      </c>
    </row>
    <row r="1088" spans="1:37" ht="18" customHeight="1" x14ac:dyDescent="0.25">
      <c r="A1088">
        <v>1207654511</v>
      </c>
      <c r="B1088" t="s">
        <v>1778</v>
      </c>
      <c r="C1088" t="s">
        <v>1779</v>
      </c>
      <c r="D1088" t="s">
        <v>37</v>
      </c>
      <c r="E1088" t="s">
        <v>31</v>
      </c>
      <c r="F1088" s="2">
        <v>45903.850137997688</v>
      </c>
      <c r="AC1088" s="24">
        <f t="shared" ca="1" si="33"/>
        <v>230.14986200231215</v>
      </c>
      <c r="AD1088" s="25" t="str">
        <f t="shared" ca="1" si="34"/>
        <v>&gt;60 dias</v>
      </c>
      <c r="AE1088" s="25">
        <f>MONTH(Tabela1[[#This Row],[Criado em]])</f>
        <v>9</v>
      </c>
      <c r="AF1088" s="25">
        <f>YEAR(Tabela1[[#This Row],[Criado em]])</f>
        <v>2025</v>
      </c>
      <c r="AG1088" s="25">
        <f>COUNTIFS(Tabela1[Mês],Tabela1[[#This Row],[Mês]])</f>
        <v>197</v>
      </c>
      <c r="AH1088" s="25">
        <f>COUNTIFS(Tabela1[Mês],Tabela1[[#This Row],[Mês]],Tabela1[Fase atual],"Recebido")</f>
        <v>152</v>
      </c>
      <c r="AI1088" s="26">
        <f>Tabela1[[#This Row],[Recebido_ Mes]]/Tabela1[[#This Row],[Total_Mes]]</f>
        <v>0.77157360406091369</v>
      </c>
      <c r="AJ1088" s="19">
        <f>COUNTIFS(Tabela1[Fase atual],"Recebido",Tabela1[Mês],Tabela1[[#This Row],[Mês]],Tabela1[Ano],Tabela1[[#This Row],[Ano]])/COUNTIF(Tabela1[Mês],Tabela1[[#This Row],[Mês]])</f>
        <v>0.77157360406091369</v>
      </c>
      <c r="AK1088" s="20">
        <f>100%</f>
        <v>1</v>
      </c>
    </row>
    <row r="1089" spans="1:37" ht="18" customHeight="1" x14ac:dyDescent="0.25">
      <c r="A1089">
        <v>1234442731</v>
      </c>
      <c r="B1089" t="s">
        <v>917</v>
      </c>
      <c r="C1089" t="s">
        <v>1780</v>
      </c>
      <c r="D1089" t="s">
        <v>37</v>
      </c>
      <c r="E1089" t="s">
        <v>31</v>
      </c>
      <c r="F1089" s="2">
        <v>45943.795706365738</v>
      </c>
      <c r="AC1089" s="24">
        <f t="shared" ca="1" si="33"/>
        <v>190.20429363426229</v>
      </c>
      <c r="AD1089" s="25" t="str">
        <f t="shared" ca="1" si="34"/>
        <v>&gt;60 dias</v>
      </c>
      <c r="AE1089" s="25">
        <f>MONTH(Tabela1[[#This Row],[Criado em]])</f>
        <v>10</v>
      </c>
      <c r="AF1089" s="25">
        <f>YEAR(Tabela1[[#This Row],[Criado em]])</f>
        <v>2025</v>
      </c>
      <c r="AG1089" s="25">
        <f>COUNTIFS(Tabela1[Mês],Tabela1[[#This Row],[Mês]])</f>
        <v>196</v>
      </c>
      <c r="AH1089" s="25">
        <f>COUNTIFS(Tabela1[Mês],Tabela1[[#This Row],[Mês]],Tabela1[Fase atual],"Recebido")</f>
        <v>138</v>
      </c>
      <c r="AI1089" s="26">
        <f>Tabela1[[#This Row],[Recebido_ Mes]]/Tabela1[[#This Row],[Total_Mes]]</f>
        <v>0.70408163265306123</v>
      </c>
      <c r="AJ1089" s="19">
        <f>COUNTIFS(Tabela1[Fase atual],"Recebido",Tabela1[Mês],Tabela1[[#This Row],[Mês]],Tabela1[Ano],Tabela1[[#This Row],[Ano]])/COUNTIF(Tabela1[Mês],Tabela1[[#This Row],[Mês]])</f>
        <v>0.70408163265306123</v>
      </c>
      <c r="AK1089" s="20">
        <f>100%</f>
        <v>1</v>
      </c>
    </row>
    <row r="1090" spans="1:37" ht="18" customHeight="1" x14ac:dyDescent="0.25">
      <c r="A1090">
        <v>1240027019</v>
      </c>
      <c r="B1090" t="s">
        <v>917</v>
      </c>
      <c r="C1090" t="s">
        <v>1780</v>
      </c>
      <c r="D1090" t="s">
        <v>37</v>
      </c>
      <c r="E1090" t="s">
        <v>31</v>
      </c>
      <c r="F1090" s="2">
        <v>45950.795108912032</v>
      </c>
      <c r="AC1090" s="24">
        <f t="shared" ca="1" si="33"/>
        <v>183.20489108796755</v>
      </c>
      <c r="AD1090" s="25" t="str">
        <f t="shared" ca="1" si="34"/>
        <v>&gt;60 dias</v>
      </c>
      <c r="AE1090" s="25">
        <f>MONTH(Tabela1[[#This Row],[Criado em]])</f>
        <v>10</v>
      </c>
      <c r="AF1090" s="25">
        <f>YEAR(Tabela1[[#This Row],[Criado em]])</f>
        <v>2025</v>
      </c>
      <c r="AG1090" s="25">
        <f>COUNTIFS(Tabela1[Mês],Tabela1[[#This Row],[Mês]])</f>
        <v>196</v>
      </c>
      <c r="AH1090" s="25">
        <f>COUNTIFS(Tabela1[Mês],Tabela1[[#This Row],[Mês]],Tabela1[Fase atual],"Recebido")</f>
        <v>138</v>
      </c>
      <c r="AI1090" s="26">
        <f>Tabela1[[#This Row],[Recebido_ Mes]]/Tabela1[[#This Row],[Total_Mes]]</f>
        <v>0.70408163265306123</v>
      </c>
      <c r="AJ1090" s="19">
        <f>COUNTIFS(Tabela1[Fase atual],"Recebido",Tabela1[Mês],Tabela1[[#This Row],[Mês]],Tabela1[Ano],Tabela1[[#This Row],[Ano]])/COUNTIF(Tabela1[Mês],Tabela1[[#This Row],[Mês]])</f>
        <v>0.70408163265306123</v>
      </c>
      <c r="AK1090" s="20">
        <f>100%</f>
        <v>1</v>
      </c>
    </row>
    <row r="1091" spans="1:37" ht="18" customHeight="1" x14ac:dyDescent="0.25">
      <c r="A1091">
        <v>1266704146</v>
      </c>
      <c r="B1091" t="s">
        <v>917</v>
      </c>
      <c r="C1091" t="s">
        <v>1780</v>
      </c>
      <c r="D1091" t="s">
        <v>37</v>
      </c>
      <c r="E1091" t="s">
        <v>31</v>
      </c>
      <c r="F1091" s="2">
        <v>46001.796553564811</v>
      </c>
      <c r="AC1091" s="24">
        <f t="shared" ref="AC1091:AC1154" ca="1" si="35">TODAY() - F1091</f>
        <v>132.20344643518911</v>
      </c>
      <c r="AD1091" s="25" t="str">
        <f t="shared" ref="AD1091:AD1154" ca="1" si="36">IF(AC1091&lt;=14,"0-14 dias",
IF(AC1091&lt;=19,"15-19 dias",
IF(AC1091&lt;=24,"20-24 dias",
IF(AC1091&lt;=30,"25-30 dias",
IF(AC1091&lt;=60,"31-60 dias",
"&gt;60 dias")))))</f>
        <v>&gt;60 dias</v>
      </c>
      <c r="AE1091" s="25">
        <f>MONTH(Tabela1[[#This Row],[Criado em]])</f>
        <v>12</v>
      </c>
      <c r="AF1091" s="25">
        <f>YEAR(Tabela1[[#This Row],[Criado em]])</f>
        <v>2025</v>
      </c>
      <c r="AG1091" s="25">
        <f>COUNTIFS(Tabela1[Mês],Tabela1[[#This Row],[Mês]])</f>
        <v>207</v>
      </c>
      <c r="AH1091" s="25">
        <f>COUNTIFS(Tabela1[Mês],Tabela1[[#This Row],[Mês]],Tabela1[Fase atual],"Recebido")</f>
        <v>155</v>
      </c>
      <c r="AI1091" s="26">
        <f>Tabela1[[#This Row],[Recebido_ Mes]]/Tabela1[[#This Row],[Total_Mes]]</f>
        <v>0.74879227053140096</v>
      </c>
      <c r="AJ1091" s="19">
        <f>COUNTIFS(Tabela1[Fase atual],"Recebido",Tabela1[Mês],Tabela1[[#This Row],[Mês]],Tabela1[Ano],Tabela1[[#This Row],[Ano]])/COUNTIF(Tabela1[Mês],Tabela1[[#This Row],[Mês]])</f>
        <v>0.74879227053140096</v>
      </c>
      <c r="AK1091" s="20">
        <f>100%</f>
        <v>1</v>
      </c>
    </row>
    <row r="1092" spans="1:37" ht="18" customHeight="1" x14ac:dyDescent="0.25">
      <c r="A1092">
        <v>1247041664</v>
      </c>
      <c r="B1092" t="s">
        <v>917</v>
      </c>
      <c r="C1092" t="s">
        <v>1781</v>
      </c>
      <c r="D1092" t="s">
        <v>784</v>
      </c>
      <c r="E1092" t="s">
        <v>31</v>
      </c>
      <c r="F1092" s="2">
        <v>45959.795222986111</v>
      </c>
      <c r="AC1092" s="24">
        <f t="shared" ca="1" si="35"/>
        <v>174.20477701388882</v>
      </c>
      <c r="AD1092" s="25" t="str">
        <f t="shared" ca="1" si="36"/>
        <v>&gt;60 dias</v>
      </c>
      <c r="AE1092" s="25">
        <f>MONTH(Tabela1[[#This Row],[Criado em]])</f>
        <v>10</v>
      </c>
      <c r="AF1092" s="25">
        <f>YEAR(Tabela1[[#This Row],[Criado em]])</f>
        <v>2025</v>
      </c>
      <c r="AG1092" s="25">
        <f>COUNTIFS(Tabela1[Mês],Tabela1[[#This Row],[Mês]])</f>
        <v>196</v>
      </c>
      <c r="AH1092" s="25">
        <f>COUNTIFS(Tabela1[Mês],Tabela1[[#This Row],[Mês]],Tabela1[Fase atual],"Recebido")</f>
        <v>138</v>
      </c>
      <c r="AI1092" s="26">
        <f>Tabela1[[#This Row],[Recebido_ Mes]]/Tabela1[[#This Row],[Total_Mes]]</f>
        <v>0.70408163265306123</v>
      </c>
      <c r="AJ1092" s="19">
        <f>COUNTIFS(Tabela1[Fase atual],"Recebido",Tabela1[Mês],Tabela1[[#This Row],[Mês]],Tabela1[Ano],Tabela1[[#This Row],[Ano]])/COUNTIF(Tabela1[Mês],Tabela1[[#This Row],[Mês]])</f>
        <v>0.70408163265306123</v>
      </c>
      <c r="AK1092" s="20">
        <f>100%</f>
        <v>1</v>
      </c>
    </row>
    <row r="1093" spans="1:37" ht="18" customHeight="1" x14ac:dyDescent="0.25">
      <c r="A1093">
        <v>1279611874</v>
      </c>
      <c r="B1093" t="s">
        <v>200</v>
      </c>
      <c r="C1093" t="s">
        <v>475</v>
      </c>
      <c r="D1093" t="s">
        <v>37</v>
      </c>
      <c r="E1093" t="s">
        <v>31</v>
      </c>
      <c r="F1093" s="2">
        <v>46031.797739386573</v>
      </c>
      <c r="AC1093" s="24">
        <f t="shared" ca="1" si="35"/>
        <v>102.20226061342692</v>
      </c>
      <c r="AD1093" s="25" t="str">
        <f t="shared" ca="1" si="36"/>
        <v>&gt;60 dias</v>
      </c>
      <c r="AE1093" s="25">
        <f>MONTH(Tabela1[[#This Row],[Criado em]])</f>
        <v>1</v>
      </c>
      <c r="AF1093" s="25">
        <f>YEAR(Tabela1[[#This Row],[Criado em]])</f>
        <v>2026</v>
      </c>
      <c r="AG1093" s="25">
        <f>COUNTIFS(Tabela1[Mês],Tabela1[[#This Row],[Mês]])</f>
        <v>222</v>
      </c>
      <c r="AH1093" s="25">
        <f>COUNTIFS(Tabela1[Mês],Tabela1[[#This Row],[Mês]],Tabela1[Fase atual],"Recebido")</f>
        <v>174</v>
      </c>
      <c r="AI1093" s="26">
        <f>Tabela1[[#This Row],[Recebido_ Mes]]/Tabela1[[#This Row],[Total_Mes]]</f>
        <v>0.78378378378378377</v>
      </c>
      <c r="AJ1093" s="19">
        <f>COUNTIFS(Tabela1[Fase atual],"Recebido",Tabela1[Mês],Tabela1[[#This Row],[Mês]],Tabela1[Ano],Tabela1[[#This Row],[Ano]])/COUNTIF(Tabela1[Mês],Tabela1[[#This Row],[Mês]])</f>
        <v>0.78378378378378377</v>
      </c>
      <c r="AK1093" s="20">
        <f>100%</f>
        <v>1</v>
      </c>
    </row>
    <row r="1094" spans="1:37" ht="18" customHeight="1" x14ac:dyDescent="0.25">
      <c r="A1094">
        <v>1278476185</v>
      </c>
      <c r="B1094" t="s">
        <v>476</v>
      </c>
      <c r="C1094" t="s">
        <v>477</v>
      </c>
      <c r="D1094" t="s">
        <v>37</v>
      </c>
      <c r="E1094" t="s">
        <v>31</v>
      </c>
      <c r="F1094" s="2">
        <v>46029.919915416671</v>
      </c>
      <c r="AC1094" s="24">
        <f t="shared" ca="1" si="35"/>
        <v>104.08008458332915</v>
      </c>
      <c r="AD1094" s="25" t="str">
        <f t="shared" ca="1" si="36"/>
        <v>&gt;60 dias</v>
      </c>
      <c r="AE1094" s="25">
        <f>MONTH(Tabela1[[#This Row],[Criado em]])</f>
        <v>1</v>
      </c>
      <c r="AF1094" s="25">
        <f>YEAR(Tabela1[[#This Row],[Criado em]])</f>
        <v>2026</v>
      </c>
      <c r="AG1094" s="25">
        <f>COUNTIFS(Tabela1[Mês],Tabela1[[#This Row],[Mês]])</f>
        <v>222</v>
      </c>
      <c r="AH1094" s="25">
        <f>COUNTIFS(Tabela1[Mês],Tabela1[[#This Row],[Mês]],Tabela1[Fase atual],"Recebido")</f>
        <v>174</v>
      </c>
      <c r="AI1094" s="26">
        <f>Tabela1[[#This Row],[Recebido_ Mes]]/Tabela1[[#This Row],[Total_Mes]]</f>
        <v>0.78378378378378377</v>
      </c>
      <c r="AJ1094" s="19">
        <f>COUNTIFS(Tabela1[Fase atual],"Recebido",Tabela1[Mês],Tabela1[[#This Row],[Mês]],Tabela1[Ano],Tabela1[[#This Row],[Ano]])/COUNTIF(Tabela1[Mês],Tabela1[[#This Row],[Mês]])</f>
        <v>0.78378378378378377</v>
      </c>
      <c r="AK1094" s="20">
        <f>100%</f>
        <v>1</v>
      </c>
    </row>
    <row r="1095" spans="1:37" ht="18" customHeight="1" x14ac:dyDescent="0.25">
      <c r="A1095">
        <v>1208425112</v>
      </c>
      <c r="B1095" t="s">
        <v>1782</v>
      </c>
      <c r="C1095" t="s">
        <v>1783</v>
      </c>
      <c r="D1095" t="s">
        <v>37</v>
      </c>
      <c r="E1095" t="s">
        <v>31</v>
      </c>
      <c r="F1095" s="2">
        <v>45904.8507684375</v>
      </c>
      <c r="AC1095" s="24">
        <f t="shared" ca="1" si="35"/>
        <v>229.14923156250006</v>
      </c>
      <c r="AD1095" s="25" t="str">
        <f t="shared" ca="1" si="36"/>
        <v>&gt;60 dias</v>
      </c>
      <c r="AE1095" s="25">
        <f>MONTH(Tabela1[[#This Row],[Criado em]])</f>
        <v>9</v>
      </c>
      <c r="AF1095" s="25">
        <f>YEAR(Tabela1[[#This Row],[Criado em]])</f>
        <v>2025</v>
      </c>
      <c r="AG1095" s="25">
        <f>COUNTIFS(Tabela1[Mês],Tabela1[[#This Row],[Mês]])</f>
        <v>197</v>
      </c>
      <c r="AH1095" s="25">
        <f>COUNTIFS(Tabela1[Mês],Tabela1[[#This Row],[Mês]],Tabela1[Fase atual],"Recebido")</f>
        <v>152</v>
      </c>
      <c r="AI1095" s="26">
        <f>Tabela1[[#This Row],[Recebido_ Mes]]/Tabela1[[#This Row],[Total_Mes]]</f>
        <v>0.77157360406091369</v>
      </c>
      <c r="AJ1095" s="19">
        <f>COUNTIFS(Tabela1[Fase atual],"Recebido",Tabela1[Mês],Tabela1[[#This Row],[Mês]],Tabela1[Ano],Tabela1[[#This Row],[Ano]])/COUNTIF(Tabela1[Mês],Tabela1[[#This Row],[Mês]])</f>
        <v>0.77157360406091369</v>
      </c>
      <c r="AK1095" s="20">
        <f>100%</f>
        <v>1</v>
      </c>
    </row>
    <row r="1096" spans="1:37" ht="18" customHeight="1" x14ac:dyDescent="0.25">
      <c r="A1096">
        <v>1204766543</v>
      </c>
      <c r="B1096" t="s">
        <v>1784</v>
      </c>
      <c r="C1096" t="s">
        <v>1785</v>
      </c>
      <c r="D1096" t="s">
        <v>37</v>
      </c>
      <c r="E1096" t="s">
        <v>31</v>
      </c>
      <c r="F1096" s="2">
        <v>45898.851143217587</v>
      </c>
      <c r="AC1096" s="24">
        <f t="shared" ca="1" si="35"/>
        <v>235.14885678241262</v>
      </c>
      <c r="AD1096" s="25" t="str">
        <f t="shared" ca="1" si="36"/>
        <v>&gt;60 dias</v>
      </c>
      <c r="AE1096" s="25">
        <f>MONTH(Tabela1[[#This Row],[Criado em]])</f>
        <v>8</v>
      </c>
      <c r="AF1096" s="25">
        <f>YEAR(Tabela1[[#This Row],[Criado em]])</f>
        <v>2025</v>
      </c>
      <c r="AG1096" s="25">
        <f>COUNTIFS(Tabela1[Mês],Tabela1[[#This Row],[Mês]])</f>
        <v>146</v>
      </c>
      <c r="AH1096" s="25">
        <f>COUNTIFS(Tabela1[Mês],Tabela1[[#This Row],[Mês]],Tabela1[Fase atual],"Recebido")</f>
        <v>115</v>
      </c>
      <c r="AI1096" s="26">
        <f>Tabela1[[#This Row],[Recebido_ Mes]]/Tabela1[[#This Row],[Total_Mes]]</f>
        <v>0.78767123287671237</v>
      </c>
      <c r="AJ1096" s="19">
        <f>COUNTIFS(Tabela1[Fase atual],"Recebido",Tabela1[Mês],Tabela1[[#This Row],[Mês]],Tabela1[Ano],Tabela1[[#This Row],[Ano]])/COUNTIF(Tabela1[Mês],Tabela1[[#This Row],[Mês]])</f>
        <v>0.78767123287671237</v>
      </c>
      <c r="AK1096" s="20">
        <f>100%</f>
        <v>1</v>
      </c>
    </row>
    <row r="1097" spans="1:37" ht="18" customHeight="1" x14ac:dyDescent="0.25">
      <c r="A1097">
        <v>1238330614</v>
      </c>
      <c r="B1097" t="s">
        <v>997</v>
      </c>
      <c r="C1097" t="s">
        <v>1786</v>
      </c>
      <c r="D1097" t="s">
        <v>37</v>
      </c>
      <c r="E1097" t="s">
        <v>31</v>
      </c>
      <c r="F1097" s="2">
        <v>45947.628212314812</v>
      </c>
      <c r="AC1097" s="24">
        <f t="shared" ca="1" si="35"/>
        <v>186.37178768518788</v>
      </c>
      <c r="AD1097" s="25" t="str">
        <f t="shared" ca="1" si="36"/>
        <v>&gt;60 dias</v>
      </c>
      <c r="AE1097" s="25">
        <f>MONTH(Tabela1[[#This Row],[Criado em]])</f>
        <v>10</v>
      </c>
      <c r="AF1097" s="25">
        <f>YEAR(Tabela1[[#This Row],[Criado em]])</f>
        <v>2025</v>
      </c>
      <c r="AG1097" s="25">
        <f>COUNTIFS(Tabela1[Mês],Tabela1[[#This Row],[Mês]])</f>
        <v>196</v>
      </c>
      <c r="AH1097" s="25">
        <f>COUNTIFS(Tabela1[Mês],Tabela1[[#This Row],[Mês]],Tabela1[Fase atual],"Recebido")</f>
        <v>138</v>
      </c>
      <c r="AI1097" s="26">
        <f>Tabela1[[#This Row],[Recebido_ Mes]]/Tabela1[[#This Row],[Total_Mes]]</f>
        <v>0.70408163265306123</v>
      </c>
      <c r="AJ1097" s="19">
        <f>COUNTIFS(Tabela1[Fase atual],"Recebido",Tabela1[Mês],Tabela1[[#This Row],[Mês]],Tabela1[Ano],Tabela1[[#This Row],[Ano]])/COUNTIF(Tabela1[Mês],Tabela1[[#This Row],[Mês]])</f>
        <v>0.70408163265306123</v>
      </c>
      <c r="AK1097" s="20">
        <f>100%</f>
        <v>1</v>
      </c>
    </row>
    <row r="1098" spans="1:37" ht="18" customHeight="1" x14ac:dyDescent="0.25">
      <c r="A1098">
        <v>1217449039</v>
      </c>
      <c r="B1098" t="s">
        <v>1787</v>
      </c>
      <c r="C1098" t="s">
        <v>1788</v>
      </c>
      <c r="D1098" t="s">
        <v>37</v>
      </c>
      <c r="E1098" t="s">
        <v>31</v>
      </c>
      <c r="F1098" s="2">
        <v>45919.849880497677</v>
      </c>
      <c r="AC1098" s="24">
        <f t="shared" ca="1" si="35"/>
        <v>214.15011950232292</v>
      </c>
      <c r="AD1098" s="25" t="str">
        <f t="shared" ca="1" si="36"/>
        <v>&gt;60 dias</v>
      </c>
      <c r="AE1098" s="25">
        <f>MONTH(Tabela1[[#This Row],[Criado em]])</f>
        <v>9</v>
      </c>
      <c r="AF1098" s="25">
        <f>YEAR(Tabela1[[#This Row],[Criado em]])</f>
        <v>2025</v>
      </c>
      <c r="AG1098" s="25">
        <f>COUNTIFS(Tabela1[Mês],Tabela1[[#This Row],[Mês]])</f>
        <v>197</v>
      </c>
      <c r="AH1098" s="25">
        <f>COUNTIFS(Tabela1[Mês],Tabela1[[#This Row],[Mês]],Tabela1[Fase atual],"Recebido")</f>
        <v>152</v>
      </c>
      <c r="AI1098" s="26">
        <f>Tabela1[[#This Row],[Recebido_ Mes]]/Tabela1[[#This Row],[Total_Mes]]</f>
        <v>0.77157360406091369</v>
      </c>
      <c r="AJ1098" s="19">
        <f>COUNTIFS(Tabela1[Fase atual],"Recebido",Tabela1[Mês],Tabela1[[#This Row],[Mês]],Tabela1[Ano],Tabela1[[#This Row],[Ano]])/COUNTIF(Tabela1[Mês],Tabela1[[#This Row],[Mês]])</f>
        <v>0.77157360406091369</v>
      </c>
      <c r="AK1098" s="20">
        <f>100%</f>
        <v>1</v>
      </c>
    </row>
    <row r="1099" spans="1:37" ht="18" customHeight="1" x14ac:dyDescent="0.25">
      <c r="A1099">
        <v>1200308520</v>
      </c>
      <c r="B1099" t="s">
        <v>1789</v>
      </c>
      <c r="C1099" t="s">
        <v>1790</v>
      </c>
      <c r="D1099" t="s">
        <v>37</v>
      </c>
      <c r="E1099" t="s">
        <v>31</v>
      </c>
      <c r="F1099" s="2">
        <v>45891.850126284728</v>
      </c>
      <c r="AC1099" s="24">
        <f t="shared" ca="1" si="35"/>
        <v>242.14987371527241</v>
      </c>
      <c r="AD1099" s="25" t="str">
        <f t="shared" ca="1" si="36"/>
        <v>&gt;60 dias</v>
      </c>
      <c r="AE1099" s="25">
        <f>MONTH(Tabela1[[#This Row],[Criado em]])</f>
        <v>8</v>
      </c>
      <c r="AF1099" s="25">
        <f>YEAR(Tabela1[[#This Row],[Criado em]])</f>
        <v>2025</v>
      </c>
      <c r="AG1099" s="25">
        <f>COUNTIFS(Tabela1[Mês],Tabela1[[#This Row],[Mês]])</f>
        <v>146</v>
      </c>
      <c r="AH1099" s="25">
        <f>COUNTIFS(Tabela1[Mês],Tabela1[[#This Row],[Mês]],Tabela1[Fase atual],"Recebido")</f>
        <v>115</v>
      </c>
      <c r="AI1099" s="26">
        <f>Tabela1[[#This Row],[Recebido_ Mes]]/Tabela1[[#This Row],[Total_Mes]]</f>
        <v>0.78767123287671237</v>
      </c>
      <c r="AJ1099" s="19">
        <f>COUNTIFS(Tabela1[Fase atual],"Recebido",Tabela1[Mês],Tabela1[[#This Row],[Mês]],Tabela1[Ano],Tabela1[[#This Row],[Ano]])/COUNTIF(Tabela1[Mês],Tabela1[[#This Row],[Mês]])</f>
        <v>0.78767123287671237</v>
      </c>
      <c r="AK1099" s="20">
        <f>100%</f>
        <v>1</v>
      </c>
    </row>
    <row r="1100" spans="1:37" ht="18" customHeight="1" x14ac:dyDescent="0.25">
      <c r="A1100">
        <v>1259930303</v>
      </c>
      <c r="B1100" t="s">
        <v>1787</v>
      </c>
      <c r="C1100" t="s">
        <v>1791</v>
      </c>
      <c r="D1100" t="s">
        <v>37</v>
      </c>
      <c r="E1100" t="s">
        <v>31</v>
      </c>
      <c r="F1100" s="2">
        <v>45987.795541874999</v>
      </c>
      <c r="AC1100" s="24">
        <f t="shared" ca="1" si="35"/>
        <v>146.20445812500111</v>
      </c>
      <c r="AD1100" s="25" t="str">
        <f t="shared" ca="1" si="36"/>
        <v>&gt;60 dias</v>
      </c>
      <c r="AE1100" s="25">
        <f>MONTH(Tabela1[[#This Row],[Criado em]])</f>
        <v>11</v>
      </c>
      <c r="AF1100" s="25">
        <f>YEAR(Tabela1[[#This Row],[Criado em]])</f>
        <v>2025</v>
      </c>
      <c r="AG1100" s="25">
        <f>COUNTIFS(Tabela1[Mês],Tabela1[[#This Row],[Mês]])</f>
        <v>130</v>
      </c>
      <c r="AH1100" s="25">
        <f>COUNTIFS(Tabela1[Mês],Tabela1[[#This Row],[Mês]],Tabela1[Fase atual],"Recebido")</f>
        <v>100</v>
      </c>
      <c r="AI1100" s="26">
        <f>Tabela1[[#This Row],[Recebido_ Mes]]/Tabela1[[#This Row],[Total_Mes]]</f>
        <v>0.76923076923076927</v>
      </c>
      <c r="AJ1100" s="19">
        <f>COUNTIFS(Tabela1[Fase atual],"Recebido",Tabela1[Mês],Tabela1[[#This Row],[Mês]],Tabela1[Ano],Tabela1[[#This Row],[Ano]])/COUNTIF(Tabela1[Mês],Tabela1[[#This Row],[Mês]])</f>
        <v>0.76923076923076927</v>
      </c>
      <c r="AK1100" s="20">
        <f>100%</f>
        <v>1</v>
      </c>
    </row>
    <row r="1101" spans="1:37" ht="18" customHeight="1" x14ac:dyDescent="0.25">
      <c r="A1101">
        <v>1273203690</v>
      </c>
      <c r="B1101" t="s">
        <v>1787</v>
      </c>
      <c r="C1101" t="s">
        <v>1791</v>
      </c>
      <c r="D1101" t="s">
        <v>37</v>
      </c>
      <c r="E1101" t="s">
        <v>31</v>
      </c>
      <c r="F1101" s="2">
        <v>46017.631873368053</v>
      </c>
      <c r="AC1101" s="24">
        <f t="shared" ca="1" si="35"/>
        <v>116.36812663194723</v>
      </c>
      <c r="AD1101" s="25" t="str">
        <f t="shared" ca="1" si="36"/>
        <v>&gt;60 dias</v>
      </c>
      <c r="AE1101" s="25">
        <f>MONTH(Tabela1[[#This Row],[Criado em]])</f>
        <v>12</v>
      </c>
      <c r="AF1101" s="25">
        <f>YEAR(Tabela1[[#This Row],[Criado em]])</f>
        <v>2025</v>
      </c>
      <c r="AG1101" s="25">
        <f>COUNTIFS(Tabela1[Mês],Tabela1[[#This Row],[Mês]])</f>
        <v>207</v>
      </c>
      <c r="AH1101" s="25">
        <f>COUNTIFS(Tabela1[Mês],Tabela1[[#This Row],[Mês]],Tabela1[Fase atual],"Recebido")</f>
        <v>155</v>
      </c>
      <c r="AI1101" s="26">
        <f>Tabela1[[#This Row],[Recebido_ Mes]]/Tabela1[[#This Row],[Total_Mes]]</f>
        <v>0.74879227053140096</v>
      </c>
      <c r="AJ1101" s="19">
        <f>COUNTIFS(Tabela1[Fase atual],"Recebido",Tabela1[Mês],Tabela1[[#This Row],[Mês]],Tabela1[Ano],Tabela1[[#This Row],[Ano]])/COUNTIF(Tabela1[Mês],Tabela1[[#This Row],[Mês]])</f>
        <v>0.74879227053140096</v>
      </c>
      <c r="AK1101" s="20">
        <f>100%</f>
        <v>1</v>
      </c>
    </row>
    <row r="1102" spans="1:37" ht="18" customHeight="1" x14ac:dyDescent="0.25">
      <c r="A1102">
        <v>1173146013</v>
      </c>
      <c r="B1102" t="s">
        <v>1792</v>
      </c>
      <c r="C1102" t="s">
        <v>1793</v>
      </c>
      <c r="D1102" t="s">
        <v>37</v>
      </c>
      <c r="E1102" t="s">
        <v>31</v>
      </c>
      <c r="F1102" s="2">
        <v>45846.642327430563</v>
      </c>
      <c r="AC1102" s="24">
        <f t="shared" ca="1" si="35"/>
        <v>287.35767256943655</v>
      </c>
      <c r="AD1102" s="25" t="str">
        <f t="shared" ca="1" si="36"/>
        <v>&gt;60 dias</v>
      </c>
      <c r="AE1102" s="25">
        <f>MONTH(Tabela1[[#This Row],[Criado em]])</f>
        <v>7</v>
      </c>
      <c r="AF1102" s="25">
        <f>YEAR(Tabela1[[#This Row],[Criado em]])</f>
        <v>2025</v>
      </c>
      <c r="AG1102" s="25">
        <f>COUNTIFS(Tabela1[Mês],Tabela1[[#This Row],[Mês]])</f>
        <v>177</v>
      </c>
      <c r="AH1102" s="25">
        <f>COUNTIFS(Tabela1[Mês],Tabela1[[#This Row],[Mês]],Tabela1[Fase atual],"Recebido")</f>
        <v>130</v>
      </c>
      <c r="AI1102" s="26">
        <f>Tabela1[[#This Row],[Recebido_ Mes]]/Tabela1[[#This Row],[Total_Mes]]</f>
        <v>0.7344632768361582</v>
      </c>
      <c r="AJ1102" s="19">
        <f>COUNTIFS(Tabela1[Fase atual],"Recebido",Tabela1[Mês],Tabela1[[#This Row],[Mês]],Tabela1[Ano],Tabela1[[#This Row],[Ano]])/COUNTIF(Tabela1[Mês],Tabela1[[#This Row],[Mês]])</f>
        <v>0.7344632768361582</v>
      </c>
      <c r="AK1102" s="20">
        <f>100%</f>
        <v>1</v>
      </c>
    </row>
    <row r="1103" spans="1:37" ht="18" customHeight="1" x14ac:dyDescent="0.25">
      <c r="A1103">
        <v>1309288545</v>
      </c>
      <c r="B1103" t="s">
        <v>696</v>
      </c>
      <c r="C1103" t="s">
        <v>2255</v>
      </c>
      <c r="D1103" t="s">
        <v>2179</v>
      </c>
      <c r="E1103" t="s">
        <v>31</v>
      </c>
      <c r="F1103" s="2">
        <v>46085.795248564813</v>
      </c>
      <c r="AC1103" s="24">
        <f t="shared" ca="1" si="35"/>
        <v>48.204751435187063</v>
      </c>
      <c r="AD1103" s="25" t="str">
        <f t="shared" ca="1" si="36"/>
        <v>31-60 dias</v>
      </c>
      <c r="AE1103" s="25">
        <f>MONTH(Tabela1[[#This Row],[Criado em]])</f>
        <v>3</v>
      </c>
      <c r="AF1103" s="25">
        <f>YEAR(Tabela1[[#This Row],[Criado em]])</f>
        <v>2026</v>
      </c>
      <c r="AG1103" s="25">
        <f>COUNTIFS(Tabela1[Mês],Tabela1[[#This Row],[Mês]])</f>
        <v>62</v>
      </c>
      <c r="AH1103" s="25">
        <f>COUNTIFS(Tabela1[Mês],Tabela1[[#This Row],[Mês]],Tabela1[Fase atual],"Recebido")</f>
        <v>13</v>
      </c>
      <c r="AI1103" s="26">
        <f>Tabela1[[#This Row],[Recebido_ Mes]]/Tabela1[[#This Row],[Total_Mes]]</f>
        <v>0.20967741935483872</v>
      </c>
      <c r="AJ1103" s="19">
        <f>COUNTIFS(Tabela1[Fase atual],"Recebido",Tabela1[Mês],Tabela1[[#This Row],[Mês]],Tabela1[Ano],Tabela1[[#This Row],[Ano]])/COUNTIF(Tabela1[Mês],Tabela1[[#This Row],[Mês]])</f>
        <v>0.20967741935483872</v>
      </c>
      <c r="AK1103" s="20">
        <f>100%</f>
        <v>1</v>
      </c>
    </row>
    <row r="1104" spans="1:37" ht="18" customHeight="1" x14ac:dyDescent="0.25">
      <c r="A1104">
        <v>1304258978</v>
      </c>
      <c r="B1104" t="s">
        <v>696</v>
      </c>
      <c r="C1104" t="s">
        <v>697</v>
      </c>
      <c r="D1104" t="s">
        <v>2179</v>
      </c>
      <c r="E1104" t="s">
        <v>31</v>
      </c>
      <c r="F1104" s="2">
        <v>46078.921643576388</v>
      </c>
      <c r="AC1104" s="24">
        <f t="shared" ca="1" si="35"/>
        <v>55.078356423611694</v>
      </c>
      <c r="AD1104" s="25" t="str">
        <f t="shared" ca="1" si="36"/>
        <v>31-60 dias</v>
      </c>
      <c r="AE1104" s="25">
        <f>MONTH(Tabela1[[#This Row],[Criado em]])</f>
        <v>2</v>
      </c>
      <c r="AF1104" s="25">
        <f>YEAR(Tabela1[[#This Row],[Criado em]])</f>
        <v>2026</v>
      </c>
      <c r="AG1104" s="25">
        <f>COUNTIFS(Tabela1[Mês],Tabela1[[#This Row],[Mês]])</f>
        <v>197</v>
      </c>
      <c r="AH1104" s="25">
        <f>COUNTIFS(Tabela1[Mês],Tabela1[[#This Row],[Mês]],Tabela1[Fase atual],"Recebido")</f>
        <v>124</v>
      </c>
      <c r="AI1104" s="26">
        <f>Tabela1[[#This Row],[Recebido_ Mes]]/Tabela1[[#This Row],[Total_Mes]]</f>
        <v>0.62944162436548223</v>
      </c>
      <c r="AJ1104" s="19">
        <f>COUNTIFS(Tabela1[Fase atual],"Recebido",Tabela1[Mês],Tabela1[[#This Row],[Mês]],Tabela1[Ano],Tabela1[[#This Row],[Ano]])/COUNTIF(Tabela1[Mês],Tabela1[[#This Row],[Mês]])</f>
        <v>0.62944162436548223</v>
      </c>
      <c r="AK1104" s="20">
        <f>100%</f>
        <v>1</v>
      </c>
    </row>
    <row r="1105" spans="1:37" ht="18" customHeight="1" x14ac:dyDescent="0.25">
      <c r="A1105">
        <v>1255165874</v>
      </c>
      <c r="B1105" t="s">
        <v>1794</v>
      </c>
      <c r="C1105" t="s">
        <v>1795</v>
      </c>
      <c r="D1105" t="s">
        <v>37</v>
      </c>
      <c r="E1105" t="s">
        <v>31</v>
      </c>
      <c r="F1105" s="2">
        <v>45975.920303078703</v>
      </c>
      <c r="AC1105" s="24">
        <f t="shared" ca="1" si="35"/>
        <v>158.079696921297</v>
      </c>
      <c r="AD1105" s="25" t="str">
        <f t="shared" ca="1" si="36"/>
        <v>&gt;60 dias</v>
      </c>
      <c r="AE1105" s="25">
        <f>MONTH(Tabela1[[#This Row],[Criado em]])</f>
        <v>11</v>
      </c>
      <c r="AF1105" s="25">
        <f>YEAR(Tabela1[[#This Row],[Criado em]])</f>
        <v>2025</v>
      </c>
      <c r="AG1105" s="25">
        <f>COUNTIFS(Tabela1[Mês],Tabela1[[#This Row],[Mês]])</f>
        <v>130</v>
      </c>
      <c r="AH1105" s="25">
        <f>COUNTIFS(Tabela1[Mês],Tabela1[[#This Row],[Mês]],Tabela1[Fase atual],"Recebido")</f>
        <v>100</v>
      </c>
      <c r="AI1105" s="26">
        <f>Tabela1[[#This Row],[Recebido_ Mes]]/Tabela1[[#This Row],[Total_Mes]]</f>
        <v>0.76923076923076927</v>
      </c>
      <c r="AJ1105" s="19">
        <f>COUNTIFS(Tabela1[Fase atual],"Recebido",Tabela1[Mês],Tabela1[[#This Row],[Mês]],Tabela1[Ano],Tabela1[[#This Row],[Ano]])/COUNTIF(Tabela1[Mês],Tabela1[[#This Row],[Mês]])</f>
        <v>0.76923076923076927</v>
      </c>
      <c r="AK1105" s="20">
        <f>100%</f>
        <v>1</v>
      </c>
    </row>
    <row r="1106" spans="1:37" ht="18" customHeight="1" x14ac:dyDescent="0.25">
      <c r="A1106">
        <v>1290572722</v>
      </c>
      <c r="B1106" t="s">
        <v>478</v>
      </c>
      <c r="C1106" t="s">
        <v>479</v>
      </c>
      <c r="D1106" t="s">
        <v>2256</v>
      </c>
      <c r="E1106" t="s">
        <v>31</v>
      </c>
      <c r="F1106" s="2">
        <v>46051.795806516209</v>
      </c>
      <c r="AC1106" s="24">
        <f t="shared" ca="1" si="35"/>
        <v>82.204193483790732</v>
      </c>
      <c r="AD1106" s="25" t="str">
        <f t="shared" ca="1" si="36"/>
        <v>&gt;60 dias</v>
      </c>
      <c r="AE1106" s="25">
        <f>MONTH(Tabela1[[#This Row],[Criado em]])</f>
        <v>1</v>
      </c>
      <c r="AF1106" s="25">
        <f>YEAR(Tabela1[[#This Row],[Criado em]])</f>
        <v>2026</v>
      </c>
      <c r="AG1106" s="25">
        <f>COUNTIFS(Tabela1[Mês],Tabela1[[#This Row],[Mês]])</f>
        <v>222</v>
      </c>
      <c r="AH1106" s="25">
        <f>COUNTIFS(Tabela1[Mês],Tabela1[[#This Row],[Mês]],Tabela1[Fase atual],"Recebido")</f>
        <v>174</v>
      </c>
      <c r="AI1106" s="26">
        <f>Tabela1[[#This Row],[Recebido_ Mes]]/Tabela1[[#This Row],[Total_Mes]]</f>
        <v>0.78378378378378377</v>
      </c>
      <c r="AJ1106" s="19">
        <f>COUNTIFS(Tabela1[Fase atual],"Recebido",Tabela1[Mês],Tabela1[[#This Row],[Mês]],Tabela1[Ano],Tabela1[[#This Row],[Ano]])/COUNTIF(Tabela1[Mês],Tabela1[[#This Row],[Mês]])</f>
        <v>0.78378378378378377</v>
      </c>
      <c r="AK1106" s="20">
        <f>100%</f>
        <v>1</v>
      </c>
    </row>
    <row r="1107" spans="1:37" ht="18" customHeight="1" x14ac:dyDescent="0.25">
      <c r="A1107">
        <v>1288419754</v>
      </c>
      <c r="B1107" t="s">
        <v>478</v>
      </c>
      <c r="C1107" t="s">
        <v>479</v>
      </c>
      <c r="D1107" t="s">
        <v>37</v>
      </c>
      <c r="E1107" t="s">
        <v>31</v>
      </c>
      <c r="F1107" s="2">
        <v>46048.920379814823</v>
      </c>
      <c r="AC1107" s="24">
        <f t="shared" ca="1" si="35"/>
        <v>85.079620185177191</v>
      </c>
      <c r="AD1107" s="25" t="str">
        <f t="shared" ca="1" si="36"/>
        <v>&gt;60 dias</v>
      </c>
      <c r="AE1107" s="25">
        <f>MONTH(Tabela1[[#This Row],[Criado em]])</f>
        <v>1</v>
      </c>
      <c r="AF1107" s="25">
        <f>YEAR(Tabela1[[#This Row],[Criado em]])</f>
        <v>2026</v>
      </c>
      <c r="AG1107" s="25">
        <f>COUNTIFS(Tabela1[Mês],Tabela1[[#This Row],[Mês]])</f>
        <v>222</v>
      </c>
      <c r="AH1107" s="25">
        <f>COUNTIFS(Tabela1[Mês],Tabela1[[#This Row],[Mês]],Tabela1[Fase atual],"Recebido")</f>
        <v>174</v>
      </c>
      <c r="AI1107" s="26">
        <f>Tabela1[[#This Row],[Recebido_ Mes]]/Tabela1[[#This Row],[Total_Mes]]</f>
        <v>0.78378378378378377</v>
      </c>
      <c r="AJ1107" s="19">
        <f>COUNTIFS(Tabela1[Fase atual],"Recebido",Tabela1[Mês],Tabela1[[#This Row],[Mês]],Tabela1[Ano],Tabela1[[#This Row],[Ano]])/COUNTIF(Tabela1[Mês],Tabela1[[#This Row],[Mês]])</f>
        <v>0.78378378378378377</v>
      </c>
      <c r="AK1107" s="20">
        <f>100%</f>
        <v>1</v>
      </c>
    </row>
    <row r="1108" spans="1:37" ht="18" customHeight="1" x14ac:dyDescent="0.25">
      <c r="A1108">
        <v>1297055751</v>
      </c>
      <c r="B1108" t="s">
        <v>478</v>
      </c>
      <c r="C1108" t="s">
        <v>479</v>
      </c>
      <c r="D1108" t="s">
        <v>2256</v>
      </c>
      <c r="E1108" t="s">
        <v>31</v>
      </c>
      <c r="F1108" s="2">
        <v>46065.796422581006</v>
      </c>
      <c r="AC1108" s="24">
        <f t="shared" ca="1" si="35"/>
        <v>68.203577418993518</v>
      </c>
      <c r="AD1108" s="25" t="str">
        <f t="shared" ca="1" si="36"/>
        <v>&gt;60 dias</v>
      </c>
      <c r="AE1108" s="25">
        <f>MONTH(Tabela1[[#This Row],[Criado em]])</f>
        <v>2</v>
      </c>
      <c r="AF1108" s="25">
        <f>YEAR(Tabela1[[#This Row],[Criado em]])</f>
        <v>2026</v>
      </c>
      <c r="AG1108" s="25">
        <f>COUNTIFS(Tabela1[Mês],Tabela1[[#This Row],[Mês]])</f>
        <v>197</v>
      </c>
      <c r="AH1108" s="25">
        <f>COUNTIFS(Tabela1[Mês],Tabela1[[#This Row],[Mês]],Tabela1[Fase atual],"Recebido")</f>
        <v>124</v>
      </c>
      <c r="AI1108" s="26">
        <f>Tabela1[[#This Row],[Recebido_ Mes]]/Tabela1[[#This Row],[Total_Mes]]</f>
        <v>0.62944162436548223</v>
      </c>
      <c r="AJ1108" s="19">
        <f>COUNTIFS(Tabela1[Fase atual],"Recebido",Tabela1[Mês],Tabela1[[#This Row],[Mês]],Tabela1[Ano],Tabela1[[#This Row],[Ano]])/COUNTIF(Tabela1[Mês],Tabela1[[#This Row],[Mês]])</f>
        <v>0.62944162436548223</v>
      </c>
      <c r="AK1108" s="20">
        <f>100%</f>
        <v>1</v>
      </c>
    </row>
    <row r="1109" spans="1:37" ht="18" customHeight="1" x14ac:dyDescent="0.25">
      <c r="A1109">
        <v>1282983795</v>
      </c>
      <c r="B1109" t="s">
        <v>478</v>
      </c>
      <c r="C1109" t="s">
        <v>480</v>
      </c>
      <c r="D1109" t="s">
        <v>37</v>
      </c>
      <c r="E1109" t="s">
        <v>31</v>
      </c>
      <c r="F1109" s="2">
        <v>46038.796720405087</v>
      </c>
      <c r="AC1109" s="24">
        <f t="shared" ca="1" si="35"/>
        <v>95.203279594912601</v>
      </c>
      <c r="AD1109" s="25" t="str">
        <f t="shared" ca="1" si="36"/>
        <v>&gt;60 dias</v>
      </c>
      <c r="AE1109" s="25">
        <f>MONTH(Tabela1[[#This Row],[Criado em]])</f>
        <v>1</v>
      </c>
      <c r="AF1109" s="25">
        <f>YEAR(Tabela1[[#This Row],[Criado em]])</f>
        <v>2026</v>
      </c>
      <c r="AG1109" s="25">
        <f>COUNTIFS(Tabela1[Mês],Tabela1[[#This Row],[Mês]])</f>
        <v>222</v>
      </c>
      <c r="AH1109" s="25">
        <f>COUNTIFS(Tabela1[Mês],Tabela1[[#This Row],[Mês]],Tabela1[Fase atual],"Recebido")</f>
        <v>174</v>
      </c>
      <c r="AI1109" s="26">
        <f>Tabela1[[#This Row],[Recebido_ Mes]]/Tabela1[[#This Row],[Total_Mes]]</f>
        <v>0.78378378378378377</v>
      </c>
      <c r="AJ1109" s="19">
        <f>COUNTIFS(Tabela1[Fase atual],"Recebido",Tabela1[Mês],Tabela1[[#This Row],[Mês]],Tabela1[Ano],Tabela1[[#This Row],[Ano]])/COUNTIF(Tabela1[Mês],Tabela1[[#This Row],[Mês]])</f>
        <v>0.78378378378378377</v>
      </c>
      <c r="AK1109" s="20">
        <f>100%</f>
        <v>1</v>
      </c>
    </row>
    <row r="1110" spans="1:37" ht="18" customHeight="1" x14ac:dyDescent="0.25">
      <c r="A1110">
        <v>1304130845</v>
      </c>
      <c r="B1110" t="s">
        <v>698</v>
      </c>
      <c r="C1110" t="s">
        <v>699</v>
      </c>
      <c r="D1110" t="s">
        <v>37</v>
      </c>
      <c r="E1110" t="s">
        <v>31</v>
      </c>
      <c r="F1110" s="2">
        <v>46078.797598090277</v>
      </c>
      <c r="AC1110" s="24">
        <f t="shared" ca="1" si="35"/>
        <v>55.202401909722539</v>
      </c>
      <c r="AD1110" s="25" t="str">
        <f t="shared" ca="1" si="36"/>
        <v>31-60 dias</v>
      </c>
      <c r="AE1110" s="25">
        <f>MONTH(Tabela1[[#This Row],[Criado em]])</f>
        <v>2</v>
      </c>
      <c r="AF1110" s="25">
        <f>YEAR(Tabela1[[#This Row],[Criado em]])</f>
        <v>2026</v>
      </c>
      <c r="AG1110" s="25">
        <f>COUNTIFS(Tabela1[Mês],Tabela1[[#This Row],[Mês]])</f>
        <v>197</v>
      </c>
      <c r="AH1110" s="25">
        <f>COUNTIFS(Tabela1[Mês],Tabela1[[#This Row],[Mês]],Tabela1[Fase atual],"Recebido")</f>
        <v>124</v>
      </c>
      <c r="AI1110" s="26">
        <f>Tabela1[[#This Row],[Recebido_ Mes]]/Tabela1[[#This Row],[Total_Mes]]</f>
        <v>0.62944162436548223</v>
      </c>
      <c r="AJ1110" s="19">
        <f>COUNTIFS(Tabela1[Fase atual],"Recebido",Tabela1[Mês],Tabela1[[#This Row],[Mês]],Tabela1[Ano],Tabela1[[#This Row],[Ano]])/COUNTIF(Tabela1[Mês],Tabela1[[#This Row],[Mês]])</f>
        <v>0.62944162436548223</v>
      </c>
      <c r="AK1110" s="20">
        <f>100%</f>
        <v>1</v>
      </c>
    </row>
    <row r="1111" spans="1:37" ht="18" customHeight="1" x14ac:dyDescent="0.25">
      <c r="A1111">
        <v>1301477270</v>
      </c>
      <c r="B1111" t="s">
        <v>481</v>
      </c>
      <c r="C1111" t="s">
        <v>482</v>
      </c>
      <c r="D1111" t="s">
        <v>37</v>
      </c>
      <c r="E1111" t="s">
        <v>31</v>
      </c>
      <c r="F1111" s="2">
        <v>46076.629174444453</v>
      </c>
      <c r="AC1111" s="24">
        <f t="shared" ca="1" si="35"/>
        <v>57.370825555546617</v>
      </c>
      <c r="AD1111" s="25" t="str">
        <f t="shared" ca="1" si="36"/>
        <v>31-60 dias</v>
      </c>
      <c r="AE1111" s="25">
        <f>MONTH(Tabela1[[#This Row],[Criado em]])</f>
        <v>2</v>
      </c>
      <c r="AF1111" s="25">
        <f>YEAR(Tabela1[[#This Row],[Criado em]])</f>
        <v>2026</v>
      </c>
      <c r="AG1111" s="25">
        <f>COUNTIFS(Tabela1[Mês],Tabela1[[#This Row],[Mês]])</f>
        <v>197</v>
      </c>
      <c r="AH1111" s="25">
        <f>COUNTIFS(Tabela1[Mês],Tabela1[[#This Row],[Mês]],Tabela1[Fase atual],"Recebido")</f>
        <v>124</v>
      </c>
      <c r="AI1111" s="26">
        <f>Tabela1[[#This Row],[Recebido_ Mes]]/Tabela1[[#This Row],[Total_Mes]]</f>
        <v>0.62944162436548223</v>
      </c>
      <c r="AJ1111" s="19">
        <f>COUNTIFS(Tabela1[Fase atual],"Recebido",Tabela1[Mês],Tabela1[[#This Row],[Mês]],Tabela1[Ano],Tabela1[[#This Row],[Ano]])/COUNTIF(Tabela1[Mês],Tabela1[[#This Row],[Mês]])</f>
        <v>0.62944162436548223</v>
      </c>
      <c r="AK1111" s="20">
        <f>100%</f>
        <v>1</v>
      </c>
    </row>
    <row r="1112" spans="1:37" ht="18" customHeight="1" x14ac:dyDescent="0.25">
      <c r="A1112">
        <v>1194685332</v>
      </c>
      <c r="B1112" t="s">
        <v>1796</v>
      </c>
      <c r="C1112" t="s">
        <v>1797</v>
      </c>
      <c r="D1112" t="s">
        <v>37</v>
      </c>
      <c r="E1112" t="s">
        <v>31</v>
      </c>
      <c r="F1112" s="2">
        <v>45882.850920694444</v>
      </c>
      <c r="AC1112" s="24">
        <f t="shared" ca="1" si="35"/>
        <v>251.14907930555637</v>
      </c>
      <c r="AD1112" s="25" t="str">
        <f t="shared" ca="1" si="36"/>
        <v>&gt;60 dias</v>
      </c>
      <c r="AE1112" s="25">
        <f>MONTH(Tabela1[[#This Row],[Criado em]])</f>
        <v>8</v>
      </c>
      <c r="AF1112" s="25">
        <f>YEAR(Tabela1[[#This Row],[Criado em]])</f>
        <v>2025</v>
      </c>
      <c r="AG1112" s="25">
        <f>COUNTIFS(Tabela1[Mês],Tabela1[[#This Row],[Mês]])</f>
        <v>146</v>
      </c>
      <c r="AH1112" s="25">
        <f>COUNTIFS(Tabela1[Mês],Tabela1[[#This Row],[Mês]],Tabela1[Fase atual],"Recebido")</f>
        <v>115</v>
      </c>
      <c r="AI1112" s="26">
        <f>Tabela1[[#This Row],[Recebido_ Mes]]/Tabela1[[#This Row],[Total_Mes]]</f>
        <v>0.78767123287671237</v>
      </c>
      <c r="AJ1112" s="19">
        <f>COUNTIFS(Tabela1[Fase atual],"Recebido",Tabela1[Mês],Tabela1[[#This Row],[Mês]],Tabela1[Ano],Tabela1[[#This Row],[Ano]])/COUNTIF(Tabela1[Mês],Tabela1[[#This Row],[Mês]])</f>
        <v>0.78767123287671237</v>
      </c>
      <c r="AK1112" s="20">
        <f>100%</f>
        <v>1</v>
      </c>
    </row>
    <row r="1113" spans="1:37" ht="18" customHeight="1" x14ac:dyDescent="0.25">
      <c r="A1113">
        <v>1254122279</v>
      </c>
      <c r="B1113" t="s">
        <v>1798</v>
      </c>
      <c r="C1113" t="s">
        <v>1799</v>
      </c>
      <c r="D1113" t="s">
        <v>37</v>
      </c>
      <c r="E1113" t="s">
        <v>31</v>
      </c>
      <c r="F1113" s="2">
        <v>45973.920355879629</v>
      </c>
      <c r="AC1113" s="24">
        <f t="shared" ca="1" si="35"/>
        <v>160.07964412037109</v>
      </c>
      <c r="AD1113" s="25" t="str">
        <f t="shared" ca="1" si="36"/>
        <v>&gt;60 dias</v>
      </c>
      <c r="AE1113" s="25">
        <f>MONTH(Tabela1[[#This Row],[Criado em]])</f>
        <v>11</v>
      </c>
      <c r="AF1113" s="25">
        <f>YEAR(Tabela1[[#This Row],[Criado em]])</f>
        <v>2025</v>
      </c>
      <c r="AG1113" s="25">
        <f>COUNTIFS(Tabela1[Mês],Tabela1[[#This Row],[Mês]])</f>
        <v>130</v>
      </c>
      <c r="AH1113" s="25">
        <f>COUNTIFS(Tabela1[Mês],Tabela1[[#This Row],[Mês]],Tabela1[Fase atual],"Recebido")</f>
        <v>100</v>
      </c>
      <c r="AI1113" s="26">
        <f>Tabela1[[#This Row],[Recebido_ Mes]]/Tabela1[[#This Row],[Total_Mes]]</f>
        <v>0.76923076923076927</v>
      </c>
      <c r="AJ1113" s="19">
        <f>COUNTIFS(Tabela1[Fase atual],"Recebido",Tabela1[Mês],Tabela1[[#This Row],[Mês]],Tabela1[Ano],Tabela1[[#This Row],[Ano]])/COUNTIF(Tabela1[Mês],Tabela1[[#This Row],[Mês]])</f>
        <v>0.76923076923076927</v>
      </c>
      <c r="AK1113" s="20">
        <f>100%</f>
        <v>1</v>
      </c>
    </row>
    <row r="1114" spans="1:37" ht="18" customHeight="1" x14ac:dyDescent="0.25">
      <c r="A1114">
        <v>1266705978</v>
      </c>
      <c r="B1114" t="s">
        <v>1800</v>
      </c>
      <c r="C1114" t="s">
        <v>1801</v>
      </c>
      <c r="D1114" t="s">
        <v>37</v>
      </c>
      <c r="E1114" t="s">
        <v>31</v>
      </c>
      <c r="F1114" s="2">
        <v>46001.79805287037</v>
      </c>
      <c r="AC1114" s="24">
        <f t="shared" ca="1" si="35"/>
        <v>132.20194712962984</v>
      </c>
      <c r="AD1114" s="25" t="str">
        <f t="shared" ca="1" si="36"/>
        <v>&gt;60 dias</v>
      </c>
      <c r="AE1114" s="25">
        <f>MONTH(Tabela1[[#This Row],[Criado em]])</f>
        <v>12</v>
      </c>
      <c r="AF1114" s="25">
        <f>YEAR(Tabela1[[#This Row],[Criado em]])</f>
        <v>2025</v>
      </c>
      <c r="AG1114" s="25">
        <f>COUNTIFS(Tabela1[Mês],Tabela1[[#This Row],[Mês]])</f>
        <v>207</v>
      </c>
      <c r="AH1114" s="25">
        <f>COUNTIFS(Tabela1[Mês],Tabela1[[#This Row],[Mês]],Tabela1[Fase atual],"Recebido")</f>
        <v>155</v>
      </c>
      <c r="AI1114" s="26">
        <f>Tabela1[[#This Row],[Recebido_ Mes]]/Tabela1[[#This Row],[Total_Mes]]</f>
        <v>0.74879227053140096</v>
      </c>
      <c r="AJ1114" s="19">
        <f>COUNTIFS(Tabela1[Fase atual],"Recebido",Tabela1[Mês],Tabela1[[#This Row],[Mês]],Tabela1[Ano],Tabela1[[#This Row],[Ano]])/COUNTIF(Tabela1[Mês],Tabela1[[#This Row],[Mês]])</f>
        <v>0.74879227053140096</v>
      </c>
      <c r="AK1114" s="20">
        <f>100%</f>
        <v>1</v>
      </c>
    </row>
    <row r="1115" spans="1:37" ht="18" customHeight="1" x14ac:dyDescent="0.25">
      <c r="A1115">
        <v>1268642038</v>
      </c>
      <c r="B1115" t="s">
        <v>1800</v>
      </c>
      <c r="C1115" t="s">
        <v>1801</v>
      </c>
      <c r="D1115" t="s">
        <v>34</v>
      </c>
      <c r="E1115" t="s">
        <v>31</v>
      </c>
      <c r="F1115" s="2">
        <v>46006.795483622693</v>
      </c>
      <c r="AC1115" s="24">
        <f t="shared" ca="1" si="35"/>
        <v>127.2045163773073</v>
      </c>
      <c r="AD1115" s="25" t="str">
        <f t="shared" ca="1" si="36"/>
        <v>&gt;60 dias</v>
      </c>
      <c r="AE1115" s="25">
        <f>MONTH(Tabela1[[#This Row],[Criado em]])</f>
        <v>12</v>
      </c>
      <c r="AF1115" s="25">
        <f>YEAR(Tabela1[[#This Row],[Criado em]])</f>
        <v>2025</v>
      </c>
      <c r="AG1115" s="25">
        <f>COUNTIFS(Tabela1[Mês],Tabela1[[#This Row],[Mês]])</f>
        <v>207</v>
      </c>
      <c r="AH1115" s="25">
        <f>COUNTIFS(Tabela1[Mês],Tabela1[[#This Row],[Mês]],Tabela1[Fase atual],"Recebido")</f>
        <v>155</v>
      </c>
      <c r="AI1115" s="26">
        <f>Tabela1[[#This Row],[Recebido_ Mes]]/Tabela1[[#This Row],[Total_Mes]]</f>
        <v>0.74879227053140096</v>
      </c>
      <c r="AJ1115" s="19">
        <f>COUNTIFS(Tabela1[Fase atual],"Recebido",Tabela1[Mês],Tabela1[[#This Row],[Mês]],Tabela1[Ano],Tabela1[[#This Row],[Ano]])/COUNTIF(Tabela1[Mês],Tabela1[[#This Row],[Mês]])</f>
        <v>0.74879227053140096</v>
      </c>
      <c r="AK1115" s="20">
        <f>100%</f>
        <v>1</v>
      </c>
    </row>
    <row r="1116" spans="1:37" ht="18" customHeight="1" x14ac:dyDescent="0.25">
      <c r="A1116">
        <v>1201925717</v>
      </c>
      <c r="B1116" t="s">
        <v>1802</v>
      </c>
      <c r="C1116" t="s">
        <v>1803</v>
      </c>
      <c r="D1116" t="s">
        <v>37</v>
      </c>
      <c r="E1116" t="s">
        <v>31</v>
      </c>
      <c r="F1116" s="2">
        <v>45895.017023148153</v>
      </c>
      <c r="AC1116" s="24">
        <f t="shared" ca="1" si="35"/>
        <v>238.98297685184662</v>
      </c>
      <c r="AD1116" s="25" t="str">
        <f t="shared" ca="1" si="36"/>
        <v>&gt;60 dias</v>
      </c>
      <c r="AE1116" s="25">
        <f>MONTH(Tabela1[[#This Row],[Criado em]])</f>
        <v>8</v>
      </c>
      <c r="AF1116" s="25">
        <f>YEAR(Tabela1[[#This Row],[Criado em]])</f>
        <v>2025</v>
      </c>
      <c r="AG1116" s="25">
        <f>COUNTIFS(Tabela1[Mês],Tabela1[[#This Row],[Mês]])</f>
        <v>146</v>
      </c>
      <c r="AH1116" s="25">
        <f>COUNTIFS(Tabela1[Mês],Tabela1[[#This Row],[Mês]],Tabela1[Fase atual],"Recebido")</f>
        <v>115</v>
      </c>
      <c r="AI1116" s="26">
        <f>Tabela1[[#This Row],[Recebido_ Mes]]/Tabela1[[#This Row],[Total_Mes]]</f>
        <v>0.78767123287671237</v>
      </c>
      <c r="AJ1116" s="19">
        <f>COUNTIFS(Tabela1[Fase atual],"Recebido",Tabela1[Mês],Tabela1[[#This Row],[Mês]],Tabela1[Ano],Tabela1[[#This Row],[Ano]])/COUNTIF(Tabela1[Mês],Tabela1[[#This Row],[Mês]])</f>
        <v>0.78767123287671237</v>
      </c>
      <c r="AK1116" s="20">
        <f>100%</f>
        <v>1</v>
      </c>
    </row>
    <row r="1117" spans="1:37" ht="18" customHeight="1" x14ac:dyDescent="0.25">
      <c r="A1117">
        <v>1307302198</v>
      </c>
      <c r="B1117" t="s">
        <v>2257</v>
      </c>
      <c r="C1117" t="s">
        <v>2258</v>
      </c>
      <c r="D1117" t="s">
        <v>2179</v>
      </c>
      <c r="E1117" t="s">
        <v>31</v>
      </c>
      <c r="F1117" s="2">
        <v>46083.795436574073</v>
      </c>
      <c r="AC1117" s="24">
        <f t="shared" ca="1" si="35"/>
        <v>50.204563425926608</v>
      </c>
      <c r="AD1117" s="25" t="str">
        <f t="shared" ca="1" si="36"/>
        <v>31-60 dias</v>
      </c>
      <c r="AE1117" s="25">
        <f>MONTH(Tabela1[[#This Row],[Criado em]])</f>
        <v>3</v>
      </c>
      <c r="AF1117" s="25">
        <f>YEAR(Tabela1[[#This Row],[Criado em]])</f>
        <v>2026</v>
      </c>
      <c r="AG1117" s="25">
        <f>COUNTIFS(Tabela1[Mês],Tabela1[[#This Row],[Mês]])</f>
        <v>62</v>
      </c>
      <c r="AH1117" s="25">
        <f>COUNTIFS(Tabela1[Mês],Tabela1[[#This Row],[Mês]],Tabela1[Fase atual],"Recebido")</f>
        <v>13</v>
      </c>
      <c r="AI1117" s="26">
        <f>Tabela1[[#This Row],[Recebido_ Mes]]/Tabela1[[#This Row],[Total_Mes]]</f>
        <v>0.20967741935483872</v>
      </c>
      <c r="AJ1117" s="19">
        <f>COUNTIFS(Tabela1[Fase atual],"Recebido",Tabela1[Mês],Tabela1[[#This Row],[Mês]],Tabela1[Ano],Tabela1[[#This Row],[Ano]])/COUNTIF(Tabela1[Mês],Tabela1[[#This Row],[Mês]])</f>
        <v>0.20967741935483872</v>
      </c>
      <c r="AK1117" s="20">
        <f>100%</f>
        <v>1</v>
      </c>
    </row>
    <row r="1118" spans="1:37" ht="18" customHeight="1" x14ac:dyDescent="0.25">
      <c r="A1118">
        <v>1189844939</v>
      </c>
      <c r="B1118" t="s">
        <v>1804</v>
      </c>
      <c r="C1118" t="s">
        <v>1805</v>
      </c>
      <c r="D1118" t="s">
        <v>37</v>
      </c>
      <c r="E1118" t="s">
        <v>31</v>
      </c>
      <c r="F1118" s="2">
        <v>45875.850524791669</v>
      </c>
      <c r="AC1118" s="24">
        <f t="shared" ca="1" si="35"/>
        <v>258.14947520833084</v>
      </c>
      <c r="AD1118" s="25" t="str">
        <f t="shared" ca="1" si="36"/>
        <v>&gt;60 dias</v>
      </c>
      <c r="AE1118" s="25">
        <f>MONTH(Tabela1[[#This Row],[Criado em]])</f>
        <v>8</v>
      </c>
      <c r="AF1118" s="25">
        <f>YEAR(Tabela1[[#This Row],[Criado em]])</f>
        <v>2025</v>
      </c>
      <c r="AG1118" s="25">
        <f>COUNTIFS(Tabela1[Mês],Tabela1[[#This Row],[Mês]])</f>
        <v>146</v>
      </c>
      <c r="AH1118" s="25">
        <f>COUNTIFS(Tabela1[Mês],Tabela1[[#This Row],[Mês]],Tabela1[Fase atual],"Recebido")</f>
        <v>115</v>
      </c>
      <c r="AI1118" s="26">
        <f>Tabela1[[#This Row],[Recebido_ Mes]]/Tabela1[[#This Row],[Total_Mes]]</f>
        <v>0.78767123287671237</v>
      </c>
      <c r="AJ1118" s="19">
        <f>COUNTIFS(Tabela1[Fase atual],"Recebido",Tabela1[Mês],Tabela1[[#This Row],[Mês]],Tabela1[Ano],Tabela1[[#This Row],[Ano]])/COUNTIF(Tabela1[Mês],Tabela1[[#This Row],[Mês]])</f>
        <v>0.78767123287671237</v>
      </c>
      <c r="AK1118" s="20">
        <f>100%</f>
        <v>1</v>
      </c>
    </row>
    <row r="1119" spans="1:37" ht="18" customHeight="1" x14ac:dyDescent="0.25">
      <c r="A1119">
        <v>1187231549</v>
      </c>
      <c r="B1119" t="s">
        <v>1804</v>
      </c>
      <c r="C1119" t="s">
        <v>1805</v>
      </c>
      <c r="D1119" t="s">
        <v>37</v>
      </c>
      <c r="E1119" t="s">
        <v>31</v>
      </c>
      <c r="F1119" s="2">
        <v>45870.850573055563</v>
      </c>
      <c r="AC1119" s="24">
        <f t="shared" ca="1" si="35"/>
        <v>263.14942694443744</v>
      </c>
      <c r="AD1119" s="25" t="str">
        <f t="shared" ca="1" si="36"/>
        <v>&gt;60 dias</v>
      </c>
      <c r="AE1119" s="25">
        <f>MONTH(Tabela1[[#This Row],[Criado em]])</f>
        <v>8</v>
      </c>
      <c r="AF1119" s="25">
        <f>YEAR(Tabela1[[#This Row],[Criado em]])</f>
        <v>2025</v>
      </c>
      <c r="AG1119" s="25">
        <f>COUNTIFS(Tabela1[Mês],Tabela1[[#This Row],[Mês]])</f>
        <v>146</v>
      </c>
      <c r="AH1119" s="25">
        <f>COUNTIFS(Tabela1[Mês],Tabela1[[#This Row],[Mês]],Tabela1[Fase atual],"Recebido")</f>
        <v>115</v>
      </c>
      <c r="AI1119" s="26">
        <f>Tabela1[[#This Row],[Recebido_ Mes]]/Tabela1[[#This Row],[Total_Mes]]</f>
        <v>0.78767123287671237</v>
      </c>
      <c r="AJ1119" s="19">
        <f>COUNTIFS(Tabela1[Fase atual],"Recebido",Tabela1[Mês],Tabela1[[#This Row],[Mês]],Tabela1[Ano],Tabela1[[#This Row],[Ano]])/COUNTIF(Tabela1[Mês],Tabela1[[#This Row],[Mês]])</f>
        <v>0.78767123287671237</v>
      </c>
      <c r="AK1119" s="20">
        <f>100%</f>
        <v>1</v>
      </c>
    </row>
    <row r="1120" spans="1:37" ht="18" customHeight="1" x14ac:dyDescent="0.25">
      <c r="A1120">
        <v>1229897883</v>
      </c>
      <c r="B1120" t="s">
        <v>1804</v>
      </c>
      <c r="C1120" t="s">
        <v>1805</v>
      </c>
      <c r="D1120" t="s">
        <v>37</v>
      </c>
      <c r="E1120" t="s">
        <v>31</v>
      </c>
      <c r="F1120" s="2">
        <v>45937.850609652771</v>
      </c>
      <c r="AC1120" s="24">
        <f t="shared" ca="1" si="35"/>
        <v>196.1493903472292</v>
      </c>
      <c r="AD1120" s="25" t="str">
        <f t="shared" ca="1" si="36"/>
        <v>&gt;60 dias</v>
      </c>
      <c r="AE1120" s="25">
        <f>MONTH(Tabela1[[#This Row],[Criado em]])</f>
        <v>10</v>
      </c>
      <c r="AF1120" s="25">
        <f>YEAR(Tabela1[[#This Row],[Criado em]])</f>
        <v>2025</v>
      </c>
      <c r="AG1120" s="25">
        <f>COUNTIFS(Tabela1[Mês],Tabela1[[#This Row],[Mês]])</f>
        <v>196</v>
      </c>
      <c r="AH1120" s="25">
        <f>COUNTIFS(Tabela1[Mês],Tabela1[[#This Row],[Mês]],Tabela1[Fase atual],"Recebido")</f>
        <v>138</v>
      </c>
      <c r="AI1120" s="26">
        <f>Tabela1[[#This Row],[Recebido_ Mes]]/Tabela1[[#This Row],[Total_Mes]]</f>
        <v>0.70408163265306123</v>
      </c>
      <c r="AJ1120" s="19">
        <f>COUNTIFS(Tabela1[Fase atual],"Recebido",Tabela1[Mês],Tabela1[[#This Row],[Mês]],Tabela1[Ano],Tabela1[[#This Row],[Ano]])/COUNTIF(Tabela1[Mês],Tabela1[[#This Row],[Mês]])</f>
        <v>0.70408163265306123</v>
      </c>
      <c r="AK1120" s="20">
        <f>100%</f>
        <v>1</v>
      </c>
    </row>
    <row r="1121" spans="1:37" ht="18" customHeight="1" x14ac:dyDescent="0.25">
      <c r="A1121">
        <v>1225987637</v>
      </c>
      <c r="B1121" t="s">
        <v>1804</v>
      </c>
      <c r="C1121" t="s">
        <v>1805</v>
      </c>
      <c r="D1121" t="s">
        <v>37</v>
      </c>
      <c r="E1121" t="s">
        <v>31</v>
      </c>
      <c r="F1121" s="2">
        <v>45932.642428854168</v>
      </c>
      <c r="AC1121" s="24">
        <f t="shared" ca="1" si="35"/>
        <v>201.35757114583248</v>
      </c>
      <c r="AD1121" s="25" t="str">
        <f t="shared" ca="1" si="36"/>
        <v>&gt;60 dias</v>
      </c>
      <c r="AE1121" s="25">
        <f>MONTH(Tabela1[[#This Row],[Criado em]])</f>
        <v>10</v>
      </c>
      <c r="AF1121" s="25">
        <f>YEAR(Tabela1[[#This Row],[Criado em]])</f>
        <v>2025</v>
      </c>
      <c r="AG1121" s="25">
        <f>COUNTIFS(Tabela1[Mês],Tabela1[[#This Row],[Mês]])</f>
        <v>196</v>
      </c>
      <c r="AH1121" s="25">
        <f>COUNTIFS(Tabela1[Mês],Tabela1[[#This Row],[Mês]],Tabela1[Fase atual],"Recebido")</f>
        <v>138</v>
      </c>
      <c r="AI1121" s="26">
        <f>Tabela1[[#This Row],[Recebido_ Mes]]/Tabela1[[#This Row],[Total_Mes]]</f>
        <v>0.70408163265306123</v>
      </c>
      <c r="AJ1121" s="19">
        <f>COUNTIFS(Tabela1[Fase atual],"Recebido",Tabela1[Mês],Tabela1[[#This Row],[Mês]],Tabela1[Ano],Tabela1[[#This Row],[Ano]])/COUNTIF(Tabela1[Mês],Tabela1[[#This Row],[Mês]])</f>
        <v>0.70408163265306123</v>
      </c>
      <c r="AK1121" s="20">
        <f>100%</f>
        <v>1</v>
      </c>
    </row>
    <row r="1122" spans="1:37" ht="18" customHeight="1" x14ac:dyDescent="0.25">
      <c r="A1122">
        <v>1229142002</v>
      </c>
      <c r="B1122" t="s">
        <v>1806</v>
      </c>
      <c r="C1122" t="s">
        <v>1807</v>
      </c>
      <c r="D1122" t="s">
        <v>2184</v>
      </c>
      <c r="E1122" t="s">
        <v>31</v>
      </c>
      <c r="F1122" s="2">
        <v>45936.851415150457</v>
      </c>
      <c r="AC1122" s="24">
        <f t="shared" ca="1" si="35"/>
        <v>197.14858484954311</v>
      </c>
      <c r="AD1122" s="25" t="str">
        <f t="shared" ca="1" si="36"/>
        <v>&gt;60 dias</v>
      </c>
      <c r="AE1122" s="25">
        <f>MONTH(Tabela1[[#This Row],[Criado em]])</f>
        <v>10</v>
      </c>
      <c r="AF1122" s="25">
        <f>YEAR(Tabela1[[#This Row],[Criado em]])</f>
        <v>2025</v>
      </c>
      <c r="AG1122" s="25">
        <f>COUNTIFS(Tabela1[Mês],Tabela1[[#This Row],[Mês]])</f>
        <v>196</v>
      </c>
      <c r="AH1122" s="25">
        <f>COUNTIFS(Tabela1[Mês],Tabela1[[#This Row],[Mês]],Tabela1[Fase atual],"Recebido")</f>
        <v>138</v>
      </c>
      <c r="AI1122" s="26">
        <f>Tabela1[[#This Row],[Recebido_ Mes]]/Tabela1[[#This Row],[Total_Mes]]</f>
        <v>0.70408163265306123</v>
      </c>
      <c r="AJ1122" s="19">
        <f>COUNTIFS(Tabela1[Fase atual],"Recebido",Tabela1[Mês],Tabela1[[#This Row],[Mês]],Tabela1[Ano],Tabela1[[#This Row],[Ano]])/COUNTIF(Tabela1[Mês],Tabela1[[#This Row],[Mês]])</f>
        <v>0.70408163265306123</v>
      </c>
      <c r="AK1122" s="20">
        <f>100%</f>
        <v>1</v>
      </c>
    </row>
    <row r="1123" spans="1:37" ht="18" customHeight="1" x14ac:dyDescent="0.25">
      <c r="A1123">
        <v>1284174665</v>
      </c>
      <c r="B1123" t="s">
        <v>483</v>
      </c>
      <c r="C1123" t="s">
        <v>484</v>
      </c>
      <c r="D1123" t="s">
        <v>37</v>
      </c>
      <c r="E1123" t="s">
        <v>31</v>
      </c>
      <c r="F1123" s="2">
        <v>46041.920610451387</v>
      </c>
      <c r="AC1123" s="24">
        <f t="shared" ca="1" si="35"/>
        <v>92.079389548613108</v>
      </c>
      <c r="AD1123" s="25" t="str">
        <f t="shared" ca="1" si="36"/>
        <v>&gt;60 dias</v>
      </c>
      <c r="AE1123" s="25">
        <f>MONTH(Tabela1[[#This Row],[Criado em]])</f>
        <v>1</v>
      </c>
      <c r="AF1123" s="25">
        <f>YEAR(Tabela1[[#This Row],[Criado em]])</f>
        <v>2026</v>
      </c>
      <c r="AG1123" s="25">
        <f>COUNTIFS(Tabela1[Mês],Tabela1[[#This Row],[Mês]])</f>
        <v>222</v>
      </c>
      <c r="AH1123" s="25">
        <f>COUNTIFS(Tabela1[Mês],Tabela1[[#This Row],[Mês]],Tabela1[Fase atual],"Recebido")</f>
        <v>174</v>
      </c>
      <c r="AI1123" s="26">
        <f>Tabela1[[#This Row],[Recebido_ Mes]]/Tabela1[[#This Row],[Total_Mes]]</f>
        <v>0.78378378378378377</v>
      </c>
      <c r="AJ1123" s="19">
        <f>COUNTIFS(Tabela1[Fase atual],"Recebido",Tabela1[Mês],Tabela1[[#This Row],[Mês]],Tabela1[Ano],Tabela1[[#This Row],[Ano]])/COUNTIF(Tabela1[Mês],Tabela1[[#This Row],[Mês]])</f>
        <v>0.78378378378378377</v>
      </c>
      <c r="AK1123" s="20">
        <f>100%</f>
        <v>1</v>
      </c>
    </row>
    <row r="1124" spans="1:37" ht="18" customHeight="1" x14ac:dyDescent="0.25">
      <c r="A1124">
        <v>1195439775</v>
      </c>
      <c r="B1124" t="s">
        <v>1808</v>
      </c>
      <c r="C1124" t="s">
        <v>1809</v>
      </c>
      <c r="D1124" t="s">
        <v>40</v>
      </c>
      <c r="E1124" t="s">
        <v>31</v>
      </c>
      <c r="F1124" s="2">
        <v>45883.849694259261</v>
      </c>
      <c r="AC1124" s="24">
        <f t="shared" ca="1" si="35"/>
        <v>250.15030574073899</v>
      </c>
      <c r="AD1124" s="25" t="str">
        <f t="shared" ca="1" si="36"/>
        <v>&gt;60 dias</v>
      </c>
      <c r="AE1124" s="25">
        <f>MONTH(Tabela1[[#This Row],[Criado em]])</f>
        <v>8</v>
      </c>
      <c r="AF1124" s="25">
        <f>YEAR(Tabela1[[#This Row],[Criado em]])</f>
        <v>2025</v>
      </c>
      <c r="AG1124" s="25">
        <f>COUNTIFS(Tabela1[Mês],Tabela1[[#This Row],[Mês]])</f>
        <v>146</v>
      </c>
      <c r="AH1124" s="25">
        <f>COUNTIFS(Tabela1[Mês],Tabela1[[#This Row],[Mês]],Tabela1[Fase atual],"Recebido")</f>
        <v>115</v>
      </c>
      <c r="AI1124" s="26">
        <f>Tabela1[[#This Row],[Recebido_ Mes]]/Tabela1[[#This Row],[Total_Mes]]</f>
        <v>0.78767123287671237</v>
      </c>
      <c r="AJ1124" s="19">
        <f>COUNTIFS(Tabela1[Fase atual],"Recebido",Tabela1[Mês],Tabela1[[#This Row],[Mês]],Tabela1[Ano],Tabela1[[#This Row],[Ano]])/COUNTIF(Tabela1[Mês],Tabela1[[#This Row],[Mês]])</f>
        <v>0.78767123287671237</v>
      </c>
      <c r="AK1124" s="20">
        <f>100%</f>
        <v>1</v>
      </c>
    </row>
    <row r="1125" spans="1:37" ht="18" customHeight="1" x14ac:dyDescent="0.25">
      <c r="A1125">
        <v>1277777543</v>
      </c>
      <c r="B1125" t="s">
        <v>485</v>
      </c>
      <c r="C1125" t="s">
        <v>486</v>
      </c>
      <c r="D1125" t="s">
        <v>40</v>
      </c>
      <c r="E1125" t="s">
        <v>31</v>
      </c>
      <c r="F1125" s="2">
        <v>46028.920671134263</v>
      </c>
      <c r="AC1125" s="24">
        <f t="shared" ca="1" si="35"/>
        <v>105.0793288657369</v>
      </c>
      <c r="AD1125" s="25" t="str">
        <f t="shared" ca="1" si="36"/>
        <v>&gt;60 dias</v>
      </c>
      <c r="AE1125" s="25">
        <f>MONTH(Tabela1[[#This Row],[Criado em]])</f>
        <v>1</v>
      </c>
      <c r="AF1125" s="25">
        <f>YEAR(Tabela1[[#This Row],[Criado em]])</f>
        <v>2026</v>
      </c>
      <c r="AG1125" s="25">
        <f>COUNTIFS(Tabela1[Mês],Tabela1[[#This Row],[Mês]])</f>
        <v>222</v>
      </c>
      <c r="AH1125" s="25">
        <f>COUNTIFS(Tabela1[Mês],Tabela1[[#This Row],[Mês]],Tabela1[Fase atual],"Recebido")</f>
        <v>174</v>
      </c>
      <c r="AI1125" s="26">
        <f>Tabela1[[#This Row],[Recebido_ Mes]]/Tabela1[[#This Row],[Total_Mes]]</f>
        <v>0.78378378378378377</v>
      </c>
      <c r="AJ1125" s="19">
        <f>COUNTIFS(Tabela1[Fase atual],"Recebido",Tabela1[Mês],Tabela1[[#This Row],[Mês]],Tabela1[Ano],Tabela1[[#This Row],[Ano]])/COUNTIF(Tabela1[Mês],Tabela1[[#This Row],[Mês]])</f>
        <v>0.78378378378378377</v>
      </c>
      <c r="AK1125" s="20">
        <f>100%</f>
        <v>1</v>
      </c>
    </row>
    <row r="1126" spans="1:37" ht="18" customHeight="1" x14ac:dyDescent="0.25">
      <c r="A1126">
        <v>1177336801</v>
      </c>
      <c r="B1126" t="s">
        <v>812</v>
      </c>
      <c r="C1126" t="s">
        <v>1810</v>
      </c>
      <c r="D1126" t="s">
        <v>40</v>
      </c>
      <c r="E1126" t="s">
        <v>31</v>
      </c>
      <c r="F1126" s="2">
        <v>45854.64247854166</v>
      </c>
      <c r="AC1126" s="24">
        <f t="shared" ca="1" si="35"/>
        <v>279.35752145833976</v>
      </c>
      <c r="AD1126" s="25" t="str">
        <f t="shared" ca="1" si="36"/>
        <v>&gt;60 dias</v>
      </c>
      <c r="AE1126" s="25">
        <f>MONTH(Tabela1[[#This Row],[Criado em]])</f>
        <v>7</v>
      </c>
      <c r="AF1126" s="25">
        <f>YEAR(Tabela1[[#This Row],[Criado em]])</f>
        <v>2025</v>
      </c>
      <c r="AG1126" s="25">
        <f>COUNTIFS(Tabela1[Mês],Tabela1[[#This Row],[Mês]])</f>
        <v>177</v>
      </c>
      <c r="AH1126" s="25">
        <f>COUNTIFS(Tabela1[Mês],Tabela1[[#This Row],[Mês]],Tabela1[Fase atual],"Recebido")</f>
        <v>130</v>
      </c>
      <c r="AI1126" s="26">
        <f>Tabela1[[#This Row],[Recebido_ Mes]]/Tabela1[[#This Row],[Total_Mes]]</f>
        <v>0.7344632768361582</v>
      </c>
      <c r="AJ1126" s="19">
        <f>COUNTIFS(Tabela1[Fase atual],"Recebido",Tabela1[Mês],Tabela1[[#This Row],[Mês]],Tabela1[Ano],Tabela1[[#This Row],[Ano]])/COUNTIF(Tabela1[Mês],Tabela1[[#This Row],[Mês]])</f>
        <v>0.7344632768361582</v>
      </c>
      <c r="AK1126" s="20">
        <f>100%</f>
        <v>1</v>
      </c>
    </row>
    <row r="1127" spans="1:37" ht="18" customHeight="1" x14ac:dyDescent="0.25">
      <c r="A1127">
        <v>1269238582</v>
      </c>
      <c r="B1127" t="s">
        <v>485</v>
      </c>
      <c r="C1127" t="s">
        <v>1811</v>
      </c>
      <c r="D1127" t="s">
        <v>40</v>
      </c>
      <c r="E1127" t="s">
        <v>31</v>
      </c>
      <c r="F1127" s="2">
        <v>46007.920866446759</v>
      </c>
      <c r="AC1127" s="24">
        <f t="shared" ca="1" si="35"/>
        <v>126.07913355324126</v>
      </c>
      <c r="AD1127" s="25" t="str">
        <f t="shared" ca="1" si="36"/>
        <v>&gt;60 dias</v>
      </c>
      <c r="AE1127" s="25">
        <f>MONTH(Tabela1[[#This Row],[Criado em]])</f>
        <v>12</v>
      </c>
      <c r="AF1127" s="25">
        <f>YEAR(Tabela1[[#This Row],[Criado em]])</f>
        <v>2025</v>
      </c>
      <c r="AG1127" s="25">
        <f>COUNTIFS(Tabela1[Mês],Tabela1[[#This Row],[Mês]])</f>
        <v>207</v>
      </c>
      <c r="AH1127" s="25">
        <f>COUNTIFS(Tabela1[Mês],Tabela1[[#This Row],[Mês]],Tabela1[Fase atual],"Recebido")</f>
        <v>155</v>
      </c>
      <c r="AI1127" s="26">
        <f>Tabela1[[#This Row],[Recebido_ Mes]]/Tabela1[[#This Row],[Total_Mes]]</f>
        <v>0.74879227053140096</v>
      </c>
      <c r="AJ1127" s="19">
        <f>COUNTIFS(Tabela1[Fase atual],"Recebido",Tabela1[Mês],Tabela1[[#This Row],[Mês]],Tabela1[Ano],Tabela1[[#This Row],[Ano]])/COUNTIF(Tabela1[Mês],Tabela1[[#This Row],[Mês]])</f>
        <v>0.74879227053140096</v>
      </c>
      <c r="AK1127" s="20">
        <f>100%</f>
        <v>1</v>
      </c>
    </row>
    <row r="1128" spans="1:37" ht="18" customHeight="1" x14ac:dyDescent="0.25">
      <c r="A1128">
        <v>1222240565</v>
      </c>
      <c r="B1128" t="s">
        <v>485</v>
      </c>
      <c r="C1128" t="s">
        <v>1811</v>
      </c>
      <c r="D1128" t="s">
        <v>40</v>
      </c>
      <c r="E1128" t="s">
        <v>31</v>
      </c>
      <c r="F1128" s="2">
        <v>45926.851677453698</v>
      </c>
      <c r="AC1128" s="24">
        <f t="shared" ca="1" si="35"/>
        <v>207.14832254630164</v>
      </c>
      <c r="AD1128" s="25" t="str">
        <f t="shared" ca="1" si="36"/>
        <v>&gt;60 dias</v>
      </c>
      <c r="AE1128" s="25">
        <f>MONTH(Tabela1[[#This Row],[Criado em]])</f>
        <v>9</v>
      </c>
      <c r="AF1128" s="25">
        <f>YEAR(Tabela1[[#This Row],[Criado em]])</f>
        <v>2025</v>
      </c>
      <c r="AG1128" s="25">
        <f>COUNTIFS(Tabela1[Mês],Tabela1[[#This Row],[Mês]])</f>
        <v>197</v>
      </c>
      <c r="AH1128" s="25">
        <f>COUNTIFS(Tabela1[Mês],Tabela1[[#This Row],[Mês]],Tabela1[Fase atual],"Recebido")</f>
        <v>152</v>
      </c>
      <c r="AI1128" s="26">
        <f>Tabela1[[#This Row],[Recebido_ Mes]]/Tabela1[[#This Row],[Total_Mes]]</f>
        <v>0.77157360406091369</v>
      </c>
      <c r="AJ1128" s="19">
        <f>COUNTIFS(Tabela1[Fase atual],"Recebido",Tabela1[Mês],Tabela1[[#This Row],[Mês]],Tabela1[Ano],Tabela1[[#This Row],[Ano]])/COUNTIF(Tabela1[Mês],Tabela1[[#This Row],[Mês]])</f>
        <v>0.77157360406091369</v>
      </c>
      <c r="AK1128" s="20">
        <f>100%</f>
        <v>1</v>
      </c>
    </row>
    <row r="1129" spans="1:37" ht="18" customHeight="1" x14ac:dyDescent="0.25">
      <c r="A1129">
        <v>1173353778</v>
      </c>
      <c r="B1129" t="s">
        <v>485</v>
      </c>
      <c r="C1129" t="s">
        <v>1811</v>
      </c>
      <c r="D1129" t="s">
        <v>37</v>
      </c>
      <c r="E1129" t="s">
        <v>31</v>
      </c>
      <c r="F1129" s="2">
        <v>45846.851663009264</v>
      </c>
      <c r="AC1129" s="24">
        <f t="shared" ca="1" si="35"/>
        <v>287.14833699073642</v>
      </c>
      <c r="AD1129" s="25" t="str">
        <f t="shared" ca="1" si="36"/>
        <v>&gt;60 dias</v>
      </c>
      <c r="AE1129" s="25">
        <f>MONTH(Tabela1[[#This Row],[Criado em]])</f>
        <v>7</v>
      </c>
      <c r="AF1129" s="25">
        <f>YEAR(Tabela1[[#This Row],[Criado em]])</f>
        <v>2025</v>
      </c>
      <c r="AG1129" s="25">
        <f>COUNTIFS(Tabela1[Mês],Tabela1[[#This Row],[Mês]])</f>
        <v>177</v>
      </c>
      <c r="AH1129" s="25">
        <f>COUNTIFS(Tabela1[Mês],Tabela1[[#This Row],[Mês]],Tabela1[Fase atual],"Recebido")</f>
        <v>130</v>
      </c>
      <c r="AI1129" s="26">
        <f>Tabela1[[#This Row],[Recebido_ Mes]]/Tabela1[[#This Row],[Total_Mes]]</f>
        <v>0.7344632768361582</v>
      </c>
      <c r="AJ1129" s="19">
        <f>COUNTIFS(Tabela1[Fase atual],"Recebido",Tabela1[Mês],Tabela1[[#This Row],[Mês]],Tabela1[Ano],Tabela1[[#This Row],[Ano]])/COUNTIF(Tabela1[Mês],Tabela1[[#This Row],[Mês]])</f>
        <v>0.7344632768361582</v>
      </c>
      <c r="AK1129" s="20">
        <f>100%</f>
        <v>1</v>
      </c>
    </row>
    <row r="1130" spans="1:37" ht="18" customHeight="1" x14ac:dyDescent="0.25">
      <c r="A1130">
        <v>1209249871</v>
      </c>
      <c r="B1130" t="s">
        <v>485</v>
      </c>
      <c r="C1130" t="s">
        <v>1811</v>
      </c>
      <c r="D1130" t="s">
        <v>37</v>
      </c>
      <c r="E1130" t="s">
        <v>31</v>
      </c>
      <c r="F1130" s="2">
        <v>45905.852057789351</v>
      </c>
      <c r="AC1130" s="24">
        <f t="shared" ca="1" si="35"/>
        <v>228.14794221064949</v>
      </c>
      <c r="AD1130" s="25" t="str">
        <f t="shared" ca="1" si="36"/>
        <v>&gt;60 dias</v>
      </c>
      <c r="AE1130" s="25">
        <f>MONTH(Tabela1[[#This Row],[Criado em]])</f>
        <v>9</v>
      </c>
      <c r="AF1130" s="25">
        <f>YEAR(Tabela1[[#This Row],[Criado em]])</f>
        <v>2025</v>
      </c>
      <c r="AG1130" s="25">
        <f>COUNTIFS(Tabela1[Mês],Tabela1[[#This Row],[Mês]])</f>
        <v>197</v>
      </c>
      <c r="AH1130" s="25">
        <f>COUNTIFS(Tabela1[Mês],Tabela1[[#This Row],[Mês]],Tabela1[Fase atual],"Recebido")</f>
        <v>152</v>
      </c>
      <c r="AI1130" s="26">
        <f>Tabela1[[#This Row],[Recebido_ Mes]]/Tabela1[[#This Row],[Total_Mes]]</f>
        <v>0.77157360406091369</v>
      </c>
      <c r="AJ1130" s="19">
        <f>COUNTIFS(Tabela1[Fase atual],"Recebido",Tabela1[Mês],Tabela1[[#This Row],[Mês]],Tabela1[Ano],Tabela1[[#This Row],[Ano]])/COUNTIF(Tabela1[Mês],Tabela1[[#This Row],[Mês]])</f>
        <v>0.77157360406091369</v>
      </c>
      <c r="AK1130" s="20">
        <f>100%</f>
        <v>1</v>
      </c>
    </row>
    <row r="1131" spans="1:37" ht="18" customHeight="1" x14ac:dyDescent="0.25">
      <c r="A1131">
        <v>1172781990</v>
      </c>
      <c r="B1131" t="s">
        <v>485</v>
      </c>
      <c r="C1131" t="s">
        <v>1812</v>
      </c>
      <c r="D1131" t="s">
        <v>37</v>
      </c>
      <c r="E1131" t="s">
        <v>31</v>
      </c>
      <c r="F1131" s="2">
        <v>45845.852170509257</v>
      </c>
      <c r="AC1131" s="24">
        <f t="shared" ca="1" si="35"/>
        <v>288.14782949074288</v>
      </c>
      <c r="AD1131" s="25" t="str">
        <f t="shared" ca="1" si="36"/>
        <v>&gt;60 dias</v>
      </c>
      <c r="AE1131" s="25">
        <f>MONTH(Tabela1[[#This Row],[Criado em]])</f>
        <v>7</v>
      </c>
      <c r="AF1131" s="25">
        <f>YEAR(Tabela1[[#This Row],[Criado em]])</f>
        <v>2025</v>
      </c>
      <c r="AG1131" s="25">
        <f>COUNTIFS(Tabela1[Mês],Tabela1[[#This Row],[Mês]])</f>
        <v>177</v>
      </c>
      <c r="AH1131" s="25">
        <f>COUNTIFS(Tabela1[Mês],Tabela1[[#This Row],[Mês]],Tabela1[Fase atual],"Recebido")</f>
        <v>130</v>
      </c>
      <c r="AI1131" s="26">
        <f>Tabela1[[#This Row],[Recebido_ Mes]]/Tabela1[[#This Row],[Total_Mes]]</f>
        <v>0.7344632768361582</v>
      </c>
      <c r="AJ1131" s="19">
        <f>COUNTIFS(Tabela1[Fase atual],"Recebido",Tabela1[Mês],Tabela1[[#This Row],[Mês]],Tabela1[Ano],Tabela1[[#This Row],[Ano]])/COUNTIF(Tabela1[Mês],Tabela1[[#This Row],[Mês]])</f>
        <v>0.7344632768361582</v>
      </c>
      <c r="AK1131" s="20">
        <f>100%</f>
        <v>1</v>
      </c>
    </row>
    <row r="1132" spans="1:37" ht="18" customHeight="1" x14ac:dyDescent="0.25">
      <c r="A1132">
        <v>1245632904</v>
      </c>
      <c r="B1132" t="s">
        <v>485</v>
      </c>
      <c r="C1132" t="s">
        <v>1813</v>
      </c>
      <c r="D1132" t="s">
        <v>784</v>
      </c>
      <c r="E1132" t="s">
        <v>31</v>
      </c>
      <c r="F1132" s="2">
        <v>45957.795874027783</v>
      </c>
      <c r="AC1132" s="24">
        <f t="shared" ca="1" si="35"/>
        <v>176.2041259722173</v>
      </c>
      <c r="AD1132" s="25" t="str">
        <f t="shared" ca="1" si="36"/>
        <v>&gt;60 dias</v>
      </c>
      <c r="AE1132" s="25">
        <f>MONTH(Tabela1[[#This Row],[Criado em]])</f>
        <v>10</v>
      </c>
      <c r="AF1132" s="25">
        <f>YEAR(Tabela1[[#This Row],[Criado em]])</f>
        <v>2025</v>
      </c>
      <c r="AG1132" s="25">
        <f>COUNTIFS(Tabela1[Mês],Tabela1[[#This Row],[Mês]])</f>
        <v>196</v>
      </c>
      <c r="AH1132" s="25">
        <f>COUNTIFS(Tabela1[Mês],Tabela1[[#This Row],[Mês]],Tabela1[Fase atual],"Recebido")</f>
        <v>138</v>
      </c>
      <c r="AI1132" s="26">
        <f>Tabela1[[#This Row],[Recebido_ Mes]]/Tabela1[[#This Row],[Total_Mes]]</f>
        <v>0.70408163265306123</v>
      </c>
      <c r="AJ1132" s="19">
        <f>COUNTIFS(Tabela1[Fase atual],"Recebido",Tabela1[Mês],Tabela1[[#This Row],[Mês]],Tabela1[Ano],Tabela1[[#This Row],[Ano]])/COUNTIF(Tabela1[Mês],Tabela1[[#This Row],[Mês]])</f>
        <v>0.70408163265306123</v>
      </c>
      <c r="AK1132" s="20">
        <f>100%</f>
        <v>1</v>
      </c>
    </row>
    <row r="1133" spans="1:37" ht="18" customHeight="1" x14ac:dyDescent="0.25">
      <c r="A1133">
        <v>1293443627</v>
      </c>
      <c r="B1133" t="s">
        <v>487</v>
      </c>
      <c r="C1133" t="s">
        <v>488</v>
      </c>
      <c r="D1133" t="s">
        <v>2184</v>
      </c>
      <c r="E1133" t="s">
        <v>31</v>
      </c>
      <c r="F1133" s="2">
        <v>46057.919959305553</v>
      </c>
      <c r="AC1133" s="24">
        <f t="shared" ca="1" si="35"/>
        <v>76.080040694447234</v>
      </c>
      <c r="AD1133" s="25" t="str">
        <f t="shared" ca="1" si="36"/>
        <v>&gt;60 dias</v>
      </c>
      <c r="AE1133" s="25">
        <f>MONTH(Tabela1[[#This Row],[Criado em]])</f>
        <v>2</v>
      </c>
      <c r="AF1133" s="25">
        <f>YEAR(Tabela1[[#This Row],[Criado em]])</f>
        <v>2026</v>
      </c>
      <c r="AG1133" s="25">
        <f>COUNTIFS(Tabela1[Mês],Tabela1[[#This Row],[Mês]])</f>
        <v>197</v>
      </c>
      <c r="AH1133" s="25">
        <f>COUNTIFS(Tabela1[Mês],Tabela1[[#This Row],[Mês]],Tabela1[Fase atual],"Recebido")</f>
        <v>124</v>
      </c>
      <c r="AI1133" s="26">
        <f>Tabela1[[#This Row],[Recebido_ Mes]]/Tabela1[[#This Row],[Total_Mes]]</f>
        <v>0.62944162436548223</v>
      </c>
      <c r="AJ1133" s="19">
        <f>COUNTIFS(Tabela1[Fase atual],"Recebido",Tabela1[Mês],Tabela1[[#This Row],[Mês]],Tabela1[Ano],Tabela1[[#This Row],[Ano]])/COUNTIF(Tabela1[Mês],Tabela1[[#This Row],[Mês]])</f>
        <v>0.62944162436548223</v>
      </c>
      <c r="AK1133" s="20">
        <f>100%</f>
        <v>1</v>
      </c>
    </row>
    <row r="1134" spans="1:37" ht="18" customHeight="1" x14ac:dyDescent="0.25">
      <c r="A1134">
        <v>1178245377</v>
      </c>
      <c r="B1134" t="s">
        <v>489</v>
      </c>
      <c r="C1134" t="s">
        <v>1814</v>
      </c>
      <c r="D1134" t="s">
        <v>37</v>
      </c>
      <c r="E1134" t="s">
        <v>31</v>
      </c>
      <c r="F1134" s="2">
        <v>45855.851192685193</v>
      </c>
      <c r="AC1134" s="24">
        <f t="shared" ca="1" si="35"/>
        <v>278.14880731480662</v>
      </c>
      <c r="AD1134" s="25" t="str">
        <f t="shared" ca="1" si="36"/>
        <v>&gt;60 dias</v>
      </c>
      <c r="AE1134" s="25">
        <f>MONTH(Tabela1[[#This Row],[Criado em]])</f>
        <v>7</v>
      </c>
      <c r="AF1134" s="25">
        <f>YEAR(Tabela1[[#This Row],[Criado em]])</f>
        <v>2025</v>
      </c>
      <c r="AG1134" s="25">
        <f>COUNTIFS(Tabela1[Mês],Tabela1[[#This Row],[Mês]])</f>
        <v>177</v>
      </c>
      <c r="AH1134" s="25">
        <f>COUNTIFS(Tabela1[Mês],Tabela1[[#This Row],[Mês]],Tabela1[Fase atual],"Recebido")</f>
        <v>130</v>
      </c>
      <c r="AI1134" s="26">
        <f>Tabela1[[#This Row],[Recebido_ Mes]]/Tabela1[[#This Row],[Total_Mes]]</f>
        <v>0.7344632768361582</v>
      </c>
      <c r="AJ1134" s="19">
        <f>COUNTIFS(Tabela1[Fase atual],"Recebido",Tabela1[Mês],Tabela1[[#This Row],[Mês]],Tabela1[Ano],Tabela1[[#This Row],[Ano]])/COUNTIF(Tabela1[Mês],Tabela1[[#This Row],[Mês]])</f>
        <v>0.7344632768361582</v>
      </c>
      <c r="AK1134" s="20">
        <f>100%</f>
        <v>1</v>
      </c>
    </row>
    <row r="1135" spans="1:37" ht="18" customHeight="1" x14ac:dyDescent="0.25">
      <c r="A1135">
        <v>1293338303</v>
      </c>
      <c r="B1135" t="s">
        <v>489</v>
      </c>
      <c r="C1135" t="s">
        <v>490</v>
      </c>
      <c r="D1135" t="s">
        <v>37</v>
      </c>
      <c r="E1135" t="s">
        <v>31</v>
      </c>
      <c r="F1135" s="2">
        <v>46057.795664456018</v>
      </c>
      <c r="AC1135" s="24">
        <f t="shared" ca="1" si="35"/>
        <v>76.20433554398187</v>
      </c>
      <c r="AD1135" s="25" t="str">
        <f t="shared" ca="1" si="36"/>
        <v>&gt;60 dias</v>
      </c>
      <c r="AE1135" s="25">
        <f>MONTH(Tabela1[[#This Row],[Criado em]])</f>
        <v>2</v>
      </c>
      <c r="AF1135" s="25">
        <f>YEAR(Tabela1[[#This Row],[Criado em]])</f>
        <v>2026</v>
      </c>
      <c r="AG1135" s="25">
        <f>COUNTIFS(Tabela1[Mês],Tabela1[[#This Row],[Mês]])</f>
        <v>197</v>
      </c>
      <c r="AH1135" s="25">
        <f>COUNTIFS(Tabela1[Mês],Tabela1[[#This Row],[Mês]],Tabela1[Fase atual],"Recebido")</f>
        <v>124</v>
      </c>
      <c r="AI1135" s="26">
        <f>Tabela1[[#This Row],[Recebido_ Mes]]/Tabela1[[#This Row],[Total_Mes]]</f>
        <v>0.62944162436548223</v>
      </c>
      <c r="AJ1135" s="19">
        <f>COUNTIFS(Tabela1[Fase atual],"Recebido",Tabela1[Mês],Tabela1[[#This Row],[Mês]],Tabela1[Ano],Tabela1[[#This Row],[Ano]])/COUNTIF(Tabela1[Mês],Tabela1[[#This Row],[Mês]])</f>
        <v>0.62944162436548223</v>
      </c>
      <c r="AK1135" s="20">
        <f>100%</f>
        <v>1</v>
      </c>
    </row>
    <row r="1136" spans="1:37" ht="18" customHeight="1" x14ac:dyDescent="0.25">
      <c r="A1136">
        <v>1307244149</v>
      </c>
      <c r="B1136" t="s">
        <v>489</v>
      </c>
      <c r="C1136" t="s">
        <v>2259</v>
      </c>
      <c r="D1136" t="s">
        <v>37</v>
      </c>
      <c r="E1136" t="s">
        <v>31</v>
      </c>
      <c r="F1136" s="2">
        <v>46083.752865254632</v>
      </c>
      <c r="AC1136" s="24">
        <f t="shared" ca="1" si="35"/>
        <v>50.247134745368385</v>
      </c>
      <c r="AD1136" s="25" t="str">
        <f t="shared" ca="1" si="36"/>
        <v>31-60 dias</v>
      </c>
      <c r="AE1136" s="25">
        <f>MONTH(Tabela1[[#This Row],[Criado em]])</f>
        <v>3</v>
      </c>
      <c r="AF1136" s="25">
        <f>YEAR(Tabela1[[#This Row],[Criado em]])</f>
        <v>2026</v>
      </c>
      <c r="AG1136" s="25">
        <f>COUNTIFS(Tabela1[Mês],Tabela1[[#This Row],[Mês]])</f>
        <v>62</v>
      </c>
      <c r="AH1136" s="25">
        <f>COUNTIFS(Tabela1[Mês],Tabela1[[#This Row],[Mês]],Tabela1[Fase atual],"Recebido")</f>
        <v>13</v>
      </c>
      <c r="AI1136" s="26">
        <f>Tabela1[[#This Row],[Recebido_ Mes]]/Tabela1[[#This Row],[Total_Mes]]</f>
        <v>0.20967741935483872</v>
      </c>
      <c r="AJ1136" s="19">
        <f>COUNTIFS(Tabela1[Fase atual],"Recebido",Tabela1[Mês],Tabela1[[#This Row],[Mês]],Tabela1[Ano],Tabela1[[#This Row],[Ano]])/COUNTIF(Tabela1[Mês],Tabela1[[#This Row],[Mês]])</f>
        <v>0.20967741935483872</v>
      </c>
      <c r="AK1136" s="20">
        <f>100%</f>
        <v>1</v>
      </c>
    </row>
    <row r="1137" spans="1:37" ht="18" customHeight="1" x14ac:dyDescent="0.25">
      <c r="A1137">
        <v>1213467782</v>
      </c>
      <c r="B1137" t="s">
        <v>1815</v>
      </c>
      <c r="C1137" t="s">
        <v>1816</v>
      </c>
      <c r="D1137" t="s">
        <v>40</v>
      </c>
      <c r="E1137" t="s">
        <v>31</v>
      </c>
      <c r="F1137" s="2">
        <v>45912.853213761569</v>
      </c>
      <c r="AC1137" s="24">
        <f t="shared" ca="1" si="35"/>
        <v>221.14678623843065</v>
      </c>
      <c r="AD1137" s="25" t="str">
        <f t="shared" ca="1" si="36"/>
        <v>&gt;60 dias</v>
      </c>
      <c r="AE1137" s="25">
        <f>MONTH(Tabela1[[#This Row],[Criado em]])</f>
        <v>9</v>
      </c>
      <c r="AF1137" s="25">
        <f>YEAR(Tabela1[[#This Row],[Criado em]])</f>
        <v>2025</v>
      </c>
      <c r="AG1137" s="25">
        <f>COUNTIFS(Tabela1[Mês],Tabela1[[#This Row],[Mês]])</f>
        <v>197</v>
      </c>
      <c r="AH1137" s="25">
        <f>COUNTIFS(Tabela1[Mês],Tabela1[[#This Row],[Mês]],Tabela1[Fase atual],"Recebido")</f>
        <v>152</v>
      </c>
      <c r="AI1137" s="26">
        <f>Tabela1[[#This Row],[Recebido_ Mes]]/Tabela1[[#This Row],[Total_Mes]]</f>
        <v>0.77157360406091369</v>
      </c>
      <c r="AJ1137" s="19">
        <f>COUNTIFS(Tabela1[Fase atual],"Recebido",Tabela1[Mês],Tabela1[[#This Row],[Mês]],Tabela1[Ano],Tabela1[[#This Row],[Ano]])/COUNTIF(Tabela1[Mês],Tabela1[[#This Row],[Mês]])</f>
        <v>0.77157360406091369</v>
      </c>
      <c r="AK1137" s="20">
        <f>100%</f>
        <v>1</v>
      </c>
    </row>
    <row r="1138" spans="1:37" ht="18" customHeight="1" x14ac:dyDescent="0.25">
      <c r="A1138">
        <v>1180441226</v>
      </c>
      <c r="B1138" t="s">
        <v>1817</v>
      </c>
      <c r="C1138" t="s">
        <v>1818</v>
      </c>
      <c r="D1138" t="s">
        <v>37</v>
      </c>
      <c r="E1138" t="s">
        <v>31</v>
      </c>
      <c r="F1138" s="2">
        <v>45859.850329560177</v>
      </c>
      <c r="AC1138" s="24">
        <f t="shared" ca="1" si="35"/>
        <v>274.14967043982324</v>
      </c>
      <c r="AD1138" s="25" t="str">
        <f t="shared" ca="1" si="36"/>
        <v>&gt;60 dias</v>
      </c>
      <c r="AE1138" s="25">
        <f>MONTH(Tabela1[[#This Row],[Criado em]])</f>
        <v>7</v>
      </c>
      <c r="AF1138" s="25">
        <f>YEAR(Tabela1[[#This Row],[Criado em]])</f>
        <v>2025</v>
      </c>
      <c r="AG1138" s="25">
        <f>COUNTIFS(Tabela1[Mês],Tabela1[[#This Row],[Mês]])</f>
        <v>177</v>
      </c>
      <c r="AH1138" s="25">
        <f>COUNTIFS(Tabela1[Mês],Tabela1[[#This Row],[Mês]],Tabela1[Fase atual],"Recebido")</f>
        <v>130</v>
      </c>
      <c r="AI1138" s="26">
        <f>Tabela1[[#This Row],[Recebido_ Mes]]/Tabela1[[#This Row],[Total_Mes]]</f>
        <v>0.7344632768361582</v>
      </c>
      <c r="AJ1138" s="19">
        <f>COUNTIFS(Tabela1[Fase atual],"Recebido",Tabela1[Mês],Tabela1[[#This Row],[Mês]],Tabela1[Ano],Tabela1[[#This Row],[Ano]])/COUNTIF(Tabela1[Mês],Tabela1[[#This Row],[Mês]])</f>
        <v>0.7344632768361582</v>
      </c>
      <c r="AK1138" s="20">
        <f>100%</f>
        <v>1</v>
      </c>
    </row>
    <row r="1139" spans="1:37" ht="18" customHeight="1" x14ac:dyDescent="0.25">
      <c r="A1139">
        <v>1294278323</v>
      </c>
      <c r="B1139" t="s">
        <v>485</v>
      </c>
      <c r="C1139" t="s">
        <v>491</v>
      </c>
      <c r="D1139" t="s">
        <v>40</v>
      </c>
      <c r="E1139" t="s">
        <v>31</v>
      </c>
      <c r="F1139" s="2">
        <v>46059.566380578697</v>
      </c>
      <c r="AC1139" s="24">
        <f t="shared" ca="1" si="35"/>
        <v>74.433619421302865</v>
      </c>
      <c r="AD1139" s="25" t="str">
        <f t="shared" ca="1" si="36"/>
        <v>&gt;60 dias</v>
      </c>
      <c r="AE1139" s="25">
        <f>MONTH(Tabela1[[#This Row],[Criado em]])</f>
        <v>2</v>
      </c>
      <c r="AF1139" s="25">
        <f>YEAR(Tabela1[[#This Row],[Criado em]])</f>
        <v>2026</v>
      </c>
      <c r="AG1139" s="25">
        <f>COUNTIFS(Tabela1[Mês],Tabela1[[#This Row],[Mês]])</f>
        <v>197</v>
      </c>
      <c r="AH1139" s="25">
        <f>COUNTIFS(Tabela1[Mês],Tabela1[[#This Row],[Mês]],Tabela1[Fase atual],"Recebido")</f>
        <v>124</v>
      </c>
      <c r="AI1139" s="26">
        <f>Tabela1[[#This Row],[Recebido_ Mes]]/Tabela1[[#This Row],[Total_Mes]]</f>
        <v>0.62944162436548223</v>
      </c>
      <c r="AJ1139" s="19">
        <f>COUNTIFS(Tabela1[Fase atual],"Recebido",Tabela1[Mês],Tabela1[[#This Row],[Mês]],Tabela1[Ano],Tabela1[[#This Row],[Ano]])/COUNTIF(Tabela1[Mês],Tabela1[[#This Row],[Mês]])</f>
        <v>0.62944162436548223</v>
      </c>
      <c r="AK1139" s="20">
        <f>100%</f>
        <v>1</v>
      </c>
    </row>
    <row r="1140" spans="1:37" ht="18" customHeight="1" x14ac:dyDescent="0.25">
      <c r="A1140">
        <v>1294279687</v>
      </c>
      <c r="B1140" t="s">
        <v>492</v>
      </c>
      <c r="C1140" t="s">
        <v>493</v>
      </c>
      <c r="D1140" t="s">
        <v>40</v>
      </c>
      <c r="E1140" t="s">
        <v>31</v>
      </c>
      <c r="F1140" s="2">
        <v>46059.567589432867</v>
      </c>
      <c r="AC1140" s="24">
        <f t="shared" ca="1" si="35"/>
        <v>74.432410567133047</v>
      </c>
      <c r="AD1140" s="25" t="str">
        <f t="shared" ca="1" si="36"/>
        <v>&gt;60 dias</v>
      </c>
      <c r="AE1140" s="25">
        <f>MONTH(Tabela1[[#This Row],[Criado em]])</f>
        <v>2</v>
      </c>
      <c r="AF1140" s="25">
        <f>YEAR(Tabela1[[#This Row],[Criado em]])</f>
        <v>2026</v>
      </c>
      <c r="AG1140" s="25">
        <f>COUNTIFS(Tabela1[Mês],Tabela1[[#This Row],[Mês]])</f>
        <v>197</v>
      </c>
      <c r="AH1140" s="25">
        <f>COUNTIFS(Tabela1[Mês],Tabela1[[#This Row],[Mês]],Tabela1[Fase atual],"Recebido")</f>
        <v>124</v>
      </c>
      <c r="AI1140" s="26">
        <f>Tabela1[[#This Row],[Recebido_ Mes]]/Tabela1[[#This Row],[Total_Mes]]</f>
        <v>0.62944162436548223</v>
      </c>
      <c r="AJ1140" s="19">
        <f>COUNTIFS(Tabela1[Fase atual],"Recebido",Tabela1[Mês],Tabela1[[#This Row],[Mês]],Tabela1[Ano],Tabela1[[#This Row],[Ano]])/COUNTIF(Tabela1[Mês],Tabela1[[#This Row],[Mês]])</f>
        <v>0.62944162436548223</v>
      </c>
      <c r="AK1140" s="20">
        <f>100%</f>
        <v>1</v>
      </c>
    </row>
    <row r="1141" spans="1:37" ht="18" customHeight="1" x14ac:dyDescent="0.25">
      <c r="A1141">
        <v>1267208167</v>
      </c>
      <c r="B1141" t="s">
        <v>1819</v>
      </c>
      <c r="C1141" t="s">
        <v>1820</v>
      </c>
      <c r="D1141" t="s">
        <v>40</v>
      </c>
      <c r="E1141" t="s">
        <v>31</v>
      </c>
      <c r="F1141" s="2">
        <v>46002.795155208332</v>
      </c>
      <c r="AC1141" s="24">
        <f t="shared" ca="1" si="35"/>
        <v>131.20484479166771</v>
      </c>
      <c r="AD1141" s="25" t="str">
        <f t="shared" ca="1" si="36"/>
        <v>&gt;60 dias</v>
      </c>
      <c r="AE1141" s="25">
        <f>MONTH(Tabela1[[#This Row],[Criado em]])</f>
        <v>12</v>
      </c>
      <c r="AF1141" s="25">
        <f>YEAR(Tabela1[[#This Row],[Criado em]])</f>
        <v>2025</v>
      </c>
      <c r="AG1141" s="25">
        <f>COUNTIFS(Tabela1[Mês],Tabela1[[#This Row],[Mês]])</f>
        <v>207</v>
      </c>
      <c r="AH1141" s="25">
        <f>COUNTIFS(Tabela1[Mês],Tabela1[[#This Row],[Mês]],Tabela1[Fase atual],"Recebido")</f>
        <v>155</v>
      </c>
      <c r="AI1141" s="26">
        <f>Tabela1[[#This Row],[Recebido_ Mes]]/Tabela1[[#This Row],[Total_Mes]]</f>
        <v>0.74879227053140096</v>
      </c>
      <c r="AJ1141" s="19">
        <f>COUNTIFS(Tabela1[Fase atual],"Recebido",Tabela1[Mês],Tabela1[[#This Row],[Mês]],Tabela1[Ano],Tabela1[[#This Row],[Ano]])/COUNTIF(Tabela1[Mês],Tabela1[[#This Row],[Mês]])</f>
        <v>0.74879227053140096</v>
      </c>
      <c r="AK1141" s="20">
        <f>100%</f>
        <v>1</v>
      </c>
    </row>
    <row r="1142" spans="1:37" ht="18" customHeight="1" x14ac:dyDescent="0.25">
      <c r="A1142">
        <v>1226566470</v>
      </c>
      <c r="B1142" t="s">
        <v>1821</v>
      </c>
      <c r="C1142" t="s">
        <v>1822</v>
      </c>
      <c r="D1142" t="s">
        <v>37</v>
      </c>
      <c r="E1142" t="s">
        <v>441</v>
      </c>
      <c r="F1142" s="2">
        <v>45933.493114618061</v>
      </c>
      <c r="AC1142" s="24">
        <f t="shared" ca="1" si="35"/>
        <v>200.50688538193936</v>
      </c>
      <c r="AD1142" s="25" t="str">
        <f t="shared" ca="1" si="36"/>
        <v>&gt;60 dias</v>
      </c>
      <c r="AE1142" s="25">
        <f>MONTH(Tabela1[[#This Row],[Criado em]])</f>
        <v>10</v>
      </c>
      <c r="AF1142" s="25">
        <f>YEAR(Tabela1[[#This Row],[Criado em]])</f>
        <v>2025</v>
      </c>
      <c r="AG1142" s="25">
        <f>COUNTIFS(Tabela1[Mês],Tabela1[[#This Row],[Mês]])</f>
        <v>196</v>
      </c>
      <c r="AH1142" s="25">
        <f>COUNTIFS(Tabela1[Mês],Tabela1[[#This Row],[Mês]],Tabela1[Fase atual],"Recebido")</f>
        <v>138</v>
      </c>
      <c r="AI1142" s="26">
        <f>Tabela1[[#This Row],[Recebido_ Mes]]/Tabela1[[#This Row],[Total_Mes]]</f>
        <v>0.70408163265306123</v>
      </c>
      <c r="AJ1142" s="19">
        <f>COUNTIFS(Tabela1[Fase atual],"Recebido",Tabela1[Mês],Tabela1[[#This Row],[Mês]],Tabela1[Ano],Tabela1[[#This Row],[Ano]])/COUNTIF(Tabela1[Mês],Tabela1[[#This Row],[Mês]])</f>
        <v>0.70408163265306123</v>
      </c>
      <c r="AK1142" s="20">
        <f>100%</f>
        <v>1</v>
      </c>
    </row>
    <row r="1143" spans="1:37" ht="18" customHeight="1" x14ac:dyDescent="0.25">
      <c r="A1143">
        <v>1189846173</v>
      </c>
      <c r="B1143" t="s">
        <v>1823</v>
      </c>
      <c r="C1143" t="s">
        <v>1824</v>
      </c>
      <c r="D1143" t="s">
        <v>37</v>
      </c>
      <c r="E1143" t="s">
        <v>31</v>
      </c>
      <c r="F1143" s="2">
        <v>45875.851537002309</v>
      </c>
      <c r="AC1143" s="24">
        <f t="shared" ca="1" si="35"/>
        <v>258.14846299769124</v>
      </c>
      <c r="AD1143" s="25" t="str">
        <f t="shared" ca="1" si="36"/>
        <v>&gt;60 dias</v>
      </c>
      <c r="AE1143" s="25">
        <f>MONTH(Tabela1[[#This Row],[Criado em]])</f>
        <v>8</v>
      </c>
      <c r="AF1143" s="25">
        <f>YEAR(Tabela1[[#This Row],[Criado em]])</f>
        <v>2025</v>
      </c>
      <c r="AG1143" s="25">
        <f>COUNTIFS(Tabela1[Mês],Tabela1[[#This Row],[Mês]])</f>
        <v>146</v>
      </c>
      <c r="AH1143" s="25">
        <f>COUNTIFS(Tabela1[Mês],Tabela1[[#This Row],[Mês]],Tabela1[Fase atual],"Recebido")</f>
        <v>115</v>
      </c>
      <c r="AI1143" s="26">
        <f>Tabela1[[#This Row],[Recebido_ Mes]]/Tabela1[[#This Row],[Total_Mes]]</f>
        <v>0.78767123287671237</v>
      </c>
      <c r="AJ1143" s="19">
        <f>COUNTIFS(Tabela1[Fase atual],"Recebido",Tabela1[Mês],Tabela1[[#This Row],[Mês]],Tabela1[Ano],Tabela1[[#This Row],[Ano]])/COUNTIF(Tabela1[Mês],Tabela1[[#This Row],[Mês]])</f>
        <v>0.78767123287671237</v>
      </c>
      <c r="AK1143" s="20">
        <f>100%</f>
        <v>1</v>
      </c>
    </row>
    <row r="1144" spans="1:37" ht="18" customHeight="1" x14ac:dyDescent="0.25">
      <c r="A1144">
        <v>1189845762</v>
      </c>
      <c r="B1144" t="s">
        <v>1825</v>
      </c>
      <c r="C1144" t="s">
        <v>1826</v>
      </c>
      <c r="D1144" t="s">
        <v>40</v>
      </c>
      <c r="E1144" t="s">
        <v>31</v>
      </c>
      <c r="F1144" s="2">
        <v>45875.851239733791</v>
      </c>
      <c r="AC1144" s="24">
        <f t="shared" ca="1" si="35"/>
        <v>258.14876026620914</v>
      </c>
      <c r="AD1144" s="25" t="str">
        <f t="shared" ca="1" si="36"/>
        <v>&gt;60 dias</v>
      </c>
      <c r="AE1144" s="25">
        <f>MONTH(Tabela1[[#This Row],[Criado em]])</f>
        <v>8</v>
      </c>
      <c r="AF1144" s="25">
        <f>YEAR(Tabela1[[#This Row],[Criado em]])</f>
        <v>2025</v>
      </c>
      <c r="AG1144" s="25">
        <f>COUNTIFS(Tabela1[Mês],Tabela1[[#This Row],[Mês]])</f>
        <v>146</v>
      </c>
      <c r="AH1144" s="25">
        <f>COUNTIFS(Tabela1[Mês],Tabela1[[#This Row],[Mês]],Tabela1[Fase atual],"Recebido")</f>
        <v>115</v>
      </c>
      <c r="AI1144" s="26">
        <f>Tabela1[[#This Row],[Recebido_ Mes]]/Tabela1[[#This Row],[Total_Mes]]</f>
        <v>0.78767123287671237</v>
      </c>
      <c r="AJ1144" s="19">
        <f>COUNTIFS(Tabela1[Fase atual],"Recebido",Tabela1[Mês],Tabela1[[#This Row],[Mês]],Tabela1[Ano],Tabela1[[#This Row],[Ano]])/COUNTIF(Tabela1[Mês],Tabela1[[#This Row],[Mês]])</f>
        <v>0.78767123287671237</v>
      </c>
      <c r="AK1144" s="20">
        <f>100%</f>
        <v>1</v>
      </c>
    </row>
    <row r="1145" spans="1:37" ht="18" customHeight="1" x14ac:dyDescent="0.25">
      <c r="A1145">
        <v>1299196438</v>
      </c>
      <c r="B1145" t="s">
        <v>485</v>
      </c>
      <c r="C1145" t="s">
        <v>494</v>
      </c>
      <c r="D1145" t="s">
        <v>40</v>
      </c>
      <c r="E1145" t="s">
        <v>31</v>
      </c>
      <c r="F1145" s="2">
        <v>46071.920379247676</v>
      </c>
      <c r="AC1145" s="24">
        <f t="shared" ca="1" si="35"/>
        <v>62.079620752323535</v>
      </c>
      <c r="AD1145" s="25" t="str">
        <f t="shared" ca="1" si="36"/>
        <v>&gt;60 dias</v>
      </c>
      <c r="AE1145" s="25">
        <f>MONTH(Tabela1[[#This Row],[Criado em]])</f>
        <v>2</v>
      </c>
      <c r="AF1145" s="25">
        <f>YEAR(Tabela1[[#This Row],[Criado em]])</f>
        <v>2026</v>
      </c>
      <c r="AG1145" s="25">
        <f>COUNTIFS(Tabela1[Mês],Tabela1[[#This Row],[Mês]])</f>
        <v>197</v>
      </c>
      <c r="AH1145" s="25">
        <f>COUNTIFS(Tabela1[Mês],Tabela1[[#This Row],[Mês]],Tabela1[Fase atual],"Recebido")</f>
        <v>124</v>
      </c>
      <c r="AI1145" s="26">
        <f>Tabela1[[#This Row],[Recebido_ Mes]]/Tabela1[[#This Row],[Total_Mes]]</f>
        <v>0.62944162436548223</v>
      </c>
      <c r="AJ1145" s="19">
        <f>COUNTIFS(Tabela1[Fase atual],"Recebido",Tabela1[Mês],Tabela1[[#This Row],[Mês]],Tabela1[Ano],Tabela1[[#This Row],[Ano]])/COUNTIF(Tabela1[Mês],Tabela1[[#This Row],[Mês]])</f>
        <v>0.62944162436548223</v>
      </c>
      <c r="AK1145" s="20">
        <f>100%</f>
        <v>1</v>
      </c>
    </row>
    <row r="1146" spans="1:37" ht="18" customHeight="1" x14ac:dyDescent="0.25">
      <c r="A1146">
        <v>1268739988</v>
      </c>
      <c r="B1146" t="s">
        <v>1827</v>
      </c>
      <c r="C1146" t="s">
        <v>1828</v>
      </c>
      <c r="D1146" t="s">
        <v>40</v>
      </c>
      <c r="E1146" t="s">
        <v>31</v>
      </c>
      <c r="F1146" s="2">
        <v>46006.919761840283</v>
      </c>
      <c r="AC1146" s="24">
        <f t="shared" ca="1" si="35"/>
        <v>127.08023815971683</v>
      </c>
      <c r="AD1146" s="25" t="str">
        <f t="shared" ca="1" si="36"/>
        <v>&gt;60 dias</v>
      </c>
      <c r="AE1146" s="25">
        <f>MONTH(Tabela1[[#This Row],[Criado em]])</f>
        <v>12</v>
      </c>
      <c r="AF1146" s="25">
        <f>YEAR(Tabela1[[#This Row],[Criado em]])</f>
        <v>2025</v>
      </c>
      <c r="AG1146" s="25">
        <f>COUNTIFS(Tabela1[Mês],Tabela1[[#This Row],[Mês]])</f>
        <v>207</v>
      </c>
      <c r="AH1146" s="25">
        <f>COUNTIFS(Tabela1[Mês],Tabela1[[#This Row],[Mês]],Tabela1[Fase atual],"Recebido")</f>
        <v>155</v>
      </c>
      <c r="AI1146" s="26">
        <f>Tabela1[[#This Row],[Recebido_ Mes]]/Tabela1[[#This Row],[Total_Mes]]</f>
        <v>0.74879227053140096</v>
      </c>
      <c r="AJ1146" s="19">
        <f>COUNTIFS(Tabela1[Fase atual],"Recebido",Tabela1[Mês],Tabela1[[#This Row],[Mês]],Tabela1[Ano],Tabela1[[#This Row],[Ano]])/COUNTIF(Tabela1[Mês],Tabela1[[#This Row],[Mês]])</f>
        <v>0.74879227053140096</v>
      </c>
      <c r="AK1146" s="20">
        <f>100%</f>
        <v>1</v>
      </c>
    </row>
    <row r="1147" spans="1:37" ht="18" customHeight="1" x14ac:dyDescent="0.25">
      <c r="A1147">
        <v>1203338796</v>
      </c>
      <c r="B1147" t="s">
        <v>1829</v>
      </c>
      <c r="C1147" t="s">
        <v>1830</v>
      </c>
      <c r="D1147" t="s">
        <v>37</v>
      </c>
      <c r="E1147" t="s">
        <v>31</v>
      </c>
      <c r="F1147" s="2">
        <v>45897.01762121528</v>
      </c>
      <c r="AC1147" s="24">
        <f t="shared" ca="1" si="35"/>
        <v>236.98237878471991</v>
      </c>
      <c r="AD1147" s="25" t="str">
        <f t="shared" ca="1" si="36"/>
        <v>&gt;60 dias</v>
      </c>
      <c r="AE1147" s="25">
        <f>MONTH(Tabela1[[#This Row],[Criado em]])</f>
        <v>8</v>
      </c>
      <c r="AF1147" s="25">
        <f>YEAR(Tabela1[[#This Row],[Criado em]])</f>
        <v>2025</v>
      </c>
      <c r="AG1147" s="25">
        <f>COUNTIFS(Tabela1[Mês],Tabela1[[#This Row],[Mês]])</f>
        <v>146</v>
      </c>
      <c r="AH1147" s="25">
        <f>COUNTIFS(Tabela1[Mês],Tabela1[[#This Row],[Mês]],Tabela1[Fase atual],"Recebido")</f>
        <v>115</v>
      </c>
      <c r="AI1147" s="26">
        <f>Tabela1[[#This Row],[Recebido_ Mes]]/Tabela1[[#This Row],[Total_Mes]]</f>
        <v>0.78767123287671237</v>
      </c>
      <c r="AJ1147" s="19">
        <f>COUNTIFS(Tabela1[Fase atual],"Recebido",Tabela1[Mês],Tabela1[[#This Row],[Mês]],Tabela1[Ano],Tabela1[[#This Row],[Ano]])/COUNTIF(Tabela1[Mês],Tabela1[[#This Row],[Mês]])</f>
        <v>0.78767123287671237</v>
      </c>
      <c r="AK1147" s="20">
        <f>100%</f>
        <v>1</v>
      </c>
    </row>
    <row r="1148" spans="1:37" ht="18" customHeight="1" x14ac:dyDescent="0.25">
      <c r="A1148">
        <v>1212890848</v>
      </c>
      <c r="B1148" t="s">
        <v>1829</v>
      </c>
      <c r="C1148" t="s">
        <v>1830</v>
      </c>
      <c r="D1148" t="s">
        <v>37</v>
      </c>
      <c r="E1148" t="s">
        <v>31</v>
      </c>
      <c r="F1148" s="2">
        <v>45912.018941932867</v>
      </c>
      <c r="AC1148" s="24">
        <f t="shared" ca="1" si="35"/>
        <v>221.98105806713284</v>
      </c>
      <c r="AD1148" s="25" t="str">
        <f t="shared" ca="1" si="36"/>
        <v>&gt;60 dias</v>
      </c>
      <c r="AE1148" s="25">
        <f>MONTH(Tabela1[[#This Row],[Criado em]])</f>
        <v>9</v>
      </c>
      <c r="AF1148" s="25">
        <f>YEAR(Tabela1[[#This Row],[Criado em]])</f>
        <v>2025</v>
      </c>
      <c r="AG1148" s="25">
        <f>COUNTIFS(Tabela1[Mês],Tabela1[[#This Row],[Mês]])</f>
        <v>197</v>
      </c>
      <c r="AH1148" s="25">
        <f>COUNTIFS(Tabela1[Mês],Tabela1[[#This Row],[Mês]],Tabela1[Fase atual],"Recebido")</f>
        <v>152</v>
      </c>
      <c r="AI1148" s="26">
        <f>Tabela1[[#This Row],[Recebido_ Mes]]/Tabela1[[#This Row],[Total_Mes]]</f>
        <v>0.77157360406091369</v>
      </c>
      <c r="AJ1148" s="19">
        <f>COUNTIFS(Tabela1[Fase atual],"Recebido",Tabela1[Mês],Tabela1[[#This Row],[Mês]],Tabela1[Ano],Tabela1[[#This Row],[Ano]])/COUNTIF(Tabela1[Mês],Tabela1[[#This Row],[Mês]])</f>
        <v>0.77157360406091369</v>
      </c>
      <c r="AK1148" s="20">
        <f>100%</f>
        <v>1</v>
      </c>
    </row>
    <row r="1149" spans="1:37" ht="18" customHeight="1" x14ac:dyDescent="0.25">
      <c r="A1149">
        <v>1294485173</v>
      </c>
      <c r="B1149" t="s">
        <v>495</v>
      </c>
      <c r="C1149" t="s">
        <v>496</v>
      </c>
      <c r="D1149" t="s">
        <v>202</v>
      </c>
      <c r="E1149" t="s">
        <v>31</v>
      </c>
      <c r="F1149" s="2">
        <v>46059.795494027778</v>
      </c>
      <c r="AC1149" s="24">
        <f t="shared" ca="1" si="35"/>
        <v>74.20450597222225</v>
      </c>
      <c r="AD1149" s="25" t="str">
        <f t="shared" ca="1" si="36"/>
        <v>&gt;60 dias</v>
      </c>
      <c r="AE1149" s="25">
        <f>MONTH(Tabela1[[#This Row],[Criado em]])</f>
        <v>2</v>
      </c>
      <c r="AF1149" s="25">
        <f>YEAR(Tabela1[[#This Row],[Criado em]])</f>
        <v>2026</v>
      </c>
      <c r="AG1149" s="25">
        <f>COUNTIFS(Tabela1[Mês],Tabela1[[#This Row],[Mês]])</f>
        <v>197</v>
      </c>
      <c r="AH1149" s="25">
        <f>COUNTIFS(Tabela1[Mês],Tabela1[[#This Row],[Mês]],Tabela1[Fase atual],"Recebido")</f>
        <v>124</v>
      </c>
      <c r="AI1149" s="26">
        <f>Tabela1[[#This Row],[Recebido_ Mes]]/Tabela1[[#This Row],[Total_Mes]]</f>
        <v>0.62944162436548223</v>
      </c>
      <c r="AJ1149" s="19">
        <f>COUNTIFS(Tabela1[Fase atual],"Recebido",Tabela1[Mês],Tabela1[[#This Row],[Mês]],Tabela1[Ano],Tabela1[[#This Row],[Ano]])/COUNTIF(Tabela1[Mês],Tabela1[[#This Row],[Mês]])</f>
        <v>0.62944162436548223</v>
      </c>
      <c r="AK1149" s="20">
        <f>100%</f>
        <v>1</v>
      </c>
    </row>
    <row r="1150" spans="1:37" ht="18" customHeight="1" x14ac:dyDescent="0.25">
      <c r="A1150">
        <v>1202543172</v>
      </c>
      <c r="B1150" t="s">
        <v>495</v>
      </c>
      <c r="C1150" t="s">
        <v>496</v>
      </c>
      <c r="D1150" t="s">
        <v>37</v>
      </c>
      <c r="E1150" t="s">
        <v>31</v>
      </c>
      <c r="F1150" s="2">
        <v>45895.851351041667</v>
      </c>
      <c r="AC1150" s="24">
        <f t="shared" ca="1" si="35"/>
        <v>238.14864895833307</v>
      </c>
      <c r="AD1150" s="25" t="str">
        <f t="shared" ca="1" si="36"/>
        <v>&gt;60 dias</v>
      </c>
      <c r="AE1150" s="25">
        <f>MONTH(Tabela1[[#This Row],[Criado em]])</f>
        <v>8</v>
      </c>
      <c r="AF1150" s="25">
        <f>YEAR(Tabela1[[#This Row],[Criado em]])</f>
        <v>2025</v>
      </c>
      <c r="AG1150" s="25">
        <f>COUNTIFS(Tabela1[Mês],Tabela1[[#This Row],[Mês]])</f>
        <v>146</v>
      </c>
      <c r="AH1150" s="25">
        <f>COUNTIFS(Tabela1[Mês],Tabela1[[#This Row],[Mês]],Tabela1[Fase atual],"Recebido")</f>
        <v>115</v>
      </c>
      <c r="AI1150" s="26">
        <f>Tabela1[[#This Row],[Recebido_ Mes]]/Tabela1[[#This Row],[Total_Mes]]</f>
        <v>0.78767123287671237</v>
      </c>
      <c r="AJ1150" s="19">
        <f>COUNTIFS(Tabela1[Fase atual],"Recebido",Tabela1[Mês],Tabela1[[#This Row],[Mês]],Tabela1[Ano],Tabela1[[#This Row],[Ano]])/COUNTIF(Tabela1[Mês],Tabela1[[#This Row],[Mês]])</f>
        <v>0.78767123287671237</v>
      </c>
      <c r="AK1150" s="20">
        <f>100%</f>
        <v>1</v>
      </c>
    </row>
    <row r="1151" spans="1:37" ht="18" customHeight="1" x14ac:dyDescent="0.25">
      <c r="A1151">
        <v>1264373581</v>
      </c>
      <c r="B1151" t="s">
        <v>495</v>
      </c>
      <c r="C1151" t="s">
        <v>1831</v>
      </c>
      <c r="D1151" t="s">
        <v>40</v>
      </c>
      <c r="E1151" t="s">
        <v>31</v>
      </c>
      <c r="F1151" s="2">
        <v>45995.922199953697</v>
      </c>
      <c r="AC1151" s="24">
        <f t="shared" ca="1" si="35"/>
        <v>138.07780004630331</v>
      </c>
      <c r="AD1151" s="25" t="str">
        <f t="shared" ca="1" si="36"/>
        <v>&gt;60 dias</v>
      </c>
      <c r="AE1151" s="25">
        <f>MONTH(Tabela1[[#This Row],[Criado em]])</f>
        <v>12</v>
      </c>
      <c r="AF1151" s="25">
        <f>YEAR(Tabela1[[#This Row],[Criado em]])</f>
        <v>2025</v>
      </c>
      <c r="AG1151" s="25">
        <f>COUNTIFS(Tabela1[Mês],Tabela1[[#This Row],[Mês]])</f>
        <v>207</v>
      </c>
      <c r="AH1151" s="25">
        <f>COUNTIFS(Tabela1[Mês],Tabela1[[#This Row],[Mês]],Tabela1[Fase atual],"Recebido")</f>
        <v>155</v>
      </c>
      <c r="AI1151" s="26">
        <f>Tabela1[[#This Row],[Recebido_ Mes]]/Tabela1[[#This Row],[Total_Mes]]</f>
        <v>0.74879227053140096</v>
      </c>
      <c r="AJ1151" s="19">
        <f>COUNTIFS(Tabela1[Fase atual],"Recebido",Tabela1[Mês],Tabela1[[#This Row],[Mês]],Tabela1[Ano],Tabela1[[#This Row],[Ano]])/COUNTIF(Tabela1[Mês],Tabela1[[#This Row],[Mês]])</f>
        <v>0.74879227053140096</v>
      </c>
      <c r="AK1151" s="20">
        <f>100%</f>
        <v>1</v>
      </c>
    </row>
    <row r="1152" spans="1:37" ht="18" customHeight="1" x14ac:dyDescent="0.25">
      <c r="A1152">
        <v>1253466365</v>
      </c>
      <c r="B1152" t="s">
        <v>495</v>
      </c>
      <c r="C1152" t="s">
        <v>1831</v>
      </c>
      <c r="D1152" t="s">
        <v>37</v>
      </c>
      <c r="E1152" t="s">
        <v>31</v>
      </c>
      <c r="F1152" s="2">
        <v>45972.796308703713</v>
      </c>
      <c r="AC1152" s="24">
        <f t="shared" ca="1" si="35"/>
        <v>161.20369129628671</v>
      </c>
      <c r="AD1152" s="25" t="str">
        <f t="shared" ca="1" si="36"/>
        <v>&gt;60 dias</v>
      </c>
      <c r="AE1152" s="25">
        <f>MONTH(Tabela1[[#This Row],[Criado em]])</f>
        <v>11</v>
      </c>
      <c r="AF1152" s="25">
        <f>YEAR(Tabela1[[#This Row],[Criado em]])</f>
        <v>2025</v>
      </c>
      <c r="AG1152" s="25">
        <f>COUNTIFS(Tabela1[Mês],Tabela1[[#This Row],[Mês]])</f>
        <v>130</v>
      </c>
      <c r="AH1152" s="25">
        <f>COUNTIFS(Tabela1[Mês],Tabela1[[#This Row],[Mês]],Tabela1[Fase atual],"Recebido")</f>
        <v>100</v>
      </c>
      <c r="AI1152" s="26">
        <f>Tabela1[[#This Row],[Recebido_ Mes]]/Tabela1[[#This Row],[Total_Mes]]</f>
        <v>0.76923076923076927</v>
      </c>
      <c r="AJ1152" s="19">
        <f>COUNTIFS(Tabela1[Fase atual],"Recebido",Tabela1[Mês],Tabela1[[#This Row],[Mês]],Tabela1[Ano],Tabela1[[#This Row],[Ano]])/COUNTIF(Tabela1[Mês],Tabela1[[#This Row],[Mês]])</f>
        <v>0.76923076923076927</v>
      </c>
      <c r="AK1152" s="20">
        <f>100%</f>
        <v>1</v>
      </c>
    </row>
    <row r="1153" spans="1:37" ht="18" customHeight="1" x14ac:dyDescent="0.25">
      <c r="A1153">
        <v>1206795146</v>
      </c>
      <c r="B1153" t="s">
        <v>495</v>
      </c>
      <c r="C1153" t="s">
        <v>1832</v>
      </c>
      <c r="D1153" t="s">
        <v>40</v>
      </c>
      <c r="E1153" t="s">
        <v>31</v>
      </c>
      <c r="F1153" s="2">
        <v>45902.851683206012</v>
      </c>
      <c r="AC1153" s="24">
        <f t="shared" ca="1" si="35"/>
        <v>231.14831679398776</v>
      </c>
      <c r="AD1153" s="25" t="str">
        <f t="shared" ca="1" si="36"/>
        <v>&gt;60 dias</v>
      </c>
      <c r="AE1153" s="25">
        <f>MONTH(Tabela1[[#This Row],[Criado em]])</f>
        <v>9</v>
      </c>
      <c r="AF1153" s="25">
        <f>YEAR(Tabela1[[#This Row],[Criado em]])</f>
        <v>2025</v>
      </c>
      <c r="AG1153" s="25">
        <f>COUNTIFS(Tabela1[Mês],Tabela1[[#This Row],[Mês]])</f>
        <v>197</v>
      </c>
      <c r="AH1153" s="25">
        <f>COUNTIFS(Tabela1[Mês],Tabela1[[#This Row],[Mês]],Tabela1[Fase atual],"Recebido")</f>
        <v>152</v>
      </c>
      <c r="AI1153" s="26">
        <f>Tabela1[[#This Row],[Recebido_ Mes]]/Tabela1[[#This Row],[Total_Mes]]</f>
        <v>0.77157360406091369</v>
      </c>
      <c r="AJ1153" s="19">
        <f>COUNTIFS(Tabela1[Fase atual],"Recebido",Tabela1[Mês],Tabela1[[#This Row],[Mês]],Tabela1[Ano],Tabela1[[#This Row],[Ano]])/COUNTIF(Tabela1[Mês],Tabela1[[#This Row],[Mês]])</f>
        <v>0.77157360406091369</v>
      </c>
      <c r="AK1153" s="20">
        <f>100%</f>
        <v>1</v>
      </c>
    </row>
    <row r="1154" spans="1:37" ht="18" customHeight="1" x14ac:dyDescent="0.25">
      <c r="A1154">
        <v>1288419807</v>
      </c>
      <c r="B1154" t="s">
        <v>495</v>
      </c>
      <c r="C1154" t="s">
        <v>497</v>
      </c>
      <c r="D1154" t="s">
        <v>37</v>
      </c>
      <c r="E1154" t="s">
        <v>31</v>
      </c>
      <c r="F1154" s="2">
        <v>46048.920448460653</v>
      </c>
      <c r="AC1154" s="24">
        <f t="shared" ca="1" si="35"/>
        <v>85.079551539347449</v>
      </c>
      <c r="AD1154" s="25" t="str">
        <f t="shared" ca="1" si="36"/>
        <v>&gt;60 dias</v>
      </c>
      <c r="AE1154" s="25">
        <f>MONTH(Tabela1[[#This Row],[Criado em]])</f>
        <v>1</v>
      </c>
      <c r="AF1154" s="25">
        <f>YEAR(Tabela1[[#This Row],[Criado em]])</f>
        <v>2026</v>
      </c>
      <c r="AG1154" s="25">
        <f>COUNTIFS(Tabela1[Mês],Tabela1[[#This Row],[Mês]])</f>
        <v>222</v>
      </c>
      <c r="AH1154" s="25">
        <f>COUNTIFS(Tabela1[Mês],Tabela1[[#This Row],[Mês]],Tabela1[Fase atual],"Recebido")</f>
        <v>174</v>
      </c>
      <c r="AI1154" s="26">
        <f>Tabela1[[#This Row],[Recebido_ Mes]]/Tabela1[[#This Row],[Total_Mes]]</f>
        <v>0.78378378378378377</v>
      </c>
      <c r="AJ1154" s="19">
        <f>COUNTIFS(Tabela1[Fase atual],"Recebido",Tabela1[Mês],Tabela1[[#This Row],[Mês]],Tabela1[Ano],Tabela1[[#This Row],[Ano]])/COUNTIF(Tabela1[Mês],Tabela1[[#This Row],[Mês]])</f>
        <v>0.78378378378378377</v>
      </c>
      <c r="AK1154" s="20">
        <f>100%</f>
        <v>1</v>
      </c>
    </row>
    <row r="1155" spans="1:37" ht="18" customHeight="1" x14ac:dyDescent="0.25">
      <c r="A1155">
        <v>1297181874</v>
      </c>
      <c r="B1155" t="s">
        <v>495</v>
      </c>
      <c r="C1155" t="s">
        <v>497</v>
      </c>
      <c r="D1155" t="s">
        <v>37</v>
      </c>
      <c r="E1155" t="s">
        <v>31</v>
      </c>
      <c r="F1155" s="2">
        <v>46065.920747094897</v>
      </c>
      <c r="AC1155" s="24">
        <f t="shared" ref="AC1155:AC1218" ca="1" si="37">TODAY() - F1155</f>
        <v>68.079252905103203</v>
      </c>
      <c r="AD1155" s="25" t="str">
        <f t="shared" ref="AD1155:AD1218" ca="1" si="38">IF(AC1155&lt;=14,"0-14 dias",
IF(AC1155&lt;=19,"15-19 dias",
IF(AC1155&lt;=24,"20-24 dias",
IF(AC1155&lt;=30,"25-30 dias",
IF(AC1155&lt;=60,"31-60 dias",
"&gt;60 dias")))))</f>
        <v>&gt;60 dias</v>
      </c>
      <c r="AE1155" s="25">
        <f>MONTH(Tabela1[[#This Row],[Criado em]])</f>
        <v>2</v>
      </c>
      <c r="AF1155" s="25">
        <f>YEAR(Tabela1[[#This Row],[Criado em]])</f>
        <v>2026</v>
      </c>
      <c r="AG1155" s="25">
        <f>COUNTIFS(Tabela1[Mês],Tabela1[[#This Row],[Mês]])</f>
        <v>197</v>
      </c>
      <c r="AH1155" s="25">
        <f>COUNTIFS(Tabela1[Mês],Tabela1[[#This Row],[Mês]],Tabela1[Fase atual],"Recebido")</f>
        <v>124</v>
      </c>
      <c r="AI1155" s="26">
        <f>Tabela1[[#This Row],[Recebido_ Mes]]/Tabela1[[#This Row],[Total_Mes]]</f>
        <v>0.62944162436548223</v>
      </c>
      <c r="AJ1155" s="19">
        <f>COUNTIFS(Tabela1[Fase atual],"Recebido",Tabela1[Mês],Tabela1[[#This Row],[Mês]],Tabela1[Ano],Tabela1[[#This Row],[Ano]])/COUNTIF(Tabela1[Mês],Tabela1[[#This Row],[Mês]])</f>
        <v>0.62944162436548223</v>
      </c>
      <c r="AK1155" s="20">
        <f>100%</f>
        <v>1</v>
      </c>
    </row>
    <row r="1156" spans="1:37" ht="18" customHeight="1" x14ac:dyDescent="0.25">
      <c r="A1156">
        <v>1284362253</v>
      </c>
      <c r="B1156" t="s">
        <v>495</v>
      </c>
      <c r="C1156" t="s">
        <v>498</v>
      </c>
      <c r="D1156" t="s">
        <v>2184</v>
      </c>
      <c r="E1156" t="s">
        <v>31</v>
      </c>
      <c r="F1156" s="2">
        <v>46042.544066886578</v>
      </c>
      <c r="AC1156" s="24">
        <f t="shared" ca="1" si="37"/>
        <v>91.455933113422361</v>
      </c>
      <c r="AD1156" s="25" t="str">
        <f t="shared" ca="1" si="38"/>
        <v>&gt;60 dias</v>
      </c>
      <c r="AE1156" s="25">
        <f>MONTH(Tabela1[[#This Row],[Criado em]])</f>
        <v>1</v>
      </c>
      <c r="AF1156" s="25">
        <f>YEAR(Tabela1[[#This Row],[Criado em]])</f>
        <v>2026</v>
      </c>
      <c r="AG1156" s="25">
        <f>COUNTIFS(Tabela1[Mês],Tabela1[[#This Row],[Mês]])</f>
        <v>222</v>
      </c>
      <c r="AH1156" s="25">
        <f>COUNTIFS(Tabela1[Mês],Tabela1[[#This Row],[Mês]],Tabela1[Fase atual],"Recebido")</f>
        <v>174</v>
      </c>
      <c r="AI1156" s="26">
        <f>Tabela1[[#This Row],[Recebido_ Mes]]/Tabela1[[#This Row],[Total_Mes]]</f>
        <v>0.78378378378378377</v>
      </c>
      <c r="AJ1156" s="19">
        <f>COUNTIFS(Tabela1[Fase atual],"Recebido",Tabela1[Mês],Tabela1[[#This Row],[Mês]],Tabela1[Ano],Tabela1[[#This Row],[Ano]])/COUNTIF(Tabela1[Mês],Tabela1[[#This Row],[Mês]])</f>
        <v>0.78378378378378377</v>
      </c>
      <c r="AK1156" s="20">
        <f>100%</f>
        <v>1</v>
      </c>
    </row>
    <row r="1157" spans="1:37" ht="18" customHeight="1" x14ac:dyDescent="0.25">
      <c r="A1157">
        <v>1176889264</v>
      </c>
      <c r="B1157" t="s">
        <v>1833</v>
      </c>
      <c r="C1157" t="s">
        <v>1834</v>
      </c>
      <c r="D1157" t="s">
        <v>37</v>
      </c>
      <c r="E1157" t="s">
        <v>31</v>
      </c>
      <c r="F1157" s="2">
        <v>45853.868594618063</v>
      </c>
      <c r="AC1157" s="24">
        <f t="shared" ca="1" si="37"/>
        <v>280.13140538193693</v>
      </c>
      <c r="AD1157" s="25" t="str">
        <f t="shared" ca="1" si="38"/>
        <v>&gt;60 dias</v>
      </c>
      <c r="AE1157" s="25">
        <f>MONTH(Tabela1[[#This Row],[Criado em]])</f>
        <v>7</v>
      </c>
      <c r="AF1157" s="25">
        <f>YEAR(Tabela1[[#This Row],[Criado em]])</f>
        <v>2025</v>
      </c>
      <c r="AG1157" s="25">
        <f>COUNTIFS(Tabela1[Mês],Tabela1[[#This Row],[Mês]])</f>
        <v>177</v>
      </c>
      <c r="AH1157" s="25">
        <f>COUNTIFS(Tabela1[Mês],Tabela1[[#This Row],[Mês]],Tabela1[Fase atual],"Recebido")</f>
        <v>130</v>
      </c>
      <c r="AI1157" s="26">
        <f>Tabela1[[#This Row],[Recebido_ Mes]]/Tabela1[[#This Row],[Total_Mes]]</f>
        <v>0.7344632768361582</v>
      </c>
      <c r="AJ1157" s="19">
        <f>COUNTIFS(Tabela1[Fase atual],"Recebido",Tabela1[Mês],Tabela1[[#This Row],[Mês]],Tabela1[Ano],Tabela1[[#This Row],[Ano]])/COUNTIF(Tabela1[Mês],Tabela1[[#This Row],[Mês]])</f>
        <v>0.7344632768361582</v>
      </c>
      <c r="AK1157" s="20">
        <f>100%</f>
        <v>1</v>
      </c>
    </row>
    <row r="1158" spans="1:37" ht="18" customHeight="1" x14ac:dyDescent="0.25">
      <c r="A1158">
        <v>1279124490</v>
      </c>
      <c r="B1158" t="s">
        <v>408</v>
      </c>
      <c r="C1158" t="s">
        <v>499</v>
      </c>
      <c r="D1158" t="s">
        <v>37</v>
      </c>
      <c r="E1158" t="s">
        <v>31</v>
      </c>
      <c r="F1158" s="2">
        <v>46030.919994849537</v>
      </c>
      <c r="AC1158" s="24">
        <f t="shared" ca="1" si="37"/>
        <v>103.08000515046297</v>
      </c>
      <c r="AD1158" s="25" t="str">
        <f t="shared" ca="1" si="38"/>
        <v>&gt;60 dias</v>
      </c>
      <c r="AE1158" s="25">
        <f>MONTH(Tabela1[[#This Row],[Criado em]])</f>
        <v>1</v>
      </c>
      <c r="AF1158" s="25">
        <f>YEAR(Tabela1[[#This Row],[Criado em]])</f>
        <v>2026</v>
      </c>
      <c r="AG1158" s="25">
        <f>COUNTIFS(Tabela1[Mês],Tabela1[[#This Row],[Mês]])</f>
        <v>222</v>
      </c>
      <c r="AH1158" s="25">
        <f>COUNTIFS(Tabela1[Mês],Tabela1[[#This Row],[Mês]],Tabela1[Fase atual],"Recebido")</f>
        <v>174</v>
      </c>
      <c r="AI1158" s="26">
        <f>Tabela1[[#This Row],[Recebido_ Mes]]/Tabela1[[#This Row],[Total_Mes]]</f>
        <v>0.78378378378378377</v>
      </c>
      <c r="AJ1158" s="19">
        <f>COUNTIFS(Tabela1[Fase atual],"Recebido",Tabela1[Mês],Tabela1[[#This Row],[Mês]],Tabela1[Ano],Tabela1[[#This Row],[Ano]])/COUNTIF(Tabela1[Mês],Tabela1[[#This Row],[Mês]])</f>
        <v>0.78378378378378377</v>
      </c>
      <c r="AK1158" s="20">
        <f>100%</f>
        <v>1</v>
      </c>
    </row>
    <row r="1159" spans="1:37" ht="18" customHeight="1" x14ac:dyDescent="0.25">
      <c r="A1159">
        <v>1204673336</v>
      </c>
      <c r="B1159" t="s">
        <v>408</v>
      </c>
      <c r="C1159" t="s">
        <v>1835</v>
      </c>
      <c r="D1159" t="s">
        <v>37</v>
      </c>
      <c r="E1159" t="s">
        <v>31</v>
      </c>
      <c r="F1159" s="2">
        <v>45898.775737939817</v>
      </c>
      <c r="AC1159" s="24">
        <f t="shared" ca="1" si="37"/>
        <v>235.22426206018281</v>
      </c>
      <c r="AD1159" s="25" t="str">
        <f t="shared" ca="1" si="38"/>
        <v>&gt;60 dias</v>
      </c>
      <c r="AE1159" s="25">
        <f>MONTH(Tabela1[[#This Row],[Criado em]])</f>
        <v>8</v>
      </c>
      <c r="AF1159" s="25">
        <f>YEAR(Tabela1[[#This Row],[Criado em]])</f>
        <v>2025</v>
      </c>
      <c r="AG1159" s="25">
        <f>COUNTIFS(Tabela1[Mês],Tabela1[[#This Row],[Mês]])</f>
        <v>146</v>
      </c>
      <c r="AH1159" s="25">
        <f>COUNTIFS(Tabela1[Mês],Tabela1[[#This Row],[Mês]],Tabela1[Fase atual],"Recebido")</f>
        <v>115</v>
      </c>
      <c r="AI1159" s="26">
        <f>Tabela1[[#This Row],[Recebido_ Mes]]/Tabela1[[#This Row],[Total_Mes]]</f>
        <v>0.78767123287671237</v>
      </c>
      <c r="AJ1159" s="19">
        <f>COUNTIFS(Tabela1[Fase atual],"Recebido",Tabela1[Mês],Tabela1[[#This Row],[Mês]],Tabela1[Ano],Tabela1[[#This Row],[Ano]])/COUNTIF(Tabela1[Mês],Tabela1[[#This Row],[Mês]])</f>
        <v>0.78767123287671237</v>
      </c>
      <c r="AK1159" s="20">
        <f>100%</f>
        <v>1</v>
      </c>
    </row>
    <row r="1160" spans="1:37" ht="18" customHeight="1" x14ac:dyDescent="0.25">
      <c r="A1160">
        <v>1234442942</v>
      </c>
      <c r="B1160" t="s">
        <v>408</v>
      </c>
      <c r="C1160" t="s">
        <v>1835</v>
      </c>
      <c r="D1160" t="s">
        <v>37</v>
      </c>
      <c r="E1160" t="s">
        <v>31</v>
      </c>
      <c r="F1160" s="2">
        <v>45943.795839942133</v>
      </c>
      <c r="AC1160" s="24">
        <f t="shared" ca="1" si="37"/>
        <v>190.20416005786683</v>
      </c>
      <c r="AD1160" s="25" t="str">
        <f t="shared" ca="1" si="38"/>
        <v>&gt;60 dias</v>
      </c>
      <c r="AE1160" s="25">
        <f>MONTH(Tabela1[[#This Row],[Criado em]])</f>
        <v>10</v>
      </c>
      <c r="AF1160" s="25">
        <f>YEAR(Tabela1[[#This Row],[Criado em]])</f>
        <v>2025</v>
      </c>
      <c r="AG1160" s="25">
        <f>COUNTIFS(Tabela1[Mês],Tabela1[[#This Row],[Mês]])</f>
        <v>196</v>
      </c>
      <c r="AH1160" s="25">
        <f>COUNTIFS(Tabela1[Mês],Tabela1[[#This Row],[Mês]],Tabela1[Fase atual],"Recebido")</f>
        <v>138</v>
      </c>
      <c r="AI1160" s="26">
        <f>Tabela1[[#This Row],[Recebido_ Mes]]/Tabela1[[#This Row],[Total_Mes]]</f>
        <v>0.70408163265306123</v>
      </c>
      <c r="AJ1160" s="19">
        <f>COUNTIFS(Tabela1[Fase atual],"Recebido",Tabela1[Mês],Tabela1[[#This Row],[Mês]],Tabela1[Ano],Tabela1[[#This Row],[Ano]])/COUNTIF(Tabela1[Mês],Tabela1[[#This Row],[Mês]])</f>
        <v>0.70408163265306123</v>
      </c>
      <c r="AK1160" s="20">
        <f>100%</f>
        <v>1</v>
      </c>
    </row>
    <row r="1161" spans="1:37" ht="18" customHeight="1" x14ac:dyDescent="0.25">
      <c r="A1161">
        <v>1201527385</v>
      </c>
      <c r="B1161" t="s">
        <v>408</v>
      </c>
      <c r="C1161" t="s">
        <v>1835</v>
      </c>
      <c r="D1161" t="s">
        <v>37</v>
      </c>
      <c r="E1161" t="s">
        <v>31</v>
      </c>
      <c r="F1161" s="2">
        <v>45894.642439594907</v>
      </c>
      <c r="AC1161" s="24">
        <f t="shared" ca="1" si="37"/>
        <v>239.35756040509295</v>
      </c>
      <c r="AD1161" s="25" t="str">
        <f t="shared" ca="1" si="38"/>
        <v>&gt;60 dias</v>
      </c>
      <c r="AE1161" s="25">
        <f>MONTH(Tabela1[[#This Row],[Criado em]])</f>
        <v>8</v>
      </c>
      <c r="AF1161" s="25">
        <f>YEAR(Tabela1[[#This Row],[Criado em]])</f>
        <v>2025</v>
      </c>
      <c r="AG1161" s="25">
        <f>COUNTIFS(Tabela1[Mês],Tabela1[[#This Row],[Mês]])</f>
        <v>146</v>
      </c>
      <c r="AH1161" s="25">
        <f>COUNTIFS(Tabela1[Mês],Tabela1[[#This Row],[Mês]],Tabela1[Fase atual],"Recebido")</f>
        <v>115</v>
      </c>
      <c r="AI1161" s="26">
        <f>Tabela1[[#This Row],[Recebido_ Mes]]/Tabela1[[#This Row],[Total_Mes]]</f>
        <v>0.78767123287671237</v>
      </c>
      <c r="AJ1161" s="19">
        <f>COUNTIFS(Tabela1[Fase atual],"Recebido",Tabela1[Mês],Tabela1[[#This Row],[Mês]],Tabela1[Ano],Tabela1[[#This Row],[Ano]])/COUNTIF(Tabela1[Mês],Tabela1[[#This Row],[Mês]])</f>
        <v>0.78767123287671237</v>
      </c>
      <c r="AK1161" s="20">
        <f>100%</f>
        <v>1</v>
      </c>
    </row>
    <row r="1162" spans="1:37" ht="18" customHeight="1" x14ac:dyDescent="0.25">
      <c r="A1162">
        <v>1276526880</v>
      </c>
      <c r="B1162" t="s">
        <v>408</v>
      </c>
      <c r="C1162" t="s">
        <v>500</v>
      </c>
      <c r="D1162" t="s">
        <v>37</v>
      </c>
      <c r="E1162" t="s">
        <v>31</v>
      </c>
      <c r="F1162" s="2">
        <v>46027.795799571759</v>
      </c>
      <c r="AC1162" s="24">
        <f t="shared" ca="1" si="37"/>
        <v>106.20420042824117</v>
      </c>
      <c r="AD1162" s="25" t="str">
        <f t="shared" ca="1" si="38"/>
        <v>&gt;60 dias</v>
      </c>
      <c r="AE1162" s="25">
        <f>MONTH(Tabela1[[#This Row],[Criado em]])</f>
        <v>1</v>
      </c>
      <c r="AF1162" s="25">
        <f>YEAR(Tabela1[[#This Row],[Criado em]])</f>
        <v>2026</v>
      </c>
      <c r="AG1162" s="25">
        <f>COUNTIFS(Tabela1[Mês],Tabela1[[#This Row],[Mês]])</f>
        <v>222</v>
      </c>
      <c r="AH1162" s="25">
        <f>COUNTIFS(Tabela1[Mês],Tabela1[[#This Row],[Mês]],Tabela1[Fase atual],"Recebido")</f>
        <v>174</v>
      </c>
      <c r="AI1162" s="26">
        <f>Tabela1[[#This Row],[Recebido_ Mes]]/Tabela1[[#This Row],[Total_Mes]]</f>
        <v>0.78378378378378377</v>
      </c>
      <c r="AJ1162" s="19">
        <f>COUNTIFS(Tabela1[Fase atual],"Recebido",Tabela1[Mês],Tabela1[[#This Row],[Mês]],Tabela1[Ano],Tabela1[[#This Row],[Ano]])/COUNTIF(Tabela1[Mês],Tabela1[[#This Row],[Mês]])</f>
        <v>0.78378378378378377</v>
      </c>
      <c r="AK1162" s="20">
        <f>100%</f>
        <v>1</v>
      </c>
    </row>
    <row r="1163" spans="1:37" ht="18" customHeight="1" x14ac:dyDescent="0.25">
      <c r="A1163">
        <v>1193297567</v>
      </c>
      <c r="B1163" t="s">
        <v>408</v>
      </c>
      <c r="C1163" t="s">
        <v>1836</v>
      </c>
      <c r="D1163" t="s">
        <v>37</v>
      </c>
      <c r="E1163" t="s">
        <v>31</v>
      </c>
      <c r="F1163" s="2">
        <v>45880.850569652772</v>
      </c>
      <c r="AC1163" s="24">
        <f t="shared" ca="1" si="37"/>
        <v>253.14943034722819</v>
      </c>
      <c r="AD1163" s="25" t="str">
        <f t="shared" ca="1" si="38"/>
        <v>&gt;60 dias</v>
      </c>
      <c r="AE1163" s="25">
        <f>MONTH(Tabela1[[#This Row],[Criado em]])</f>
        <v>8</v>
      </c>
      <c r="AF1163" s="25">
        <f>YEAR(Tabela1[[#This Row],[Criado em]])</f>
        <v>2025</v>
      </c>
      <c r="AG1163" s="25">
        <f>COUNTIFS(Tabela1[Mês],Tabela1[[#This Row],[Mês]])</f>
        <v>146</v>
      </c>
      <c r="AH1163" s="25">
        <f>COUNTIFS(Tabela1[Mês],Tabela1[[#This Row],[Mês]],Tabela1[Fase atual],"Recebido")</f>
        <v>115</v>
      </c>
      <c r="AI1163" s="26">
        <f>Tabela1[[#This Row],[Recebido_ Mes]]/Tabela1[[#This Row],[Total_Mes]]</f>
        <v>0.78767123287671237</v>
      </c>
      <c r="AJ1163" s="19">
        <f>COUNTIFS(Tabela1[Fase atual],"Recebido",Tabela1[Mês],Tabela1[[#This Row],[Mês]],Tabela1[Ano],Tabela1[[#This Row],[Ano]])/COUNTIF(Tabela1[Mês],Tabela1[[#This Row],[Mês]])</f>
        <v>0.78767123287671237</v>
      </c>
      <c r="AK1163" s="20">
        <f>100%</f>
        <v>1</v>
      </c>
    </row>
    <row r="1164" spans="1:37" ht="18" customHeight="1" x14ac:dyDescent="0.25">
      <c r="A1164">
        <v>1263585521</v>
      </c>
      <c r="B1164" t="s">
        <v>408</v>
      </c>
      <c r="C1164" t="s">
        <v>500</v>
      </c>
      <c r="D1164" t="s">
        <v>37</v>
      </c>
      <c r="E1164" t="s">
        <v>31</v>
      </c>
      <c r="F1164" s="2">
        <v>45994.920553356482</v>
      </c>
      <c r="AC1164" s="24">
        <f t="shared" ca="1" si="37"/>
        <v>139.07944664351817</v>
      </c>
      <c r="AD1164" s="25" t="str">
        <f t="shared" ca="1" si="38"/>
        <v>&gt;60 dias</v>
      </c>
      <c r="AE1164" s="25">
        <f>MONTH(Tabela1[[#This Row],[Criado em]])</f>
        <v>12</v>
      </c>
      <c r="AF1164" s="25">
        <f>YEAR(Tabela1[[#This Row],[Criado em]])</f>
        <v>2025</v>
      </c>
      <c r="AG1164" s="25">
        <f>COUNTIFS(Tabela1[Mês],Tabela1[[#This Row],[Mês]])</f>
        <v>207</v>
      </c>
      <c r="AH1164" s="25">
        <f>COUNTIFS(Tabela1[Mês],Tabela1[[#This Row],[Mês]],Tabela1[Fase atual],"Recebido")</f>
        <v>155</v>
      </c>
      <c r="AI1164" s="26">
        <f>Tabela1[[#This Row],[Recebido_ Mes]]/Tabela1[[#This Row],[Total_Mes]]</f>
        <v>0.74879227053140096</v>
      </c>
      <c r="AJ1164" s="19">
        <f>COUNTIFS(Tabela1[Fase atual],"Recebido",Tabela1[Mês],Tabela1[[#This Row],[Mês]],Tabela1[Ano],Tabela1[[#This Row],[Ano]])/COUNTIF(Tabela1[Mês],Tabela1[[#This Row],[Mês]])</f>
        <v>0.74879227053140096</v>
      </c>
      <c r="AK1164" s="20">
        <f>100%</f>
        <v>1</v>
      </c>
    </row>
    <row r="1165" spans="1:37" ht="18" customHeight="1" x14ac:dyDescent="0.25">
      <c r="A1165">
        <v>1304611824</v>
      </c>
      <c r="B1165" t="s">
        <v>408</v>
      </c>
      <c r="C1165" t="s">
        <v>500</v>
      </c>
      <c r="D1165" t="s">
        <v>2179</v>
      </c>
      <c r="E1165" t="s">
        <v>31</v>
      </c>
      <c r="F1165" s="2">
        <v>46079.628533298623</v>
      </c>
      <c r="AC1165" s="24">
        <f t="shared" ca="1" si="37"/>
        <v>54.371466701377358</v>
      </c>
      <c r="AD1165" s="25" t="str">
        <f t="shared" ca="1" si="38"/>
        <v>31-60 dias</v>
      </c>
      <c r="AE1165" s="25">
        <f>MONTH(Tabela1[[#This Row],[Criado em]])</f>
        <v>2</v>
      </c>
      <c r="AF1165" s="25">
        <f>YEAR(Tabela1[[#This Row],[Criado em]])</f>
        <v>2026</v>
      </c>
      <c r="AG1165" s="25">
        <f>COUNTIFS(Tabela1[Mês],Tabela1[[#This Row],[Mês]])</f>
        <v>197</v>
      </c>
      <c r="AH1165" s="25">
        <f>COUNTIFS(Tabela1[Mês],Tabela1[[#This Row],[Mês]],Tabela1[Fase atual],"Recebido")</f>
        <v>124</v>
      </c>
      <c r="AI1165" s="26">
        <f>Tabela1[[#This Row],[Recebido_ Mes]]/Tabela1[[#This Row],[Total_Mes]]</f>
        <v>0.62944162436548223</v>
      </c>
      <c r="AJ1165" s="19">
        <f>COUNTIFS(Tabela1[Fase atual],"Recebido",Tabela1[Mês],Tabela1[[#This Row],[Mês]],Tabela1[Ano],Tabela1[[#This Row],[Ano]])/COUNTIF(Tabela1[Mês],Tabela1[[#This Row],[Mês]])</f>
        <v>0.62944162436548223</v>
      </c>
      <c r="AK1165" s="20">
        <f>100%</f>
        <v>1</v>
      </c>
    </row>
    <row r="1166" spans="1:37" ht="18" customHeight="1" x14ac:dyDescent="0.25">
      <c r="A1166">
        <v>1282984151</v>
      </c>
      <c r="B1166" t="s">
        <v>408</v>
      </c>
      <c r="C1166" t="s">
        <v>501</v>
      </c>
      <c r="D1166" t="s">
        <v>37</v>
      </c>
      <c r="E1166" t="s">
        <v>31</v>
      </c>
      <c r="F1166" s="2">
        <v>46038.797147743047</v>
      </c>
      <c r="AC1166" s="24">
        <f t="shared" ca="1" si="37"/>
        <v>95.20285225695261</v>
      </c>
      <c r="AD1166" s="25" t="str">
        <f t="shared" ca="1" si="38"/>
        <v>&gt;60 dias</v>
      </c>
      <c r="AE1166" s="25">
        <f>MONTH(Tabela1[[#This Row],[Criado em]])</f>
        <v>1</v>
      </c>
      <c r="AF1166" s="25">
        <f>YEAR(Tabela1[[#This Row],[Criado em]])</f>
        <v>2026</v>
      </c>
      <c r="AG1166" s="25">
        <f>COUNTIFS(Tabela1[Mês],Tabela1[[#This Row],[Mês]])</f>
        <v>222</v>
      </c>
      <c r="AH1166" s="25">
        <f>COUNTIFS(Tabela1[Mês],Tabela1[[#This Row],[Mês]],Tabela1[Fase atual],"Recebido")</f>
        <v>174</v>
      </c>
      <c r="AI1166" s="26">
        <f>Tabela1[[#This Row],[Recebido_ Mes]]/Tabela1[[#This Row],[Total_Mes]]</f>
        <v>0.78378378378378377</v>
      </c>
      <c r="AJ1166" s="19">
        <f>COUNTIFS(Tabela1[Fase atual],"Recebido",Tabela1[Mês],Tabela1[[#This Row],[Mês]],Tabela1[Ano],Tabela1[[#This Row],[Ano]])/COUNTIF(Tabela1[Mês],Tabela1[[#This Row],[Mês]])</f>
        <v>0.78378378378378377</v>
      </c>
      <c r="AK1166" s="20">
        <f>100%</f>
        <v>1</v>
      </c>
    </row>
    <row r="1167" spans="1:37" ht="18" customHeight="1" x14ac:dyDescent="0.25">
      <c r="A1167">
        <v>1250383604</v>
      </c>
      <c r="B1167" t="s">
        <v>408</v>
      </c>
      <c r="C1167" t="s">
        <v>1837</v>
      </c>
      <c r="D1167" t="s">
        <v>34</v>
      </c>
      <c r="E1167" t="s">
        <v>31</v>
      </c>
      <c r="F1167" s="2">
        <v>45966.79485622685</v>
      </c>
      <c r="AC1167" s="24">
        <f t="shared" ca="1" si="37"/>
        <v>167.20514377314976</v>
      </c>
      <c r="AD1167" s="25" t="str">
        <f t="shared" ca="1" si="38"/>
        <v>&gt;60 dias</v>
      </c>
      <c r="AE1167" s="25">
        <f>MONTH(Tabela1[[#This Row],[Criado em]])</f>
        <v>11</v>
      </c>
      <c r="AF1167" s="25">
        <f>YEAR(Tabela1[[#This Row],[Criado em]])</f>
        <v>2025</v>
      </c>
      <c r="AG1167" s="25">
        <f>COUNTIFS(Tabela1[Mês],Tabela1[[#This Row],[Mês]])</f>
        <v>130</v>
      </c>
      <c r="AH1167" s="25">
        <f>COUNTIFS(Tabela1[Mês],Tabela1[[#This Row],[Mês]],Tabela1[Fase atual],"Recebido")</f>
        <v>100</v>
      </c>
      <c r="AI1167" s="26">
        <f>Tabela1[[#This Row],[Recebido_ Mes]]/Tabela1[[#This Row],[Total_Mes]]</f>
        <v>0.76923076923076927</v>
      </c>
      <c r="AJ1167" s="19">
        <f>COUNTIFS(Tabela1[Fase atual],"Recebido",Tabela1[Mês],Tabela1[[#This Row],[Mês]],Tabela1[Ano],Tabela1[[#This Row],[Ano]])/COUNTIF(Tabela1[Mês],Tabela1[[#This Row],[Mês]])</f>
        <v>0.76923076923076927</v>
      </c>
      <c r="AK1167" s="20">
        <f>100%</f>
        <v>1</v>
      </c>
    </row>
    <row r="1168" spans="1:37" ht="18" customHeight="1" x14ac:dyDescent="0.25">
      <c r="A1168">
        <v>1270278364</v>
      </c>
      <c r="B1168" t="s">
        <v>1838</v>
      </c>
      <c r="C1168" t="s">
        <v>1839</v>
      </c>
      <c r="D1168" t="s">
        <v>37</v>
      </c>
      <c r="E1168" t="s">
        <v>31</v>
      </c>
      <c r="F1168" s="2">
        <v>46009.92180887732</v>
      </c>
      <c r="AC1168" s="24">
        <f t="shared" ca="1" si="37"/>
        <v>124.07819112268044</v>
      </c>
      <c r="AD1168" s="25" t="str">
        <f t="shared" ca="1" si="38"/>
        <v>&gt;60 dias</v>
      </c>
      <c r="AE1168" s="25">
        <f>MONTH(Tabela1[[#This Row],[Criado em]])</f>
        <v>12</v>
      </c>
      <c r="AF1168" s="25">
        <f>YEAR(Tabela1[[#This Row],[Criado em]])</f>
        <v>2025</v>
      </c>
      <c r="AG1168" s="25">
        <f>COUNTIFS(Tabela1[Mês],Tabela1[[#This Row],[Mês]])</f>
        <v>207</v>
      </c>
      <c r="AH1168" s="25">
        <f>COUNTIFS(Tabela1[Mês],Tabela1[[#This Row],[Mês]],Tabela1[Fase atual],"Recebido")</f>
        <v>155</v>
      </c>
      <c r="AI1168" s="26">
        <f>Tabela1[[#This Row],[Recebido_ Mes]]/Tabela1[[#This Row],[Total_Mes]]</f>
        <v>0.74879227053140096</v>
      </c>
      <c r="AJ1168" s="19">
        <f>COUNTIFS(Tabela1[Fase atual],"Recebido",Tabela1[Mês],Tabela1[[#This Row],[Mês]],Tabela1[Ano],Tabela1[[#This Row],[Ano]])/COUNTIF(Tabela1[Mês],Tabela1[[#This Row],[Mês]])</f>
        <v>0.74879227053140096</v>
      </c>
      <c r="AK1168" s="20">
        <f>100%</f>
        <v>1</v>
      </c>
    </row>
    <row r="1169" spans="1:37" ht="18" customHeight="1" x14ac:dyDescent="0.25">
      <c r="A1169">
        <v>1299908183</v>
      </c>
      <c r="B1169" t="s">
        <v>430</v>
      </c>
      <c r="C1169" t="s">
        <v>502</v>
      </c>
      <c r="D1169" t="s">
        <v>40</v>
      </c>
      <c r="E1169" t="s">
        <v>31</v>
      </c>
      <c r="F1169" s="2">
        <v>46072.91968068287</v>
      </c>
      <c r="AC1169" s="24">
        <f t="shared" ca="1" si="37"/>
        <v>61.080319317130488</v>
      </c>
      <c r="AD1169" s="25" t="str">
        <f t="shared" ca="1" si="38"/>
        <v>&gt;60 dias</v>
      </c>
      <c r="AE1169" s="25">
        <f>MONTH(Tabela1[[#This Row],[Criado em]])</f>
        <v>2</v>
      </c>
      <c r="AF1169" s="25">
        <f>YEAR(Tabela1[[#This Row],[Criado em]])</f>
        <v>2026</v>
      </c>
      <c r="AG1169" s="25">
        <f>COUNTIFS(Tabela1[Mês],Tabela1[[#This Row],[Mês]])</f>
        <v>197</v>
      </c>
      <c r="AH1169" s="25">
        <f>COUNTIFS(Tabela1[Mês],Tabela1[[#This Row],[Mês]],Tabela1[Fase atual],"Recebido")</f>
        <v>124</v>
      </c>
      <c r="AI1169" s="26">
        <f>Tabela1[[#This Row],[Recebido_ Mes]]/Tabela1[[#This Row],[Total_Mes]]</f>
        <v>0.62944162436548223</v>
      </c>
      <c r="AJ1169" s="19">
        <f>COUNTIFS(Tabela1[Fase atual],"Recebido",Tabela1[Mês],Tabela1[[#This Row],[Mês]],Tabela1[Ano],Tabela1[[#This Row],[Ano]])/COUNTIF(Tabela1[Mês],Tabela1[[#This Row],[Mês]])</f>
        <v>0.62944162436548223</v>
      </c>
      <c r="AK1169" s="20">
        <f>100%</f>
        <v>1</v>
      </c>
    </row>
    <row r="1170" spans="1:37" ht="18" customHeight="1" x14ac:dyDescent="0.25">
      <c r="A1170">
        <v>1232429617</v>
      </c>
      <c r="B1170" t="s">
        <v>1288</v>
      </c>
      <c r="C1170" t="s">
        <v>1840</v>
      </c>
      <c r="D1170" t="s">
        <v>37</v>
      </c>
      <c r="E1170" t="s">
        <v>31</v>
      </c>
      <c r="F1170" s="2">
        <v>45940.849804317128</v>
      </c>
      <c r="AC1170" s="24">
        <f t="shared" ca="1" si="37"/>
        <v>193.15019568287244</v>
      </c>
      <c r="AD1170" s="25" t="str">
        <f t="shared" ca="1" si="38"/>
        <v>&gt;60 dias</v>
      </c>
      <c r="AE1170" s="25">
        <f>MONTH(Tabela1[[#This Row],[Criado em]])</f>
        <v>10</v>
      </c>
      <c r="AF1170" s="25">
        <f>YEAR(Tabela1[[#This Row],[Criado em]])</f>
        <v>2025</v>
      </c>
      <c r="AG1170" s="25">
        <f>COUNTIFS(Tabela1[Mês],Tabela1[[#This Row],[Mês]])</f>
        <v>196</v>
      </c>
      <c r="AH1170" s="25">
        <f>COUNTIFS(Tabela1[Mês],Tabela1[[#This Row],[Mês]],Tabela1[Fase atual],"Recebido")</f>
        <v>138</v>
      </c>
      <c r="AI1170" s="26">
        <f>Tabela1[[#This Row],[Recebido_ Mes]]/Tabela1[[#This Row],[Total_Mes]]</f>
        <v>0.70408163265306123</v>
      </c>
      <c r="AJ1170" s="19">
        <f>COUNTIFS(Tabela1[Fase atual],"Recebido",Tabela1[Mês],Tabela1[[#This Row],[Mês]],Tabela1[Ano],Tabela1[[#This Row],[Ano]])/COUNTIF(Tabela1[Mês],Tabela1[[#This Row],[Mês]])</f>
        <v>0.70408163265306123</v>
      </c>
      <c r="AK1170" s="20">
        <f>100%</f>
        <v>1</v>
      </c>
    </row>
    <row r="1171" spans="1:37" ht="18" customHeight="1" x14ac:dyDescent="0.25">
      <c r="A1171">
        <v>1273327221</v>
      </c>
      <c r="B1171" t="s">
        <v>1841</v>
      </c>
      <c r="C1171" t="s">
        <v>1842</v>
      </c>
      <c r="D1171" t="s">
        <v>37</v>
      </c>
      <c r="E1171" t="s">
        <v>31</v>
      </c>
      <c r="F1171" s="2">
        <v>46017.797131944448</v>
      </c>
      <c r="AC1171" s="24">
        <f t="shared" ca="1" si="37"/>
        <v>116.20286805555224</v>
      </c>
      <c r="AD1171" s="25" t="str">
        <f t="shared" ca="1" si="38"/>
        <v>&gt;60 dias</v>
      </c>
      <c r="AE1171" s="25">
        <f>MONTH(Tabela1[[#This Row],[Criado em]])</f>
        <v>12</v>
      </c>
      <c r="AF1171" s="25">
        <f>YEAR(Tabela1[[#This Row],[Criado em]])</f>
        <v>2025</v>
      </c>
      <c r="AG1171" s="25">
        <f>COUNTIFS(Tabela1[Mês],Tabela1[[#This Row],[Mês]])</f>
        <v>207</v>
      </c>
      <c r="AH1171" s="25">
        <f>COUNTIFS(Tabela1[Mês],Tabela1[[#This Row],[Mês]],Tabela1[Fase atual],"Recebido")</f>
        <v>155</v>
      </c>
      <c r="AI1171" s="26">
        <f>Tabela1[[#This Row],[Recebido_ Mes]]/Tabela1[[#This Row],[Total_Mes]]</f>
        <v>0.74879227053140096</v>
      </c>
      <c r="AJ1171" s="19">
        <f>COUNTIFS(Tabela1[Fase atual],"Recebido",Tabela1[Mês],Tabela1[[#This Row],[Mês]],Tabela1[Ano],Tabela1[[#This Row],[Ano]])/COUNTIF(Tabela1[Mês],Tabela1[[#This Row],[Mês]])</f>
        <v>0.74879227053140096</v>
      </c>
      <c r="AK1171" s="20">
        <f>100%</f>
        <v>1</v>
      </c>
    </row>
    <row r="1172" spans="1:37" ht="18" customHeight="1" x14ac:dyDescent="0.25">
      <c r="A1172">
        <v>1226768974</v>
      </c>
      <c r="B1172" t="s">
        <v>503</v>
      </c>
      <c r="C1172" t="s">
        <v>1843</v>
      </c>
      <c r="D1172" t="s">
        <v>37</v>
      </c>
      <c r="E1172" t="s">
        <v>31</v>
      </c>
      <c r="F1172" s="2">
        <v>45933.641892094907</v>
      </c>
      <c r="AC1172" s="24">
        <f t="shared" ca="1" si="37"/>
        <v>200.35810790509277</v>
      </c>
      <c r="AD1172" s="25" t="str">
        <f t="shared" ca="1" si="38"/>
        <v>&gt;60 dias</v>
      </c>
      <c r="AE1172" s="25">
        <f>MONTH(Tabela1[[#This Row],[Criado em]])</f>
        <v>10</v>
      </c>
      <c r="AF1172" s="25">
        <f>YEAR(Tabela1[[#This Row],[Criado em]])</f>
        <v>2025</v>
      </c>
      <c r="AG1172" s="25">
        <f>COUNTIFS(Tabela1[Mês],Tabela1[[#This Row],[Mês]])</f>
        <v>196</v>
      </c>
      <c r="AH1172" s="25">
        <f>COUNTIFS(Tabela1[Mês],Tabela1[[#This Row],[Mês]],Tabela1[Fase atual],"Recebido")</f>
        <v>138</v>
      </c>
      <c r="AI1172" s="26">
        <f>Tabela1[[#This Row],[Recebido_ Mes]]/Tabela1[[#This Row],[Total_Mes]]</f>
        <v>0.70408163265306123</v>
      </c>
      <c r="AJ1172" s="19">
        <f>COUNTIFS(Tabela1[Fase atual],"Recebido",Tabela1[Mês],Tabela1[[#This Row],[Mês]],Tabela1[Ano],Tabela1[[#This Row],[Ano]])/COUNTIF(Tabela1[Mês],Tabela1[[#This Row],[Mês]])</f>
        <v>0.70408163265306123</v>
      </c>
      <c r="AK1172" s="20">
        <f>100%</f>
        <v>1</v>
      </c>
    </row>
    <row r="1173" spans="1:37" ht="18" customHeight="1" x14ac:dyDescent="0.25">
      <c r="A1173">
        <v>1215956291</v>
      </c>
      <c r="B1173" t="s">
        <v>503</v>
      </c>
      <c r="C1173" t="s">
        <v>1843</v>
      </c>
      <c r="D1173" t="s">
        <v>37</v>
      </c>
      <c r="E1173" t="s">
        <v>31</v>
      </c>
      <c r="F1173" s="2">
        <v>45917.643264062499</v>
      </c>
      <c r="AC1173" s="24">
        <f t="shared" ca="1" si="37"/>
        <v>216.35673593750107</v>
      </c>
      <c r="AD1173" s="25" t="str">
        <f t="shared" ca="1" si="38"/>
        <v>&gt;60 dias</v>
      </c>
      <c r="AE1173" s="25">
        <f>MONTH(Tabela1[[#This Row],[Criado em]])</f>
        <v>9</v>
      </c>
      <c r="AF1173" s="25">
        <f>YEAR(Tabela1[[#This Row],[Criado em]])</f>
        <v>2025</v>
      </c>
      <c r="AG1173" s="25">
        <f>COUNTIFS(Tabela1[Mês],Tabela1[[#This Row],[Mês]])</f>
        <v>197</v>
      </c>
      <c r="AH1173" s="25">
        <f>COUNTIFS(Tabela1[Mês],Tabela1[[#This Row],[Mês]],Tabela1[Fase atual],"Recebido")</f>
        <v>152</v>
      </c>
      <c r="AI1173" s="26">
        <f>Tabela1[[#This Row],[Recebido_ Mes]]/Tabela1[[#This Row],[Total_Mes]]</f>
        <v>0.77157360406091369</v>
      </c>
      <c r="AJ1173" s="19">
        <f>COUNTIFS(Tabela1[Fase atual],"Recebido",Tabela1[Mês],Tabela1[[#This Row],[Mês]],Tabela1[Ano],Tabela1[[#This Row],[Ano]])/COUNTIF(Tabela1[Mês],Tabela1[[#This Row],[Mês]])</f>
        <v>0.77157360406091369</v>
      </c>
      <c r="AK1173" s="20">
        <f>100%</f>
        <v>1</v>
      </c>
    </row>
    <row r="1174" spans="1:37" ht="18" customHeight="1" x14ac:dyDescent="0.25">
      <c r="A1174">
        <v>1247453904</v>
      </c>
      <c r="B1174" t="s">
        <v>503</v>
      </c>
      <c r="C1174" t="s">
        <v>504</v>
      </c>
      <c r="D1174" t="s">
        <v>37</v>
      </c>
      <c r="E1174" t="s">
        <v>31</v>
      </c>
      <c r="F1174" s="2">
        <v>45960.628877557872</v>
      </c>
      <c r="AC1174" s="24">
        <f t="shared" ca="1" si="37"/>
        <v>173.37112244212767</v>
      </c>
      <c r="AD1174" s="25" t="str">
        <f t="shared" ca="1" si="38"/>
        <v>&gt;60 dias</v>
      </c>
      <c r="AE1174" s="25">
        <f>MONTH(Tabela1[[#This Row],[Criado em]])</f>
        <v>10</v>
      </c>
      <c r="AF1174" s="25">
        <f>YEAR(Tabela1[[#This Row],[Criado em]])</f>
        <v>2025</v>
      </c>
      <c r="AG1174" s="25">
        <f>COUNTIFS(Tabela1[Mês],Tabela1[[#This Row],[Mês]])</f>
        <v>196</v>
      </c>
      <c r="AH1174" s="25">
        <f>COUNTIFS(Tabela1[Mês],Tabela1[[#This Row],[Mês]],Tabela1[Fase atual],"Recebido")</f>
        <v>138</v>
      </c>
      <c r="AI1174" s="26">
        <f>Tabela1[[#This Row],[Recebido_ Mes]]/Tabela1[[#This Row],[Total_Mes]]</f>
        <v>0.70408163265306123</v>
      </c>
      <c r="AJ1174" s="19">
        <f>COUNTIFS(Tabela1[Fase atual],"Recebido",Tabela1[Mês],Tabela1[[#This Row],[Mês]],Tabela1[Ano],Tabela1[[#This Row],[Ano]])/COUNTIF(Tabela1[Mês],Tabela1[[#This Row],[Mês]])</f>
        <v>0.70408163265306123</v>
      </c>
      <c r="AK1174" s="20">
        <f>100%</f>
        <v>1</v>
      </c>
    </row>
    <row r="1175" spans="1:37" ht="18" customHeight="1" x14ac:dyDescent="0.25">
      <c r="A1175">
        <v>1275237799</v>
      </c>
      <c r="B1175" t="s">
        <v>503</v>
      </c>
      <c r="C1175" t="s">
        <v>504</v>
      </c>
      <c r="D1175" t="s">
        <v>37</v>
      </c>
      <c r="E1175" t="s">
        <v>31</v>
      </c>
      <c r="F1175" s="2">
        <v>46022.629665983797</v>
      </c>
      <c r="AC1175" s="24">
        <f t="shared" ca="1" si="37"/>
        <v>111.37033401620283</v>
      </c>
      <c r="AD1175" s="25" t="str">
        <f t="shared" ca="1" si="38"/>
        <v>&gt;60 dias</v>
      </c>
      <c r="AE1175" s="25">
        <f>MONTH(Tabela1[[#This Row],[Criado em]])</f>
        <v>12</v>
      </c>
      <c r="AF1175" s="25">
        <f>YEAR(Tabela1[[#This Row],[Criado em]])</f>
        <v>2025</v>
      </c>
      <c r="AG1175" s="25">
        <f>COUNTIFS(Tabela1[Mês],Tabela1[[#This Row],[Mês]])</f>
        <v>207</v>
      </c>
      <c r="AH1175" s="25">
        <f>COUNTIFS(Tabela1[Mês],Tabela1[[#This Row],[Mês]],Tabela1[Fase atual],"Recebido")</f>
        <v>155</v>
      </c>
      <c r="AI1175" s="26">
        <f>Tabela1[[#This Row],[Recebido_ Mes]]/Tabela1[[#This Row],[Total_Mes]]</f>
        <v>0.74879227053140096</v>
      </c>
      <c r="AJ1175" s="19">
        <f>COUNTIFS(Tabela1[Fase atual],"Recebido",Tabela1[Mês],Tabela1[[#This Row],[Mês]],Tabela1[Ano],Tabela1[[#This Row],[Ano]])/COUNTIF(Tabela1[Mês],Tabela1[[#This Row],[Mês]])</f>
        <v>0.74879227053140096</v>
      </c>
      <c r="AK1175" s="20">
        <f>100%</f>
        <v>1</v>
      </c>
    </row>
    <row r="1176" spans="1:37" ht="18" customHeight="1" x14ac:dyDescent="0.25">
      <c r="A1176">
        <v>1284620059</v>
      </c>
      <c r="B1176" t="s">
        <v>503</v>
      </c>
      <c r="C1176" t="s">
        <v>504</v>
      </c>
      <c r="D1176" t="s">
        <v>37</v>
      </c>
      <c r="E1176" t="s">
        <v>31</v>
      </c>
      <c r="F1176" s="2">
        <v>46042.794870324069</v>
      </c>
      <c r="AC1176" s="24">
        <f t="shared" ca="1" si="37"/>
        <v>91.205129675930948</v>
      </c>
      <c r="AD1176" s="25" t="str">
        <f t="shared" ca="1" si="38"/>
        <v>&gt;60 dias</v>
      </c>
      <c r="AE1176" s="25">
        <f>MONTH(Tabela1[[#This Row],[Criado em]])</f>
        <v>1</v>
      </c>
      <c r="AF1176" s="25">
        <f>YEAR(Tabela1[[#This Row],[Criado em]])</f>
        <v>2026</v>
      </c>
      <c r="AG1176" s="25">
        <f>COUNTIFS(Tabela1[Mês],Tabela1[[#This Row],[Mês]])</f>
        <v>222</v>
      </c>
      <c r="AH1176" s="25">
        <f>COUNTIFS(Tabela1[Mês],Tabela1[[#This Row],[Mês]],Tabela1[Fase atual],"Recebido")</f>
        <v>174</v>
      </c>
      <c r="AI1176" s="26">
        <f>Tabela1[[#This Row],[Recebido_ Mes]]/Tabela1[[#This Row],[Total_Mes]]</f>
        <v>0.78378378378378377</v>
      </c>
      <c r="AJ1176" s="19">
        <f>COUNTIFS(Tabela1[Fase atual],"Recebido",Tabela1[Mês],Tabela1[[#This Row],[Mês]],Tabela1[Ano],Tabela1[[#This Row],[Ano]])/COUNTIF(Tabela1[Mês],Tabela1[[#This Row],[Mês]])</f>
        <v>0.78378378378378377</v>
      </c>
      <c r="AK1176" s="20">
        <f>100%</f>
        <v>1</v>
      </c>
    </row>
    <row r="1177" spans="1:37" ht="18" customHeight="1" x14ac:dyDescent="0.25">
      <c r="A1177">
        <v>1208156231</v>
      </c>
      <c r="B1177" t="s">
        <v>503</v>
      </c>
      <c r="C1177" t="s">
        <v>504</v>
      </c>
      <c r="D1177" t="s">
        <v>37</v>
      </c>
      <c r="E1177" t="s">
        <v>31</v>
      </c>
      <c r="F1177" s="2">
        <v>45904.643303333331</v>
      </c>
      <c r="AC1177" s="24">
        <f t="shared" ca="1" si="37"/>
        <v>229.35669666666945</v>
      </c>
      <c r="AD1177" s="25" t="str">
        <f t="shared" ca="1" si="38"/>
        <v>&gt;60 dias</v>
      </c>
      <c r="AE1177" s="25">
        <f>MONTH(Tabela1[[#This Row],[Criado em]])</f>
        <v>9</v>
      </c>
      <c r="AF1177" s="25">
        <f>YEAR(Tabela1[[#This Row],[Criado em]])</f>
        <v>2025</v>
      </c>
      <c r="AG1177" s="25">
        <f>COUNTIFS(Tabela1[Mês],Tabela1[[#This Row],[Mês]])</f>
        <v>197</v>
      </c>
      <c r="AH1177" s="25">
        <f>COUNTIFS(Tabela1[Mês],Tabela1[[#This Row],[Mês]],Tabela1[Fase atual],"Recebido")</f>
        <v>152</v>
      </c>
      <c r="AI1177" s="26">
        <f>Tabela1[[#This Row],[Recebido_ Mes]]/Tabela1[[#This Row],[Total_Mes]]</f>
        <v>0.77157360406091369</v>
      </c>
      <c r="AJ1177" s="19">
        <f>COUNTIFS(Tabela1[Fase atual],"Recebido",Tabela1[Mês],Tabela1[[#This Row],[Mês]],Tabela1[Ano],Tabela1[[#This Row],[Ano]])/COUNTIF(Tabela1[Mês],Tabela1[[#This Row],[Mês]])</f>
        <v>0.77157360406091369</v>
      </c>
      <c r="AK1177" s="20">
        <f>100%</f>
        <v>1</v>
      </c>
    </row>
    <row r="1178" spans="1:37" ht="18" customHeight="1" x14ac:dyDescent="0.25">
      <c r="A1178">
        <v>1262029476</v>
      </c>
      <c r="B1178" t="s">
        <v>1844</v>
      </c>
      <c r="C1178" t="s">
        <v>1845</v>
      </c>
      <c r="D1178" t="s">
        <v>37</v>
      </c>
      <c r="E1178" t="s">
        <v>31</v>
      </c>
      <c r="F1178" s="2">
        <v>45992.796550590283</v>
      </c>
      <c r="AC1178" s="24">
        <f t="shared" ca="1" si="37"/>
        <v>141.203449409717</v>
      </c>
      <c r="AD1178" s="25" t="str">
        <f t="shared" ca="1" si="38"/>
        <v>&gt;60 dias</v>
      </c>
      <c r="AE1178" s="25">
        <f>MONTH(Tabela1[[#This Row],[Criado em]])</f>
        <v>12</v>
      </c>
      <c r="AF1178" s="25">
        <f>YEAR(Tabela1[[#This Row],[Criado em]])</f>
        <v>2025</v>
      </c>
      <c r="AG1178" s="25">
        <f>COUNTIFS(Tabela1[Mês],Tabela1[[#This Row],[Mês]])</f>
        <v>207</v>
      </c>
      <c r="AH1178" s="25">
        <f>COUNTIFS(Tabela1[Mês],Tabela1[[#This Row],[Mês]],Tabela1[Fase atual],"Recebido")</f>
        <v>155</v>
      </c>
      <c r="AI1178" s="26">
        <f>Tabela1[[#This Row],[Recebido_ Mes]]/Tabela1[[#This Row],[Total_Mes]]</f>
        <v>0.74879227053140096</v>
      </c>
      <c r="AJ1178" s="19">
        <f>COUNTIFS(Tabela1[Fase atual],"Recebido",Tabela1[Mês],Tabela1[[#This Row],[Mês]],Tabela1[Ano],Tabela1[[#This Row],[Ano]])/COUNTIF(Tabela1[Mês],Tabela1[[#This Row],[Mês]])</f>
        <v>0.74879227053140096</v>
      </c>
      <c r="AK1178" s="20">
        <f>100%</f>
        <v>1</v>
      </c>
    </row>
    <row r="1179" spans="1:37" ht="18" customHeight="1" x14ac:dyDescent="0.25">
      <c r="A1179">
        <v>1180443048</v>
      </c>
      <c r="B1179" t="s">
        <v>1846</v>
      </c>
      <c r="C1179" t="s">
        <v>1847</v>
      </c>
      <c r="D1179" t="s">
        <v>37</v>
      </c>
      <c r="E1179" t="s">
        <v>31</v>
      </c>
      <c r="F1179" s="2">
        <v>45859.851685868052</v>
      </c>
      <c r="AC1179" s="24">
        <f t="shared" ca="1" si="37"/>
        <v>274.1483141319477</v>
      </c>
      <c r="AD1179" s="25" t="str">
        <f t="shared" ca="1" si="38"/>
        <v>&gt;60 dias</v>
      </c>
      <c r="AE1179" s="25">
        <f>MONTH(Tabela1[[#This Row],[Criado em]])</f>
        <v>7</v>
      </c>
      <c r="AF1179" s="25">
        <f>YEAR(Tabela1[[#This Row],[Criado em]])</f>
        <v>2025</v>
      </c>
      <c r="AG1179" s="25">
        <f>COUNTIFS(Tabela1[Mês],Tabela1[[#This Row],[Mês]])</f>
        <v>177</v>
      </c>
      <c r="AH1179" s="25">
        <f>COUNTIFS(Tabela1[Mês],Tabela1[[#This Row],[Mês]],Tabela1[Fase atual],"Recebido")</f>
        <v>130</v>
      </c>
      <c r="AI1179" s="26">
        <f>Tabela1[[#This Row],[Recebido_ Mes]]/Tabela1[[#This Row],[Total_Mes]]</f>
        <v>0.7344632768361582</v>
      </c>
      <c r="AJ1179" s="19">
        <f>COUNTIFS(Tabela1[Fase atual],"Recebido",Tabela1[Mês],Tabela1[[#This Row],[Mês]],Tabela1[Ano],Tabela1[[#This Row],[Ano]])/COUNTIF(Tabela1[Mês],Tabela1[[#This Row],[Mês]])</f>
        <v>0.7344632768361582</v>
      </c>
      <c r="AK1179" s="20">
        <f>100%</f>
        <v>1</v>
      </c>
    </row>
    <row r="1180" spans="1:37" ht="18" customHeight="1" x14ac:dyDescent="0.25">
      <c r="A1180">
        <v>1208156114</v>
      </c>
      <c r="B1180" t="s">
        <v>1848</v>
      </c>
      <c r="C1180" t="s">
        <v>1849</v>
      </c>
      <c r="D1180" t="s">
        <v>37</v>
      </c>
      <c r="E1180" t="s">
        <v>31</v>
      </c>
      <c r="F1180" s="2">
        <v>45904.64314699074</v>
      </c>
      <c r="AC1180" s="24">
        <f t="shared" ca="1" si="37"/>
        <v>229.35685300925979</v>
      </c>
      <c r="AD1180" s="25" t="str">
        <f t="shared" ca="1" si="38"/>
        <v>&gt;60 dias</v>
      </c>
      <c r="AE1180" s="25">
        <f>MONTH(Tabela1[[#This Row],[Criado em]])</f>
        <v>9</v>
      </c>
      <c r="AF1180" s="25">
        <f>YEAR(Tabela1[[#This Row],[Criado em]])</f>
        <v>2025</v>
      </c>
      <c r="AG1180" s="25">
        <f>COUNTIFS(Tabela1[Mês],Tabela1[[#This Row],[Mês]])</f>
        <v>197</v>
      </c>
      <c r="AH1180" s="25">
        <f>COUNTIFS(Tabela1[Mês],Tabela1[[#This Row],[Mês]],Tabela1[Fase atual],"Recebido")</f>
        <v>152</v>
      </c>
      <c r="AI1180" s="26">
        <f>Tabela1[[#This Row],[Recebido_ Mes]]/Tabela1[[#This Row],[Total_Mes]]</f>
        <v>0.77157360406091369</v>
      </c>
      <c r="AJ1180" s="19">
        <f>COUNTIFS(Tabela1[Fase atual],"Recebido",Tabela1[Mês],Tabela1[[#This Row],[Mês]],Tabela1[Ano],Tabela1[[#This Row],[Ano]])/COUNTIF(Tabela1[Mês],Tabela1[[#This Row],[Mês]])</f>
        <v>0.77157360406091369</v>
      </c>
      <c r="AK1180" s="20">
        <f>100%</f>
        <v>1</v>
      </c>
    </row>
    <row r="1181" spans="1:37" ht="18" customHeight="1" x14ac:dyDescent="0.25">
      <c r="A1181">
        <v>1308192233</v>
      </c>
      <c r="B1181" t="s">
        <v>2260</v>
      </c>
      <c r="C1181" t="s">
        <v>2261</v>
      </c>
      <c r="D1181" t="s">
        <v>2179</v>
      </c>
      <c r="E1181" t="s">
        <v>31</v>
      </c>
      <c r="F1181" s="2">
        <v>46084.62807392361</v>
      </c>
      <c r="AC1181" s="24">
        <f t="shared" ca="1" si="37"/>
        <v>49.371926076390082</v>
      </c>
      <c r="AD1181" s="25" t="str">
        <f t="shared" ca="1" si="38"/>
        <v>31-60 dias</v>
      </c>
      <c r="AE1181" s="25">
        <f>MONTH(Tabela1[[#This Row],[Criado em]])</f>
        <v>3</v>
      </c>
      <c r="AF1181" s="25">
        <f>YEAR(Tabela1[[#This Row],[Criado em]])</f>
        <v>2026</v>
      </c>
      <c r="AG1181" s="25">
        <f>COUNTIFS(Tabela1[Mês],Tabela1[[#This Row],[Mês]])</f>
        <v>62</v>
      </c>
      <c r="AH1181" s="25">
        <f>COUNTIFS(Tabela1[Mês],Tabela1[[#This Row],[Mês]],Tabela1[Fase atual],"Recebido")</f>
        <v>13</v>
      </c>
      <c r="AI1181" s="26">
        <f>Tabela1[[#This Row],[Recebido_ Mes]]/Tabela1[[#This Row],[Total_Mes]]</f>
        <v>0.20967741935483872</v>
      </c>
      <c r="AJ1181" s="19">
        <f>COUNTIFS(Tabela1[Fase atual],"Recebido",Tabela1[Mês],Tabela1[[#This Row],[Mês]],Tabela1[Ano],Tabela1[[#This Row],[Ano]])/COUNTIF(Tabela1[Mês],Tabela1[[#This Row],[Mês]])</f>
        <v>0.20967741935483872</v>
      </c>
      <c r="AK1181" s="20">
        <f>100%</f>
        <v>1</v>
      </c>
    </row>
    <row r="1182" spans="1:37" ht="18" customHeight="1" x14ac:dyDescent="0.25">
      <c r="A1182">
        <v>1307438477</v>
      </c>
      <c r="B1182" t="s">
        <v>1368</v>
      </c>
      <c r="C1182" t="s">
        <v>2262</v>
      </c>
      <c r="D1182" t="s">
        <v>2179</v>
      </c>
      <c r="E1182" t="s">
        <v>31</v>
      </c>
      <c r="F1182" s="2">
        <v>46083.91988429398</v>
      </c>
      <c r="AC1182" s="24">
        <f t="shared" ca="1" si="37"/>
        <v>50.080115706019569</v>
      </c>
      <c r="AD1182" s="25" t="str">
        <f t="shared" ca="1" si="38"/>
        <v>31-60 dias</v>
      </c>
      <c r="AE1182" s="25">
        <f>MONTH(Tabela1[[#This Row],[Criado em]])</f>
        <v>3</v>
      </c>
      <c r="AF1182" s="25">
        <f>YEAR(Tabela1[[#This Row],[Criado em]])</f>
        <v>2026</v>
      </c>
      <c r="AG1182" s="25">
        <f>COUNTIFS(Tabela1[Mês],Tabela1[[#This Row],[Mês]])</f>
        <v>62</v>
      </c>
      <c r="AH1182" s="25">
        <f>COUNTIFS(Tabela1[Mês],Tabela1[[#This Row],[Mês]],Tabela1[Fase atual],"Recebido")</f>
        <v>13</v>
      </c>
      <c r="AI1182" s="26">
        <f>Tabela1[[#This Row],[Recebido_ Mes]]/Tabela1[[#This Row],[Total_Mes]]</f>
        <v>0.20967741935483872</v>
      </c>
      <c r="AJ1182" s="19">
        <f>COUNTIFS(Tabela1[Fase atual],"Recebido",Tabela1[Mês],Tabela1[[#This Row],[Mês]],Tabela1[Ano],Tabela1[[#This Row],[Ano]])/COUNTIF(Tabela1[Mês],Tabela1[[#This Row],[Mês]])</f>
        <v>0.20967741935483872</v>
      </c>
      <c r="AK1182" s="20">
        <f>100%</f>
        <v>1</v>
      </c>
    </row>
    <row r="1183" spans="1:37" ht="18" customHeight="1" x14ac:dyDescent="0.25">
      <c r="A1183">
        <v>1257102167</v>
      </c>
      <c r="B1183" t="s">
        <v>1850</v>
      </c>
      <c r="C1183" t="s">
        <v>1851</v>
      </c>
      <c r="D1183" t="s">
        <v>37</v>
      </c>
      <c r="E1183" t="s">
        <v>31</v>
      </c>
      <c r="F1183" s="2">
        <v>45980.795259178238</v>
      </c>
      <c r="AC1183" s="24">
        <f t="shared" ca="1" si="37"/>
        <v>153.20474082176224</v>
      </c>
      <c r="AD1183" s="25" t="str">
        <f t="shared" ca="1" si="38"/>
        <v>&gt;60 dias</v>
      </c>
      <c r="AE1183" s="25">
        <f>MONTH(Tabela1[[#This Row],[Criado em]])</f>
        <v>11</v>
      </c>
      <c r="AF1183" s="25">
        <f>YEAR(Tabela1[[#This Row],[Criado em]])</f>
        <v>2025</v>
      </c>
      <c r="AG1183" s="25">
        <f>COUNTIFS(Tabela1[Mês],Tabela1[[#This Row],[Mês]])</f>
        <v>130</v>
      </c>
      <c r="AH1183" s="25">
        <f>COUNTIFS(Tabela1[Mês],Tabela1[[#This Row],[Mês]],Tabela1[Fase atual],"Recebido")</f>
        <v>100</v>
      </c>
      <c r="AI1183" s="26">
        <f>Tabela1[[#This Row],[Recebido_ Mes]]/Tabela1[[#This Row],[Total_Mes]]</f>
        <v>0.76923076923076927</v>
      </c>
      <c r="AJ1183" s="19">
        <f>COUNTIFS(Tabela1[Fase atual],"Recebido",Tabela1[Mês],Tabela1[[#This Row],[Mês]],Tabela1[Ano],Tabela1[[#This Row],[Ano]])/COUNTIF(Tabela1[Mês],Tabela1[[#This Row],[Mês]])</f>
        <v>0.76923076923076927</v>
      </c>
      <c r="AK1183" s="20">
        <f>100%</f>
        <v>1</v>
      </c>
    </row>
    <row r="1184" spans="1:37" ht="18" customHeight="1" x14ac:dyDescent="0.25">
      <c r="A1184">
        <v>1293338361</v>
      </c>
      <c r="B1184" t="s">
        <v>505</v>
      </c>
      <c r="C1184" t="s">
        <v>506</v>
      </c>
      <c r="D1184" t="s">
        <v>37</v>
      </c>
      <c r="E1184" t="s">
        <v>31</v>
      </c>
      <c r="F1184" s="2">
        <v>46057.795725625001</v>
      </c>
      <c r="AC1184" s="24">
        <f t="shared" ca="1" si="37"/>
        <v>76.204274374998931</v>
      </c>
      <c r="AD1184" s="25" t="str">
        <f t="shared" ca="1" si="38"/>
        <v>&gt;60 dias</v>
      </c>
      <c r="AE1184" s="25">
        <f>MONTH(Tabela1[[#This Row],[Criado em]])</f>
        <v>2</v>
      </c>
      <c r="AF1184" s="25">
        <f>YEAR(Tabela1[[#This Row],[Criado em]])</f>
        <v>2026</v>
      </c>
      <c r="AG1184" s="25">
        <f>COUNTIFS(Tabela1[Mês],Tabela1[[#This Row],[Mês]])</f>
        <v>197</v>
      </c>
      <c r="AH1184" s="25">
        <f>COUNTIFS(Tabela1[Mês],Tabela1[[#This Row],[Mês]],Tabela1[Fase atual],"Recebido")</f>
        <v>124</v>
      </c>
      <c r="AI1184" s="26">
        <f>Tabela1[[#This Row],[Recebido_ Mes]]/Tabela1[[#This Row],[Total_Mes]]</f>
        <v>0.62944162436548223</v>
      </c>
      <c r="AJ1184" s="19">
        <f>COUNTIFS(Tabela1[Fase atual],"Recebido",Tabela1[Mês],Tabela1[[#This Row],[Mês]],Tabela1[Ano],Tabela1[[#This Row],[Ano]])/COUNTIF(Tabela1[Mês],Tabela1[[#This Row],[Mês]])</f>
        <v>0.62944162436548223</v>
      </c>
      <c r="AK1184" s="20">
        <f>100%</f>
        <v>1</v>
      </c>
    </row>
    <row r="1185" spans="1:37" ht="18" customHeight="1" x14ac:dyDescent="0.25">
      <c r="A1185">
        <v>1210539528</v>
      </c>
      <c r="B1185" t="s">
        <v>1852</v>
      </c>
      <c r="C1185" t="s">
        <v>1853</v>
      </c>
      <c r="D1185" t="s">
        <v>37</v>
      </c>
      <c r="E1185" t="s">
        <v>31</v>
      </c>
      <c r="F1185" s="2">
        <v>45908.851210995374</v>
      </c>
      <c r="AC1185" s="24">
        <f t="shared" ca="1" si="37"/>
        <v>225.14878900462645</v>
      </c>
      <c r="AD1185" s="25" t="str">
        <f t="shared" ca="1" si="38"/>
        <v>&gt;60 dias</v>
      </c>
      <c r="AE1185" s="25">
        <f>MONTH(Tabela1[[#This Row],[Criado em]])</f>
        <v>9</v>
      </c>
      <c r="AF1185" s="25">
        <f>YEAR(Tabela1[[#This Row],[Criado em]])</f>
        <v>2025</v>
      </c>
      <c r="AG1185" s="25">
        <f>COUNTIFS(Tabela1[Mês],Tabela1[[#This Row],[Mês]])</f>
        <v>197</v>
      </c>
      <c r="AH1185" s="25">
        <f>COUNTIFS(Tabela1[Mês],Tabela1[[#This Row],[Mês]],Tabela1[Fase atual],"Recebido")</f>
        <v>152</v>
      </c>
      <c r="AI1185" s="26">
        <f>Tabela1[[#This Row],[Recebido_ Mes]]/Tabela1[[#This Row],[Total_Mes]]</f>
        <v>0.77157360406091369</v>
      </c>
      <c r="AJ1185" s="19">
        <f>COUNTIFS(Tabela1[Fase atual],"Recebido",Tabela1[Mês],Tabela1[[#This Row],[Mês]],Tabela1[Ano],Tabela1[[#This Row],[Ano]])/COUNTIF(Tabela1[Mês],Tabela1[[#This Row],[Mês]])</f>
        <v>0.77157360406091369</v>
      </c>
      <c r="AK1185" s="20">
        <f>100%</f>
        <v>1</v>
      </c>
    </row>
    <row r="1186" spans="1:37" ht="18" customHeight="1" x14ac:dyDescent="0.25">
      <c r="A1186">
        <v>1206100265</v>
      </c>
      <c r="B1186" t="s">
        <v>1852</v>
      </c>
      <c r="C1186" t="s">
        <v>1853</v>
      </c>
      <c r="D1186" t="s">
        <v>37</v>
      </c>
      <c r="E1186" t="s">
        <v>31</v>
      </c>
      <c r="F1186" s="2">
        <v>45901.850835451391</v>
      </c>
      <c r="AC1186" s="24">
        <f t="shared" ca="1" si="37"/>
        <v>232.14916454860941</v>
      </c>
      <c r="AD1186" s="25" t="str">
        <f t="shared" ca="1" si="38"/>
        <v>&gt;60 dias</v>
      </c>
      <c r="AE1186" s="25">
        <f>MONTH(Tabela1[[#This Row],[Criado em]])</f>
        <v>9</v>
      </c>
      <c r="AF1186" s="25">
        <f>YEAR(Tabela1[[#This Row],[Criado em]])</f>
        <v>2025</v>
      </c>
      <c r="AG1186" s="25">
        <f>COUNTIFS(Tabela1[Mês],Tabela1[[#This Row],[Mês]])</f>
        <v>197</v>
      </c>
      <c r="AH1186" s="25">
        <f>COUNTIFS(Tabela1[Mês],Tabela1[[#This Row],[Mês]],Tabela1[Fase atual],"Recebido")</f>
        <v>152</v>
      </c>
      <c r="AI1186" s="26">
        <f>Tabela1[[#This Row],[Recebido_ Mes]]/Tabela1[[#This Row],[Total_Mes]]</f>
        <v>0.77157360406091369</v>
      </c>
      <c r="AJ1186" s="19">
        <f>COUNTIFS(Tabela1[Fase atual],"Recebido",Tabela1[Mês],Tabela1[[#This Row],[Mês]],Tabela1[Ano],Tabela1[[#This Row],[Ano]])/COUNTIF(Tabela1[Mês],Tabela1[[#This Row],[Mês]])</f>
        <v>0.77157360406091369</v>
      </c>
      <c r="AK1186" s="20">
        <f>100%</f>
        <v>1</v>
      </c>
    </row>
    <row r="1187" spans="1:37" ht="18" customHeight="1" x14ac:dyDescent="0.25">
      <c r="A1187">
        <v>1182801896</v>
      </c>
      <c r="B1187" t="s">
        <v>1854</v>
      </c>
      <c r="C1187" t="s">
        <v>1855</v>
      </c>
      <c r="D1187" t="s">
        <v>40</v>
      </c>
      <c r="E1187" t="s">
        <v>31</v>
      </c>
      <c r="F1187" s="2">
        <v>45862.852624791667</v>
      </c>
      <c r="AC1187" s="24">
        <f t="shared" ca="1" si="37"/>
        <v>271.14737520833296</v>
      </c>
      <c r="AD1187" s="25" t="str">
        <f t="shared" ca="1" si="38"/>
        <v>&gt;60 dias</v>
      </c>
      <c r="AE1187" s="25">
        <f>MONTH(Tabela1[[#This Row],[Criado em]])</f>
        <v>7</v>
      </c>
      <c r="AF1187" s="25">
        <f>YEAR(Tabela1[[#This Row],[Criado em]])</f>
        <v>2025</v>
      </c>
      <c r="AG1187" s="25">
        <f>COUNTIFS(Tabela1[Mês],Tabela1[[#This Row],[Mês]])</f>
        <v>177</v>
      </c>
      <c r="AH1187" s="25">
        <f>COUNTIFS(Tabela1[Mês],Tabela1[[#This Row],[Mês]],Tabela1[Fase atual],"Recebido")</f>
        <v>130</v>
      </c>
      <c r="AI1187" s="26">
        <f>Tabela1[[#This Row],[Recebido_ Mes]]/Tabela1[[#This Row],[Total_Mes]]</f>
        <v>0.7344632768361582</v>
      </c>
      <c r="AJ1187" s="19">
        <f>COUNTIFS(Tabela1[Fase atual],"Recebido",Tabela1[Mês],Tabela1[[#This Row],[Mês]],Tabela1[Ano],Tabela1[[#This Row],[Ano]])/COUNTIF(Tabela1[Mês],Tabela1[[#This Row],[Mês]])</f>
        <v>0.7344632768361582</v>
      </c>
      <c r="AK1187" s="20">
        <f>100%</f>
        <v>1</v>
      </c>
    </row>
    <row r="1188" spans="1:37" ht="18" customHeight="1" x14ac:dyDescent="0.25">
      <c r="A1188">
        <v>1285964606</v>
      </c>
      <c r="B1188" t="s">
        <v>507</v>
      </c>
      <c r="C1188" t="s">
        <v>508</v>
      </c>
      <c r="D1188" t="s">
        <v>40</v>
      </c>
      <c r="E1188" t="s">
        <v>31</v>
      </c>
      <c r="F1188" s="2">
        <v>46044.796266770827</v>
      </c>
      <c r="AC1188" s="24">
        <f t="shared" ca="1" si="37"/>
        <v>89.20373322917294</v>
      </c>
      <c r="AD1188" s="25" t="str">
        <f t="shared" ca="1" si="38"/>
        <v>&gt;60 dias</v>
      </c>
      <c r="AE1188" s="25">
        <f>MONTH(Tabela1[[#This Row],[Criado em]])</f>
        <v>1</v>
      </c>
      <c r="AF1188" s="25">
        <f>YEAR(Tabela1[[#This Row],[Criado em]])</f>
        <v>2026</v>
      </c>
      <c r="AG1188" s="25">
        <f>COUNTIFS(Tabela1[Mês],Tabela1[[#This Row],[Mês]])</f>
        <v>222</v>
      </c>
      <c r="AH1188" s="25">
        <f>COUNTIFS(Tabela1[Mês],Tabela1[[#This Row],[Mês]],Tabela1[Fase atual],"Recebido")</f>
        <v>174</v>
      </c>
      <c r="AI1188" s="26">
        <f>Tabela1[[#This Row],[Recebido_ Mes]]/Tabela1[[#This Row],[Total_Mes]]</f>
        <v>0.78378378378378377</v>
      </c>
      <c r="AJ1188" s="19">
        <f>COUNTIFS(Tabela1[Fase atual],"Recebido",Tabela1[Mês],Tabela1[[#This Row],[Mês]],Tabela1[Ano],Tabela1[[#This Row],[Ano]])/COUNTIF(Tabela1[Mês],Tabela1[[#This Row],[Mês]])</f>
        <v>0.78378378378378377</v>
      </c>
      <c r="AK1188" s="20">
        <f>100%</f>
        <v>1</v>
      </c>
    </row>
    <row r="1189" spans="1:37" ht="18" customHeight="1" x14ac:dyDescent="0.25">
      <c r="A1189">
        <v>1231462995</v>
      </c>
      <c r="B1189" t="s">
        <v>1856</v>
      </c>
      <c r="C1189" t="s">
        <v>1857</v>
      </c>
      <c r="D1189" t="s">
        <v>37</v>
      </c>
      <c r="E1189" t="s">
        <v>31</v>
      </c>
      <c r="F1189" s="2">
        <v>45939.852432604173</v>
      </c>
      <c r="AC1189" s="24">
        <f t="shared" ca="1" si="37"/>
        <v>194.14756739582663</v>
      </c>
      <c r="AD1189" s="25" t="str">
        <f t="shared" ca="1" si="38"/>
        <v>&gt;60 dias</v>
      </c>
      <c r="AE1189" s="25">
        <f>MONTH(Tabela1[[#This Row],[Criado em]])</f>
        <v>10</v>
      </c>
      <c r="AF1189" s="25">
        <f>YEAR(Tabela1[[#This Row],[Criado em]])</f>
        <v>2025</v>
      </c>
      <c r="AG1189" s="25">
        <f>COUNTIFS(Tabela1[Mês],Tabela1[[#This Row],[Mês]])</f>
        <v>196</v>
      </c>
      <c r="AH1189" s="25">
        <f>COUNTIFS(Tabela1[Mês],Tabela1[[#This Row],[Mês]],Tabela1[Fase atual],"Recebido")</f>
        <v>138</v>
      </c>
      <c r="AI1189" s="26">
        <f>Tabela1[[#This Row],[Recebido_ Mes]]/Tabela1[[#This Row],[Total_Mes]]</f>
        <v>0.70408163265306123</v>
      </c>
      <c r="AJ1189" s="19">
        <f>COUNTIFS(Tabela1[Fase atual],"Recebido",Tabela1[Mês],Tabela1[[#This Row],[Mês]],Tabela1[Ano],Tabela1[[#This Row],[Ano]])/COUNTIF(Tabela1[Mês],Tabela1[[#This Row],[Mês]])</f>
        <v>0.70408163265306123</v>
      </c>
      <c r="AK1189" s="20">
        <f>100%</f>
        <v>1</v>
      </c>
    </row>
    <row r="1190" spans="1:37" ht="18" customHeight="1" x14ac:dyDescent="0.25">
      <c r="A1190">
        <v>1270931698</v>
      </c>
      <c r="B1190" t="s">
        <v>789</v>
      </c>
      <c r="C1190" t="s">
        <v>1858</v>
      </c>
      <c r="D1190" t="s">
        <v>202</v>
      </c>
      <c r="E1190" t="s">
        <v>441</v>
      </c>
      <c r="F1190" s="2">
        <v>46011.488968622682</v>
      </c>
      <c r="AC1190" s="24">
        <f t="shared" ca="1" si="37"/>
        <v>122.51103137731843</v>
      </c>
      <c r="AD1190" s="25" t="str">
        <f t="shared" ca="1" si="38"/>
        <v>&gt;60 dias</v>
      </c>
      <c r="AE1190" s="25">
        <f>MONTH(Tabela1[[#This Row],[Criado em]])</f>
        <v>12</v>
      </c>
      <c r="AF1190" s="25">
        <f>YEAR(Tabela1[[#This Row],[Criado em]])</f>
        <v>2025</v>
      </c>
      <c r="AG1190" s="25">
        <f>COUNTIFS(Tabela1[Mês],Tabela1[[#This Row],[Mês]])</f>
        <v>207</v>
      </c>
      <c r="AH1190" s="25">
        <f>COUNTIFS(Tabela1[Mês],Tabela1[[#This Row],[Mês]],Tabela1[Fase atual],"Recebido")</f>
        <v>155</v>
      </c>
      <c r="AI1190" s="26">
        <f>Tabela1[[#This Row],[Recebido_ Mes]]/Tabela1[[#This Row],[Total_Mes]]</f>
        <v>0.74879227053140096</v>
      </c>
      <c r="AJ1190" s="19">
        <f>COUNTIFS(Tabela1[Fase atual],"Recebido",Tabela1[Mês],Tabela1[[#This Row],[Mês]],Tabela1[Ano],Tabela1[[#This Row],[Ano]])/COUNTIF(Tabela1[Mês],Tabela1[[#This Row],[Mês]])</f>
        <v>0.74879227053140096</v>
      </c>
      <c r="AK1190" s="20">
        <f>100%</f>
        <v>1</v>
      </c>
    </row>
    <row r="1191" spans="1:37" ht="18" customHeight="1" x14ac:dyDescent="0.25">
      <c r="A1191">
        <v>1223940515</v>
      </c>
      <c r="B1191" t="s">
        <v>1859</v>
      </c>
      <c r="C1191" t="s">
        <v>1860</v>
      </c>
      <c r="D1191" t="s">
        <v>37</v>
      </c>
      <c r="E1191" t="s">
        <v>31</v>
      </c>
      <c r="F1191" s="2">
        <v>45929.850683379627</v>
      </c>
      <c r="AC1191" s="24">
        <f t="shared" ca="1" si="37"/>
        <v>204.1493166203727</v>
      </c>
      <c r="AD1191" s="25" t="str">
        <f t="shared" ca="1" si="38"/>
        <v>&gt;60 dias</v>
      </c>
      <c r="AE1191" s="25">
        <f>MONTH(Tabela1[[#This Row],[Criado em]])</f>
        <v>9</v>
      </c>
      <c r="AF1191" s="25">
        <f>YEAR(Tabela1[[#This Row],[Criado em]])</f>
        <v>2025</v>
      </c>
      <c r="AG1191" s="25">
        <f>COUNTIFS(Tabela1[Mês],Tabela1[[#This Row],[Mês]])</f>
        <v>197</v>
      </c>
      <c r="AH1191" s="25">
        <f>COUNTIFS(Tabela1[Mês],Tabela1[[#This Row],[Mês]],Tabela1[Fase atual],"Recebido")</f>
        <v>152</v>
      </c>
      <c r="AI1191" s="26">
        <f>Tabela1[[#This Row],[Recebido_ Mes]]/Tabela1[[#This Row],[Total_Mes]]</f>
        <v>0.77157360406091369</v>
      </c>
      <c r="AJ1191" s="19">
        <f>COUNTIFS(Tabela1[Fase atual],"Recebido",Tabela1[Mês],Tabela1[[#This Row],[Mês]],Tabela1[Ano],Tabela1[[#This Row],[Ano]])/COUNTIF(Tabela1[Mês],Tabela1[[#This Row],[Mês]])</f>
        <v>0.77157360406091369</v>
      </c>
      <c r="AK1191" s="20">
        <f>100%</f>
        <v>1</v>
      </c>
    </row>
    <row r="1192" spans="1:37" ht="18" customHeight="1" x14ac:dyDescent="0.25">
      <c r="A1192">
        <v>1302803532</v>
      </c>
      <c r="B1192" t="s">
        <v>509</v>
      </c>
      <c r="C1192" t="s">
        <v>510</v>
      </c>
      <c r="D1192" t="s">
        <v>37</v>
      </c>
      <c r="E1192" t="s">
        <v>31</v>
      </c>
      <c r="F1192" s="2">
        <v>46077.629517731482</v>
      </c>
      <c r="AC1192" s="24">
        <f t="shared" ca="1" si="37"/>
        <v>56.370482268517662</v>
      </c>
      <c r="AD1192" s="25" t="str">
        <f t="shared" ca="1" si="38"/>
        <v>31-60 dias</v>
      </c>
      <c r="AE1192" s="25">
        <f>MONTH(Tabela1[[#This Row],[Criado em]])</f>
        <v>2</v>
      </c>
      <c r="AF1192" s="25">
        <f>YEAR(Tabela1[[#This Row],[Criado em]])</f>
        <v>2026</v>
      </c>
      <c r="AG1192" s="25">
        <f>COUNTIFS(Tabela1[Mês],Tabela1[[#This Row],[Mês]])</f>
        <v>197</v>
      </c>
      <c r="AH1192" s="25">
        <f>COUNTIFS(Tabela1[Mês],Tabela1[[#This Row],[Mês]],Tabela1[Fase atual],"Recebido")</f>
        <v>124</v>
      </c>
      <c r="AI1192" s="26">
        <f>Tabela1[[#This Row],[Recebido_ Mes]]/Tabela1[[#This Row],[Total_Mes]]</f>
        <v>0.62944162436548223</v>
      </c>
      <c r="AJ1192" s="19">
        <f>COUNTIFS(Tabela1[Fase atual],"Recebido",Tabela1[Mês],Tabela1[[#This Row],[Mês]],Tabela1[Ano],Tabela1[[#This Row],[Ano]])/COUNTIF(Tabela1[Mês],Tabela1[[#This Row],[Mês]])</f>
        <v>0.62944162436548223</v>
      </c>
      <c r="AK1192" s="20">
        <f>100%</f>
        <v>1</v>
      </c>
    </row>
    <row r="1193" spans="1:37" ht="18" customHeight="1" x14ac:dyDescent="0.25">
      <c r="A1193">
        <v>1175984038</v>
      </c>
      <c r="B1193" t="s">
        <v>1450</v>
      </c>
      <c r="C1193" t="s">
        <v>1861</v>
      </c>
      <c r="D1193" t="s">
        <v>37</v>
      </c>
      <c r="E1193" t="s">
        <v>31</v>
      </c>
      <c r="F1193" s="2">
        <v>45852.641907152778</v>
      </c>
      <c r="AC1193" s="24">
        <f t="shared" ca="1" si="37"/>
        <v>281.358092847222</v>
      </c>
      <c r="AD1193" s="25" t="str">
        <f t="shared" ca="1" si="38"/>
        <v>&gt;60 dias</v>
      </c>
      <c r="AE1193" s="25">
        <f>MONTH(Tabela1[[#This Row],[Criado em]])</f>
        <v>7</v>
      </c>
      <c r="AF1193" s="25">
        <f>YEAR(Tabela1[[#This Row],[Criado em]])</f>
        <v>2025</v>
      </c>
      <c r="AG1193" s="25">
        <f>COUNTIFS(Tabela1[Mês],Tabela1[[#This Row],[Mês]])</f>
        <v>177</v>
      </c>
      <c r="AH1193" s="25">
        <f>COUNTIFS(Tabela1[Mês],Tabela1[[#This Row],[Mês]],Tabela1[Fase atual],"Recebido")</f>
        <v>130</v>
      </c>
      <c r="AI1193" s="26">
        <f>Tabela1[[#This Row],[Recebido_ Mes]]/Tabela1[[#This Row],[Total_Mes]]</f>
        <v>0.7344632768361582</v>
      </c>
      <c r="AJ1193" s="19">
        <f>COUNTIFS(Tabela1[Fase atual],"Recebido",Tabela1[Mês],Tabela1[[#This Row],[Mês]],Tabela1[Ano],Tabela1[[#This Row],[Ano]])/COUNTIF(Tabela1[Mês],Tabela1[[#This Row],[Mês]])</f>
        <v>0.7344632768361582</v>
      </c>
      <c r="AK1193" s="20">
        <f>100%</f>
        <v>1</v>
      </c>
    </row>
    <row r="1194" spans="1:37" ht="18" customHeight="1" x14ac:dyDescent="0.25">
      <c r="A1194">
        <v>1296845881</v>
      </c>
      <c r="B1194" t="s">
        <v>511</v>
      </c>
      <c r="C1194" t="s">
        <v>512</v>
      </c>
      <c r="D1194" t="s">
        <v>37</v>
      </c>
      <c r="E1194" t="s">
        <v>31</v>
      </c>
      <c r="F1194" s="2">
        <v>46065.580822245363</v>
      </c>
      <c r="AC1194" s="24">
        <f t="shared" ca="1" si="37"/>
        <v>68.419177754636621</v>
      </c>
      <c r="AD1194" s="25" t="str">
        <f t="shared" ca="1" si="38"/>
        <v>&gt;60 dias</v>
      </c>
      <c r="AE1194" s="25">
        <f>MONTH(Tabela1[[#This Row],[Criado em]])</f>
        <v>2</v>
      </c>
      <c r="AF1194" s="25">
        <f>YEAR(Tabela1[[#This Row],[Criado em]])</f>
        <v>2026</v>
      </c>
      <c r="AG1194" s="25">
        <f>COUNTIFS(Tabela1[Mês],Tabela1[[#This Row],[Mês]])</f>
        <v>197</v>
      </c>
      <c r="AH1194" s="25">
        <f>COUNTIFS(Tabela1[Mês],Tabela1[[#This Row],[Mês]],Tabela1[Fase atual],"Recebido")</f>
        <v>124</v>
      </c>
      <c r="AI1194" s="26">
        <f>Tabela1[[#This Row],[Recebido_ Mes]]/Tabela1[[#This Row],[Total_Mes]]</f>
        <v>0.62944162436548223</v>
      </c>
      <c r="AJ1194" s="19">
        <f>COUNTIFS(Tabela1[Fase atual],"Recebido",Tabela1[Mês],Tabela1[[#This Row],[Mês]],Tabela1[Ano],Tabela1[[#This Row],[Ano]])/COUNTIF(Tabela1[Mês],Tabela1[[#This Row],[Mês]])</f>
        <v>0.62944162436548223</v>
      </c>
      <c r="AK1194" s="20">
        <f>100%</f>
        <v>1</v>
      </c>
    </row>
    <row r="1195" spans="1:37" ht="18" customHeight="1" x14ac:dyDescent="0.25">
      <c r="A1195">
        <v>1298256978</v>
      </c>
      <c r="B1195" t="s">
        <v>511</v>
      </c>
      <c r="C1195" t="s">
        <v>512</v>
      </c>
      <c r="D1195" t="s">
        <v>37</v>
      </c>
      <c r="E1195" t="s">
        <v>31</v>
      </c>
      <c r="F1195" s="2">
        <v>46069.563019479167</v>
      </c>
      <c r="AC1195" s="24">
        <f t="shared" ca="1" si="37"/>
        <v>64.436980520833458</v>
      </c>
      <c r="AD1195" s="25" t="str">
        <f t="shared" ca="1" si="38"/>
        <v>&gt;60 dias</v>
      </c>
      <c r="AE1195" s="25">
        <f>MONTH(Tabela1[[#This Row],[Criado em]])</f>
        <v>2</v>
      </c>
      <c r="AF1195" s="25">
        <f>YEAR(Tabela1[[#This Row],[Criado em]])</f>
        <v>2026</v>
      </c>
      <c r="AG1195" s="25">
        <f>COUNTIFS(Tabela1[Mês],Tabela1[[#This Row],[Mês]])</f>
        <v>197</v>
      </c>
      <c r="AH1195" s="25">
        <f>COUNTIFS(Tabela1[Mês],Tabela1[[#This Row],[Mês]],Tabela1[Fase atual],"Recebido")</f>
        <v>124</v>
      </c>
      <c r="AI1195" s="26">
        <f>Tabela1[[#This Row],[Recebido_ Mes]]/Tabela1[[#This Row],[Total_Mes]]</f>
        <v>0.62944162436548223</v>
      </c>
      <c r="AJ1195" s="19">
        <f>COUNTIFS(Tabela1[Fase atual],"Recebido",Tabela1[Mês],Tabela1[[#This Row],[Mês]],Tabela1[Ano],Tabela1[[#This Row],[Ano]])/COUNTIF(Tabela1[Mês],Tabela1[[#This Row],[Mês]])</f>
        <v>0.62944162436548223</v>
      </c>
      <c r="AK1195" s="20">
        <f>100%</f>
        <v>1</v>
      </c>
    </row>
    <row r="1196" spans="1:37" ht="18" customHeight="1" x14ac:dyDescent="0.25">
      <c r="A1196">
        <v>1298255595</v>
      </c>
      <c r="B1196" t="s">
        <v>511</v>
      </c>
      <c r="C1196" t="s">
        <v>512</v>
      </c>
      <c r="D1196" t="s">
        <v>202</v>
      </c>
      <c r="E1196" t="s">
        <v>31</v>
      </c>
      <c r="F1196" s="2">
        <v>46069.559274189807</v>
      </c>
      <c r="AC1196" s="24">
        <f t="shared" ca="1" si="37"/>
        <v>64.440725810192816</v>
      </c>
      <c r="AD1196" s="25" t="str">
        <f t="shared" ca="1" si="38"/>
        <v>&gt;60 dias</v>
      </c>
      <c r="AE1196" s="25">
        <f>MONTH(Tabela1[[#This Row],[Criado em]])</f>
        <v>2</v>
      </c>
      <c r="AF1196" s="25">
        <f>YEAR(Tabela1[[#This Row],[Criado em]])</f>
        <v>2026</v>
      </c>
      <c r="AG1196" s="25">
        <f>COUNTIFS(Tabela1[Mês],Tabela1[[#This Row],[Mês]])</f>
        <v>197</v>
      </c>
      <c r="AH1196" s="25">
        <f>COUNTIFS(Tabela1[Mês],Tabela1[[#This Row],[Mês]],Tabela1[Fase atual],"Recebido")</f>
        <v>124</v>
      </c>
      <c r="AI1196" s="26">
        <f>Tabela1[[#This Row],[Recebido_ Mes]]/Tabela1[[#This Row],[Total_Mes]]</f>
        <v>0.62944162436548223</v>
      </c>
      <c r="AJ1196" s="19">
        <f>COUNTIFS(Tabela1[Fase atual],"Recebido",Tabela1[Mês],Tabela1[[#This Row],[Mês]],Tabela1[Ano],Tabela1[[#This Row],[Ano]])/COUNTIF(Tabela1[Mês],Tabela1[[#This Row],[Mês]])</f>
        <v>0.62944162436548223</v>
      </c>
      <c r="AK1196" s="20">
        <f>100%</f>
        <v>1</v>
      </c>
    </row>
    <row r="1197" spans="1:37" ht="18" customHeight="1" x14ac:dyDescent="0.25">
      <c r="A1197">
        <v>1297056819</v>
      </c>
      <c r="B1197" t="s">
        <v>513</v>
      </c>
      <c r="C1197" t="s">
        <v>514</v>
      </c>
      <c r="D1197" t="s">
        <v>37</v>
      </c>
      <c r="E1197" t="s">
        <v>31</v>
      </c>
      <c r="F1197" s="2">
        <v>46065.797378206007</v>
      </c>
      <c r="AC1197" s="24">
        <f t="shared" ca="1" si="37"/>
        <v>68.202621793992876</v>
      </c>
      <c r="AD1197" s="25" t="str">
        <f t="shared" ca="1" si="38"/>
        <v>&gt;60 dias</v>
      </c>
      <c r="AE1197" s="25">
        <f>MONTH(Tabela1[[#This Row],[Criado em]])</f>
        <v>2</v>
      </c>
      <c r="AF1197" s="25">
        <f>YEAR(Tabela1[[#This Row],[Criado em]])</f>
        <v>2026</v>
      </c>
      <c r="AG1197" s="25">
        <f>COUNTIFS(Tabela1[Mês],Tabela1[[#This Row],[Mês]])</f>
        <v>197</v>
      </c>
      <c r="AH1197" s="25">
        <f>COUNTIFS(Tabela1[Mês],Tabela1[[#This Row],[Mês]],Tabela1[Fase atual],"Recebido")</f>
        <v>124</v>
      </c>
      <c r="AI1197" s="26">
        <f>Tabela1[[#This Row],[Recebido_ Mes]]/Tabela1[[#This Row],[Total_Mes]]</f>
        <v>0.62944162436548223</v>
      </c>
      <c r="AJ1197" s="19">
        <f>COUNTIFS(Tabela1[Fase atual],"Recebido",Tabela1[Mês],Tabela1[[#This Row],[Mês]],Tabela1[Ano],Tabela1[[#This Row],[Ano]])/COUNTIF(Tabela1[Mês],Tabela1[[#This Row],[Mês]])</f>
        <v>0.62944162436548223</v>
      </c>
      <c r="AK1197" s="20">
        <f>100%</f>
        <v>1</v>
      </c>
    </row>
    <row r="1198" spans="1:37" ht="18" customHeight="1" x14ac:dyDescent="0.25">
      <c r="A1198">
        <v>1269993093</v>
      </c>
      <c r="B1198" t="s">
        <v>1862</v>
      </c>
      <c r="C1198" t="s">
        <v>1863</v>
      </c>
      <c r="D1198" t="s">
        <v>37</v>
      </c>
      <c r="E1198" t="s">
        <v>31</v>
      </c>
      <c r="F1198" s="2">
        <v>46009.631918854167</v>
      </c>
      <c r="AC1198" s="24">
        <f t="shared" ca="1" si="37"/>
        <v>124.36808114583255</v>
      </c>
      <c r="AD1198" s="25" t="str">
        <f t="shared" ca="1" si="38"/>
        <v>&gt;60 dias</v>
      </c>
      <c r="AE1198" s="25">
        <f>MONTH(Tabela1[[#This Row],[Criado em]])</f>
        <v>12</v>
      </c>
      <c r="AF1198" s="25">
        <f>YEAR(Tabela1[[#This Row],[Criado em]])</f>
        <v>2025</v>
      </c>
      <c r="AG1198" s="25">
        <f>COUNTIFS(Tabela1[Mês],Tabela1[[#This Row],[Mês]])</f>
        <v>207</v>
      </c>
      <c r="AH1198" s="25">
        <f>COUNTIFS(Tabela1[Mês],Tabela1[[#This Row],[Mês]],Tabela1[Fase atual],"Recebido")</f>
        <v>155</v>
      </c>
      <c r="AI1198" s="26">
        <f>Tabela1[[#This Row],[Recebido_ Mes]]/Tabela1[[#This Row],[Total_Mes]]</f>
        <v>0.74879227053140096</v>
      </c>
      <c r="AJ1198" s="19">
        <f>COUNTIFS(Tabela1[Fase atual],"Recebido",Tabela1[Mês],Tabela1[[#This Row],[Mês]],Tabela1[Ano],Tabela1[[#This Row],[Ano]])/COUNTIF(Tabela1[Mês],Tabela1[[#This Row],[Mês]])</f>
        <v>0.74879227053140096</v>
      </c>
      <c r="AK1198" s="20">
        <f>100%</f>
        <v>1</v>
      </c>
    </row>
    <row r="1199" spans="1:37" ht="18" customHeight="1" x14ac:dyDescent="0.25">
      <c r="A1199">
        <v>1271371412</v>
      </c>
      <c r="B1199" t="s">
        <v>1862</v>
      </c>
      <c r="C1199" t="s">
        <v>1863</v>
      </c>
      <c r="D1199" t="s">
        <v>37</v>
      </c>
      <c r="E1199" t="s">
        <v>31</v>
      </c>
      <c r="F1199" s="2">
        <v>46013.632751400473</v>
      </c>
      <c r="AC1199" s="24">
        <f t="shared" ca="1" si="37"/>
        <v>120.36724859952665</v>
      </c>
      <c r="AD1199" s="25" t="str">
        <f t="shared" ca="1" si="38"/>
        <v>&gt;60 dias</v>
      </c>
      <c r="AE1199" s="25">
        <f>MONTH(Tabela1[[#This Row],[Criado em]])</f>
        <v>12</v>
      </c>
      <c r="AF1199" s="25">
        <f>YEAR(Tabela1[[#This Row],[Criado em]])</f>
        <v>2025</v>
      </c>
      <c r="AG1199" s="25">
        <f>COUNTIFS(Tabela1[Mês],Tabela1[[#This Row],[Mês]])</f>
        <v>207</v>
      </c>
      <c r="AH1199" s="25">
        <f>COUNTIFS(Tabela1[Mês],Tabela1[[#This Row],[Mês]],Tabela1[Fase atual],"Recebido")</f>
        <v>155</v>
      </c>
      <c r="AI1199" s="26">
        <f>Tabela1[[#This Row],[Recebido_ Mes]]/Tabela1[[#This Row],[Total_Mes]]</f>
        <v>0.74879227053140096</v>
      </c>
      <c r="AJ1199" s="19">
        <f>COUNTIFS(Tabela1[Fase atual],"Recebido",Tabela1[Mês],Tabela1[[#This Row],[Mês]],Tabela1[Ano],Tabela1[[#This Row],[Ano]])/COUNTIF(Tabela1[Mês],Tabela1[[#This Row],[Mês]])</f>
        <v>0.74879227053140096</v>
      </c>
      <c r="AK1199" s="20">
        <f>100%</f>
        <v>1</v>
      </c>
    </row>
    <row r="1200" spans="1:37" ht="18" customHeight="1" x14ac:dyDescent="0.25">
      <c r="A1200">
        <v>1186891937</v>
      </c>
      <c r="B1200" t="s">
        <v>1864</v>
      </c>
      <c r="C1200" t="s">
        <v>1865</v>
      </c>
      <c r="D1200" t="s">
        <v>37</v>
      </c>
      <c r="E1200" t="s">
        <v>31</v>
      </c>
      <c r="F1200" s="2">
        <v>45870.548771932867</v>
      </c>
      <c r="AC1200" s="24">
        <f t="shared" ca="1" si="37"/>
        <v>263.45122806713334</v>
      </c>
      <c r="AD1200" s="25" t="str">
        <f t="shared" ca="1" si="38"/>
        <v>&gt;60 dias</v>
      </c>
      <c r="AE1200" s="25">
        <f>MONTH(Tabela1[[#This Row],[Criado em]])</f>
        <v>8</v>
      </c>
      <c r="AF1200" s="25">
        <f>YEAR(Tabela1[[#This Row],[Criado em]])</f>
        <v>2025</v>
      </c>
      <c r="AG1200" s="25">
        <f>COUNTIFS(Tabela1[Mês],Tabela1[[#This Row],[Mês]])</f>
        <v>146</v>
      </c>
      <c r="AH1200" s="25">
        <f>COUNTIFS(Tabela1[Mês],Tabela1[[#This Row],[Mês]],Tabela1[Fase atual],"Recebido")</f>
        <v>115</v>
      </c>
      <c r="AI1200" s="26">
        <f>Tabela1[[#This Row],[Recebido_ Mes]]/Tabela1[[#This Row],[Total_Mes]]</f>
        <v>0.78767123287671237</v>
      </c>
      <c r="AJ1200" s="19">
        <f>COUNTIFS(Tabela1[Fase atual],"Recebido",Tabela1[Mês],Tabela1[[#This Row],[Mês]],Tabela1[Ano],Tabela1[[#This Row],[Ano]])/COUNTIF(Tabela1[Mês],Tabela1[[#This Row],[Mês]])</f>
        <v>0.78767123287671237</v>
      </c>
      <c r="AK1200" s="20">
        <f>100%</f>
        <v>1</v>
      </c>
    </row>
    <row r="1201" spans="1:37" ht="18" customHeight="1" x14ac:dyDescent="0.25">
      <c r="A1201">
        <v>1221264544</v>
      </c>
      <c r="B1201" t="s">
        <v>1866</v>
      </c>
      <c r="C1201" t="s">
        <v>1867</v>
      </c>
      <c r="D1201" t="s">
        <v>37</v>
      </c>
      <c r="E1201" t="s">
        <v>31</v>
      </c>
      <c r="F1201" s="2">
        <v>45925.644633692129</v>
      </c>
      <c r="AC1201" s="24">
        <f t="shared" ca="1" si="37"/>
        <v>208.35536630787101</v>
      </c>
      <c r="AD1201" s="25" t="str">
        <f t="shared" ca="1" si="38"/>
        <v>&gt;60 dias</v>
      </c>
      <c r="AE1201" s="25">
        <f>MONTH(Tabela1[[#This Row],[Criado em]])</f>
        <v>9</v>
      </c>
      <c r="AF1201" s="25">
        <f>YEAR(Tabela1[[#This Row],[Criado em]])</f>
        <v>2025</v>
      </c>
      <c r="AG1201" s="25">
        <f>COUNTIFS(Tabela1[Mês],Tabela1[[#This Row],[Mês]])</f>
        <v>197</v>
      </c>
      <c r="AH1201" s="25">
        <f>COUNTIFS(Tabela1[Mês],Tabela1[[#This Row],[Mês]],Tabela1[Fase atual],"Recebido")</f>
        <v>152</v>
      </c>
      <c r="AI1201" s="26">
        <f>Tabela1[[#This Row],[Recebido_ Mes]]/Tabela1[[#This Row],[Total_Mes]]</f>
        <v>0.77157360406091369</v>
      </c>
      <c r="AJ1201" s="19">
        <f>COUNTIFS(Tabela1[Fase atual],"Recebido",Tabela1[Mês],Tabela1[[#This Row],[Mês]],Tabela1[Ano],Tabela1[[#This Row],[Ano]])/COUNTIF(Tabela1[Mês],Tabela1[[#This Row],[Mês]])</f>
        <v>0.77157360406091369</v>
      </c>
      <c r="AK1201" s="20">
        <f>100%</f>
        <v>1</v>
      </c>
    </row>
    <row r="1202" spans="1:37" ht="18" customHeight="1" x14ac:dyDescent="0.25">
      <c r="A1202">
        <v>1248318939</v>
      </c>
      <c r="B1202" t="s">
        <v>1868</v>
      </c>
      <c r="C1202" t="s">
        <v>516</v>
      </c>
      <c r="D1202" t="s">
        <v>37</v>
      </c>
      <c r="E1202" t="s">
        <v>517</v>
      </c>
      <c r="F1202" s="2">
        <v>45961.881258553243</v>
      </c>
      <c r="AC1202" s="24">
        <f t="shared" ca="1" si="37"/>
        <v>172.11874144675676</v>
      </c>
      <c r="AD1202" s="25" t="str">
        <f t="shared" ca="1" si="38"/>
        <v>&gt;60 dias</v>
      </c>
      <c r="AE1202" s="25">
        <f>MONTH(Tabela1[[#This Row],[Criado em]])</f>
        <v>10</v>
      </c>
      <c r="AF1202" s="25">
        <f>YEAR(Tabela1[[#This Row],[Criado em]])</f>
        <v>2025</v>
      </c>
      <c r="AG1202" s="25">
        <f>COUNTIFS(Tabela1[Mês],Tabela1[[#This Row],[Mês]])</f>
        <v>196</v>
      </c>
      <c r="AH1202" s="25">
        <f>COUNTIFS(Tabela1[Mês],Tabela1[[#This Row],[Mês]],Tabela1[Fase atual],"Recebido")</f>
        <v>138</v>
      </c>
      <c r="AI1202" s="26">
        <f>Tabela1[[#This Row],[Recebido_ Mes]]/Tabela1[[#This Row],[Total_Mes]]</f>
        <v>0.70408163265306123</v>
      </c>
      <c r="AJ1202" s="19">
        <f>COUNTIFS(Tabela1[Fase atual],"Recebido",Tabela1[Mês],Tabela1[[#This Row],[Mês]],Tabela1[Ano],Tabela1[[#This Row],[Ano]])/COUNTIF(Tabela1[Mês],Tabela1[[#This Row],[Mês]])</f>
        <v>0.70408163265306123</v>
      </c>
      <c r="AK1202" s="20">
        <f>100%</f>
        <v>1</v>
      </c>
    </row>
    <row r="1203" spans="1:37" ht="18" customHeight="1" x14ac:dyDescent="0.25">
      <c r="A1203">
        <v>1304011123</v>
      </c>
      <c r="B1203" t="s">
        <v>515</v>
      </c>
      <c r="C1203" t="s">
        <v>516</v>
      </c>
      <c r="D1203" t="s">
        <v>37</v>
      </c>
      <c r="E1203" t="s">
        <v>517</v>
      </c>
      <c r="F1203" s="2">
        <v>46078.703585011572</v>
      </c>
      <c r="AC1203" s="24">
        <f t="shared" ca="1" si="37"/>
        <v>55.296414988428296</v>
      </c>
      <c r="AD1203" s="25" t="str">
        <f t="shared" ca="1" si="38"/>
        <v>31-60 dias</v>
      </c>
      <c r="AE1203" s="25">
        <f>MONTH(Tabela1[[#This Row],[Criado em]])</f>
        <v>2</v>
      </c>
      <c r="AF1203" s="25">
        <f>YEAR(Tabela1[[#This Row],[Criado em]])</f>
        <v>2026</v>
      </c>
      <c r="AG1203" s="25">
        <f>COUNTIFS(Tabela1[Mês],Tabela1[[#This Row],[Mês]])</f>
        <v>197</v>
      </c>
      <c r="AH1203" s="25">
        <f>COUNTIFS(Tabela1[Mês],Tabela1[[#This Row],[Mês]],Tabela1[Fase atual],"Recebido")</f>
        <v>124</v>
      </c>
      <c r="AI1203" s="26">
        <f>Tabela1[[#This Row],[Recebido_ Mes]]/Tabela1[[#This Row],[Total_Mes]]</f>
        <v>0.62944162436548223</v>
      </c>
      <c r="AJ1203" s="19">
        <f>COUNTIFS(Tabela1[Fase atual],"Recebido",Tabela1[Mês],Tabela1[[#This Row],[Mês]],Tabela1[Ano],Tabela1[[#This Row],[Ano]])/COUNTIF(Tabela1[Mês],Tabela1[[#This Row],[Mês]])</f>
        <v>0.62944162436548223</v>
      </c>
      <c r="AK1203" s="20">
        <f>100%</f>
        <v>1</v>
      </c>
    </row>
    <row r="1204" spans="1:37" ht="18" customHeight="1" x14ac:dyDescent="0.25">
      <c r="A1204">
        <v>1195040872</v>
      </c>
      <c r="B1204" t="s">
        <v>511</v>
      </c>
      <c r="C1204" t="s">
        <v>1869</v>
      </c>
      <c r="D1204" t="s">
        <v>37</v>
      </c>
      <c r="E1204" t="s">
        <v>31</v>
      </c>
      <c r="F1204" s="2">
        <v>45883.486492951393</v>
      </c>
      <c r="AC1204" s="24">
        <f t="shared" ca="1" si="37"/>
        <v>250.5135070486067</v>
      </c>
      <c r="AD1204" s="25" t="str">
        <f t="shared" ca="1" si="38"/>
        <v>&gt;60 dias</v>
      </c>
      <c r="AE1204" s="25">
        <f>MONTH(Tabela1[[#This Row],[Criado em]])</f>
        <v>8</v>
      </c>
      <c r="AF1204" s="25">
        <f>YEAR(Tabela1[[#This Row],[Criado em]])</f>
        <v>2025</v>
      </c>
      <c r="AG1204" s="25">
        <f>COUNTIFS(Tabela1[Mês],Tabela1[[#This Row],[Mês]])</f>
        <v>146</v>
      </c>
      <c r="AH1204" s="25">
        <f>COUNTIFS(Tabela1[Mês],Tabela1[[#This Row],[Mês]],Tabela1[Fase atual],"Recebido")</f>
        <v>115</v>
      </c>
      <c r="AI1204" s="26">
        <f>Tabela1[[#This Row],[Recebido_ Mes]]/Tabela1[[#This Row],[Total_Mes]]</f>
        <v>0.78767123287671237</v>
      </c>
      <c r="AJ1204" s="19">
        <f>COUNTIFS(Tabela1[Fase atual],"Recebido",Tabela1[Mês],Tabela1[[#This Row],[Mês]],Tabela1[Ano],Tabela1[[#This Row],[Ano]])/COUNTIF(Tabela1[Mês],Tabela1[[#This Row],[Mês]])</f>
        <v>0.78767123287671237</v>
      </c>
      <c r="AK1204" s="20">
        <f>100%</f>
        <v>1</v>
      </c>
    </row>
    <row r="1205" spans="1:37" ht="18" customHeight="1" x14ac:dyDescent="0.25">
      <c r="A1205">
        <v>1252742615</v>
      </c>
      <c r="B1205" t="s">
        <v>1870</v>
      </c>
      <c r="C1205" t="s">
        <v>1871</v>
      </c>
      <c r="D1205" t="s">
        <v>37</v>
      </c>
      <c r="E1205" t="s">
        <v>31</v>
      </c>
      <c r="F1205" s="2">
        <v>45971.628252164352</v>
      </c>
      <c r="AC1205" s="24">
        <f t="shared" ca="1" si="37"/>
        <v>162.37174783564842</v>
      </c>
      <c r="AD1205" s="25" t="str">
        <f t="shared" ca="1" si="38"/>
        <v>&gt;60 dias</v>
      </c>
      <c r="AE1205" s="25">
        <f>MONTH(Tabela1[[#This Row],[Criado em]])</f>
        <v>11</v>
      </c>
      <c r="AF1205" s="25">
        <f>YEAR(Tabela1[[#This Row],[Criado em]])</f>
        <v>2025</v>
      </c>
      <c r="AG1205" s="25">
        <f>COUNTIFS(Tabela1[Mês],Tabela1[[#This Row],[Mês]])</f>
        <v>130</v>
      </c>
      <c r="AH1205" s="25">
        <f>COUNTIFS(Tabela1[Mês],Tabela1[[#This Row],[Mês]],Tabela1[Fase atual],"Recebido")</f>
        <v>100</v>
      </c>
      <c r="AI1205" s="26">
        <f>Tabela1[[#This Row],[Recebido_ Mes]]/Tabela1[[#This Row],[Total_Mes]]</f>
        <v>0.76923076923076927</v>
      </c>
      <c r="AJ1205" s="19">
        <f>COUNTIFS(Tabela1[Fase atual],"Recebido",Tabela1[Mês],Tabela1[[#This Row],[Mês]],Tabela1[Ano],Tabela1[[#This Row],[Ano]])/COUNTIF(Tabela1[Mês],Tabela1[[#This Row],[Mês]])</f>
        <v>0.76923076923076927</v>
      </c>
      <c r="AK1205" s="20">
        <f>100%</f>
        <v>1</v>
      </c>
    </row>
    <row r="1206" spans="1:37" ht="18" customHeight="1" x14ac:dyDescent="0.25">
      <c r="A1206">
        <v>1171971594</v>
      </c>
      <c r="B1206" t="s">
        <v>1872</v>
      </c>
      <c r="C1206" t="s">
        <v>1873</v>
      </c>
      <c r="D1206" t="s">
        <v>37</v>
      </c>
      <c r="E1206" t="s">
        <v>31</v>
      </c>
      <c r="F1206" s="2">
        <v>45842.852131446758</v>
      </c>
      <c r="AC1206" s="24">
        <f t="shared" ca="1" si="37"/>
        <v>291.14786855324201</v>
      </c>
      <c r="AD1206" s="25" t="str">
        <f t="shared" ca="1" si="38"/>
        <v>&gt;60 dias</v>
      </c>
      <c r="AE1206" s="25">
        <f>MONTH(Tabela1[[#This Row],[Criado em]])</f>
        <v>7</v>
      </c>
      <c r="AF1206" s="25">
        <f>YEAR(Tabela1[[#This Row],[Criado em]])</f>
        <v>2025</v>
      </c>
      <c r="AG1206" s="25">
        <f>COUNTIFS(Tabela1[Mês],Tabela1[[#This Row],[Mês]])</f>
        <v>177</v>
      </c>
      <c r="AH1206" s="25">
        <f>COUNTIFS(Tabela1[Mês],Tabela1[[#This Row],[Mês]],Tabela1[Fase atual],"Recebido")</f>
        <v>130</v>
      </c>
      <c r="AI1206" s="26">
        <f>Tabela1[[#This Row],[Recebido_ Mes]]/Tabela1[[#This Row],[Total_Mes]]</f>
        <v>0.7344632768361582</v>
      </c>
      <c r="AJ1206" s="19">
        <f>COUNTIFS(Tabela1[Fase atual],"Recebido",Tabela1[Mês],Tabela1[[#This Row],[Mês]],Tabela1[Ano],Tabela1[[#This Row],[Ano]])/COUNTIF(Tabela1[Mês],Tabela1[[#This Row],[Mês]])</f>
        <v>0.7344632768361582</v>
      </c>
      <c r="AK1206" s="20">
        <f>100%</f>
        <v>1</v>
      </c>
    </row>
    <row r="1207" spans="1:37" ht="18" customHeight="1" x14ac:dyDescent="0.25">
      <c r="A1207">
        <v>1180443569</v>
      </c>
      <c r="B1207" t="s">
        <v>1874</v>
      </c>
      <c r="C1207" t="s">
        <v>1875</v>
      </c>
      <c r="D1207" t="s">
        <v>37</v>
      </c>
      <c r="E1207" t="s">
        <v>31</v>
      </c>
      <c r="F1207" s="2">
        <v>45859.852143321761</v>
      </c>
      <c r="AC1207" s="24">
        <f t="shared" ca="1" si="37"/>
        <v>274.1478566782389</v>
      </c>
      <c r="AD1207" s="25" t="str">
        <f t="shared" ca="1" si="38"/>
        <v>&gt;60 dias</v>
      </c>
      <c r="AE1207" s="25">
        <f>MONTH(Tabela1[[#This Row],[Criado em]])</f>
        <v>7</v>
      </c>
      <c r="AF1207" s="25">
        <f>YEAR(Tabela1[[#This Row],[Criado em]])</f>
        <v>2025</v>
      </c>
      <c r="AG1207" s="25">
        <f>COUNTIFS(Tabela1[Mês],Tabela1[[#This Row],[Mês]])</f>
        <v>177</v>
      </c>
      <c r="AH1207" s="25">
        <f>COUNTIFS(Tabela1[Mês],Tabela1[[#This Row],[Mês]],Tabela1[Fase atual],"Recebido")</f>
        <v>130</v>
      </c>
      <c r="AI1207" s="26">
        <f>Tabela1[[#This Row],[Recebido_ Mes]]/Tabela1[[#This Row],[Total_Mes]]</f>
        <v>0.7344632768361582</v>
      </c>
      <c r="AJ1207" s="19">
        <f>COUNTIFS(Tabela1[Fase atual],"Recebido",Tabela1[Mês],Tabela1[[#This Row],[Mês]],Tabela1[Ano],Tabela1[[#This Row],[Ano]])/COUNTIF(Tabela1[Mês],Tabela1[[#This Row],[Mês]])</f>
        <v>0.7344632768361582</v>
      </c>
      <c r="AK1207" s="20">
        <f>100%</f>
        <v>1</v>
      </c>
    </row>
    <row r="1208" spans="1:37" ht="18" customHeight="1" x14ac:dyDescent="0.25">
      <c r="A1208">
        <v>1285961451</v>
      </c>
      <c r="B1208" t="s">
        <v>518</v>
      </c>
      <c r="C1208" t="s">
        <v>519</v>
      </c>
      <c r="D1208" t="s">
        <v>37</v>
      </c>
      <c r="E1208" t="s">
        <v>31</v>
      </c>
      <c r="F1208" s="2">
        <v>46044.794195347233</v>
      </c>
      <c r="AC1208" s="24">
        <f t="shared" ca="1" si="37"/>
        <v>89.205804652767256</v>
      </c>
      <c r="AD1208" s="25" t="str">
        <f t="shared" ca="1" si="38"/>
        <v>&gt;60 dias</v>
      </c>
      <c r="AE1208" s="25">
        <f>MONTH(Tabela1[[#This Row],[Criado em]])</f>
        <v>1</v>
      </c>
      <c r="AF1208" s="25">
        <f>YEAR(Tabela1[[#This Row],[Criado em]])</f>
        <v>2026</v>
      </c>
      <c r="AG1208" s="25">
        <f>COUNTIFS(Tabela1[Mês],Tabela1[[#This Row],[Mês]])</f>
        <v>222</v>
      </c>
      <c r="AH1208" s="25">
        <f>COUNTIFS(Tabela1[Mês],Tabela1[[#This Row],[Mês]],Tabela1[Fase atual],"Recebido")</f>
        <v>174</v>
      </c>
      <c r="AI1208" s="26">
        <f>Tabela1[[#This Row],[Recebido_ Mes]]/Tabela1[[#This Row],[Total_Mes]]</f>
        <v>0.78378378378378377</v>
      </c>
      <c r="AJ1208" s="19">
        <f>COUNTIFS(Tabela1[Fase atual],"Recebido",Tabela1[Mês],Tabela1[[#This Row],[Mês]],Tabela1[Ano],Tabela1[[#This Row],[Ano]])/COUNTIF(Tabela1[Mês],Tabela1[[#This Row],[Mês]])</f>
        <v>0.78378378378378377</v>
      </c>
      <c r="AK1208" s="20">
        <f>100%</f>
        <v>1</v>
      </c>
    </row>
    <row r="1209" spans="1:37" ht="18" customHeight="1" x14ac:dyDescent="0.25">
      <c r="A1209">
        <v>1184493598</v>
      </c>
      <c r="B1209" t="s">
        <v>1654</v>
      </c>
      <c r="C1209" t="s">
        <v>1876</v>
      </c>
      <c r="D1209" t="s">
        <v>37</v>
      </c>
      <c r="E1209" t="s">
        <v>31</v>
      </c>
      <c r="F1209" s="2">
        <v>45866.643656562497</v>
      </c>
      <c r="AC1209" s="24">
        <f t="shared" ca="1" si="37"/>
        <v>267.3563434375028</v>
      </c>
      <c r="AD1209" s="25" t="str">
        <f t="shared" ca="1" si="38"/>
        <v>&gt;60 dias</v>
      </c>
      <c r="AE1209" s="25">
        <f>MONTH(Tabela1[[#This Row],[Criado em]])</f>
        <v>7</v>
      </c>
      <c r="AF1209" s="25">
        <f>YEAR(Tabela1[[#This Row],[Criado em]])</f>
        <v>2025</v>
      </c>
      <c r="AG1209" s="25">
        <f>COUNTIFS(Tabela1[Mês],Tabela1[[#This Row],[Mês]])</f>
        <v>177</v>
      </c>
      <c r="AH1209" s="25">
        <f>COUNTIFS(Tabela1[Mês],Tabela1[[#This Row],[Mês]],Tabela1[Fase atual],"Recebido")</f>
        <v>130</v>
      </c>
      <c r="AI1209" s="26">
        <f>Tabela1[[#This Row],[Recebido_ Mes]]/Tabela1[[#This Row],[Total_Mes]]</f>
        <v>0.7344632768361582</v>
      </c>
      <c r="AJ1209" s="19">
        <f>COUNTIFS(Tabela1[Fase atual],"Recebido",Tabela1[Mês],Tabela1[[#This Row],[Mês]],Tabela1[Ano],Tabela1[[#This Row],[Ano]])/COUNTIF(Tabela1[Mês],Tabela1[[#This Row],[Mês]])</f>
        <v>0.7344632768361582</v>
      </c>
      <c r="AK1209" s="20">
        <f>100%</f>
        <v>1</v>
      </c>
    </row>
    <row r="1210" spans="1:37" ht="18" customHeight="1" x14ac:dyDescent="0.25">
      <c r="A1210">
        <v>1267728255</v>
      </c>
      <c r="B1210" t="s">
        <v>520</v>
      </c>
      <c r="C1210" t="s">
        <v>1877</v>
      </c>
      <c r="D1210" t="s">
        <v>40</v>
      </c>
      <c r="E1210" t="s">
        <v>31</v>
      </c>
      <c r="F1210" s="2">
        <v>46003.797881365739</v>
      </c>
      <c r="AC1210" s="24">
        <f t="shared" ca="1" si="37"/>
        <v>130.20211863426084</v>
      </c>
      <c r="AD1210" s="25" t="str">
        <f t="shared" ca="1" si="38"/>
        <v>&gt;60 dias</v>
      </c>
      <c r="AE1210" s="25">
        <f>MONTH(Tabela1[[#This Row],[Criado em]])</f>
        <v>12</v>
      </c>
      <c r="AF1210" s="25">
        <f>YEAR(Tabela1[[#This Row],[Criado em]])</f>
        <v>2025</v>
      </c>
      <c r="AG1210" s="25">
        <f>COUNTIFS(Tabela1[Mês],Tabela1[[#This Row],[Mês]])</f>
        <v>207</v>
      </c>
      <c r="AH1210" s="25">
        <f>COUNTIFS(Tabela1[Mês],Tabela1[[#This Row],[Mês]],Tabela1[Fase atual],"Recebido")</f>
        <v>155</v>
      </c>
      <c r="AI1210" s="26">
        <f>Tabela1[[#This Row],[Recebido_ Mes]]/Tabela1[[#This Row],[Total_Mes]]</f>
        <v>0.74879227053140096</v>
      </c>
      <c r="AJ1210" s="19">
        <f>COUNTIFS(Tabela1[Fase atual],"Recebido",Tabela1[Mês],Tabela1[[#This Row],[Mês]],Tabela1[Ano],Tabela1[[#This Row],[Ano]])/COUNTIF(Tabela1[Mês],Tabela1[[#This Row],[Mês]])</f>
        <v>0.74879227053140096</v>
      </c>
      <c r="AK1210" s="20">
        <f>100%</f>
        <v>1</v>
      </c>
    </row>
    <row r="1211" spans="1:37" ht="18" customHeight="1" x14ac:dyDescent="0.25">
      <c r="A1211">
        <v>1278706886</v>
      </c>
      <c r="B1211" t="s">
        <v>520</v>
      </c>
      <c r="C1211" t="s">
        <v>521</v>
      </c>
      <c r="D1211" t="s">
        <v>40</v>
      </c>
      <c r="E1211" t="s">
        <v>31</v>
      </c>
      <c r="F1211" s="2">
        <v>46030.562168368058</v>
      </c>
      <c r="AC1211" s="24">
        <f t="shared" ca="1" si="37"/>
        <v>103.43783163194166</v>
      </c>
      <c r="AD1211" s="25" t="str">
        <f t="shared" ca="1" si="38"/>
        <v>&gt;60 dias</v>
      </c>
      <c r="AE1211" s="25">
        <f>MONTH(Tabela1[[#This Row],[Criado em]])</f>
        <v>1</v>
      </c>
      <c r="AF1211" s="25">
        <f>YEAR(Tabela1[[#This Row],[Criado em]])</f>
        <v>2026</v>
      </c>
      <c r="AG1211" s="25">
        <f>COUNTIFS(Tabela1[Mês],Tabela1[[#This Row],[Mês]])</f>
        <v>222</v>
      </c>
      <c r="AH1211" s="25">
        <f>COUNTIFS(Tabela1[Mês],Tabela1[[#This Row],[Mês]],Tabela1[Fase atual],"Recebido")</f>
        <v>174</v>
      </c>
      <c r="AI1211" s="26">
        <f>Tabela1[[#This Row],[Recebido_ Mes]]/Tabela1[[#This Row],[Total_Mes]]</f>
        <v>0.78378378378378377</v>
      </c>
      <c r="AJ1211" s="19">
        <f>COUNTIFS(Tabela1[Fase atual],"Recebido",Tabela1[Mês],Tabela1[[#This Row],[Mês]],Tabela1[Ano],Tabela1[[#This Row],[Ano]])/COUNTIF(Tabela1[Mês],Tabela1[[#This Row],[Mês]])</f>
        <v>0.78378378378378377</v>
      </c>
      <c r="AK1211" s="20">
        <f>100%</f>
        <v>1</v>
      </c>
    </row>
    <row r="1212" spans="1:37" ht="18" customHeight="1" x14ac:dyDescent="0.25">
      <c r="A1212">
        <v>1273326990</v>
      </c>
      <c r="B1212" t="s">
        <v>520</v>
      </c>
      <c r="C1212" t="s">
        <v>1878</v>
      </c>
      <c r="D1212" t="s">
        <v>40</v>
      </c>
      <c r="E1212" t="s">
        <v>31</v>
      </c>
      <c r="F1212" s="2">
        <v>46017.796839907402</v>
      </c>
      <c r="AC1212" s="24">
        <f t="shared" ca="1" si="37"/>
        <v>116.20316009259841</v>
      </c>
      <c r="AD1212" s="25" t="str">
        <f t="shared" ca="1" si="38"/>
        <v>&gt;60 dias</v>
      </c>
      <c r="AE1212" s="25">
        <f>MONTH(Tabela1[[#This Row],[Criado em]])</f>
        <v>12</v>
      </c>
      <c r="AF1212" s="25">
        <f>YEAR(Tabela1[[#This Row],[Criado em]])</f>
        <v>2025</v>
      </c>
      <c r="AG1212" s="25">
        <f>COUNTIFS(Tabela1[Mês],Tabela1[[#This Row],[Mês]])</f>
        <v>207</v>
      </c>
      <c r="AH1212" s="25">
        <f>COUNTIFS(Tabela1[Mês],Tabela1[[#This Row],[Mês]],Tabela1[Fase atual],"Recebido")</f>
        <v>155</v>
      </c>
      <c r="AI1212" s="26">
        <f>Tabela1[[#This Row],[Recebido_ Mes]]/Tabela1[[#This Row],[Total_Mes]]</f>
        <v>0.74879227053140096</v>
      </c>
      <c r="AJ1212" s="19">
        <f>COUNTIFS(Tabela1[Fase atual],"Recebido",Tabela1[Mês],Tabela1[[#This Row],[Mês]],Tabela1[Ano],Tabela1[[#This Row],[Ano]])/COUNTIF(Tabela1[Mês],Tabela1[[#This Row],[Mês]])</f>
        <v>0.74879227053140096</v>
      </c>
      <c r="AK1212" s="20">
        <f>100%</f>
        <v>1</v>
      </c>
    </row>
    <row r="1213" spans="1:37" ht="18" customHeight="1" x14ac:dyDescent="0.25">
      <c r="A1213">
        <v>1206099556</v>
      </c>
      <c r="B1213" t="s">
        <v>1879</v>
      </c>
      <c r="C1213" t="s">
        <v>1880</v>
      </c>
      <c r="D1213" t="s">
        <v>37</v>
      </c>
      <c r="E1213" t="s">
        <v>31</v>
      </c>
      <c r="F1213" s="2">
        <v>45901.850181828697</v>
      </c>
      <c r="AC1213" s="24">
        <f t="shared" ca="1" si="37"/>
        <v>232.1498181713032</v>
      </c>
      <c r="AD1213" s="25" t="str">
        <f t="shared" ca="1" si="38"/>
        <v>&gt;60 dias</v>
      </c>
      <c r="AE1213" s="25">
        <f>MONTH(Tabela1[[#This Row],[Criado em]])</f>
        <v>9</v>
      </c>
      <c r="AF1213" s="25">
        <f>YEAR(Tabela1[[#This Row],[Criado em]])</f>
        <v>2025</v>
      </c>
      <c r="AG1213" s="25">
        <f>COUNTIFS(Tabela1[Mês],Tabela1[[#This Row],[Mês]])</f>
        <v>197</v>
      </c>
      <c r="AH1213" s="25">
        <f>COUNTIFS(Tabela1[Mês],Tabela1[[#This Row],[Mês]],Tabela1[Fase atual],"Recebido")</f>
        <v>152</v>
      </c>
      <c r="AI1213" s="26">
        <f>Tabela1[[#This Row],[Recebido_ Mes]]/Tabela1[[#This Row],[Total_Mes]]</f>
        <v>0.77157360406091369</v>
      </c>
      <c r="AJ1213" s="19">
        <f>COUNTIFS(Tabela1[Fase atual],"Recebido",Tabela1[Mês],Tabela1[[#This Row],[Mês]],Tabela1[Ano],Tabela1[[#This Row],[Ano]])/COUNTIF(Tabela1[Mês],Tabela1[[#This Row],[Mês]])</f>
        <v>0.77157360406091369</v>
      </c>
      <c r="AK1213" s="20">
        <f>100%</f>
        <v>1</v>
      </c>
    </row>
    <row r="1214" spans="1:37" ht="18" customHeight="1" x14ac:dyDescent="0.25">
      <c r="A1214">
        <v>1253572150</v>
      </c>
      <c r="B1214" t="s">
        <v>1881</v>
      </c>
      <c r="C1214" t="s">
        <v>1882</v>
      </c>
      <c r="D1214" t="s">
        <v>40</v>
      </c>
      <c r="E1214" t="s">
        <v>31</v>
      </c>
      <c r="F1214" s="2">
        <v>45972.92081329861</v>
      </c>
      <c r="AC1214" s="24">
        <f t="shared" ca="1" si="37"/>
        <v>161.07918670139043</v>
      </c>
      <c r="AD1214" s="25" t="str">
        <f t="shared" ca="1" si="38"/>
        <v>&gt;60 dias</v>
      </c>
      <c r="AE1214" s="25">
        <f>MONTH(Tabela1[[#This Row],[Criado em]])</f>
        <v>11</v>
      </c>
      <c r="AF1214" s="25">
        <f>YEAR(Tabela1[[#This Row],[Criado em]])</f>
        <v>2025</v>
      </c>
      <c r="AG1214" s="25">
        <f>COUNTIFS(Tabela1[Mês],Tabela1[[#This Row],[Mês]])</f>
        <v>130</v>
      </c>
      <c r="AH1214" s="25">
        <f>COUNTIFS(Tabela1[Mês],Tabela1[[#This Row],[Mês]],Tabela1[Fase atual],"Recebido")</f>
        <v>100</v>
      </c>
      <c r="AI1214" s="26">
        <f>Tabela1[[#This Row],[Recebido_ Mes]]/Tabela1[[#This Row],[Total_Mes]]</f>
        <v>0.76923076923076927</v>
      </c>
      <c r="AJ1214" s="19">
        <f>COUNTIFS(Tabela1[Fase atual],"Recebido",Tabela1[Mês],Tabela1[[#This Row],[Mês]],Tabela1[Ano],Tabela1[[#This Row],[Ano]])/COUNTIF(Tabela1[Mês],Tabela1[[#This Row],[Mês]])</f>
        <v>0.76923076923076927</v>
      </c>
      <c r="AK1214" s="20">
        <f>100%</f>
        <v>1</v>
      </c>
    </row>
    <row r="1215" spans="1:37" ht="18" customHeight="1" x14ac:dyDescent="0.25">
      <c r="A1215">
        <v>1253571226</v>
      </c>
      <c r="B1215" t="s">
        <v>1883</v>
      </c>
      <c r="C1215" t="s">
        <v>1884</v>
      </c>
      <c r="D1215" t="s">
        <v>37</v>
      </c>
      <c r="E1215" t="s">
        <v>31</v>
      </c>
      <c r="F1215" s="2">
        <v>45972.920078611111</v>
      </c>
      <c r="AC1215" s="24">
        <f t="shared" ca="1" si="37"/>
        <v>161.07992138888949</v>
      </c>
      <c r="AD1215" s="25" t="str">
        <f t="shared" ca="1" si="38"/>
        <v>&gt;60 dias</v>
      </c>
      <c r="AE1215" s="25">
        <f>MONTH(Tabela1[[#This Row],[Criado em]])</f>
        <v>11</v>
      </c>
      <c r="AF1215" s="25">
        <f>YEAR(Tabela1[[#This Row],[Criado em]])</f>
        <v>2025</v>
      </c>
      <c r="AG1215" s="25">
        <f>COUNTIFS(Tabela1[Mês],Tabela1[[#This Row],[Mês]])</f>
        <v>130</v>
      </c>
      <c r="AH1215" s="25">
        <f>COUNTIFS(Tabela1[Mês],Tabela1[[#This Row],[Mês]],Tabela1[Fase atual],"Recebido")</f>
        <v>100</v>
      </c>
      <c r="AI1215" s="26">
        <f>Tabela1[[#This Row],[Recebido_ Mes]]/Tabela1[[#This Row],[Total_Mes]]</f>
        <v>0.76923076923076927</v>
      </c>
      <c r="AJ1215" s="19">
        <f>COUNTIFS(Tabela1[Fase atual],"Recebido",Tabela1[Mês],Tabela1[[#This Row],[Mês]],Tabela1[Ano],Tabela1[[#This Row],[Ano]])/COUNTIF(Tabela1[Mês],Tabela1[[#This Row],[Mês]])</f>
        <v>0.76923076923076927</v>
      </c>
      <c r="AK1215" s="20">
        <f>100%</f>
        <v>1</v>
      </c>
    </row>
    <row r="1216" spans="1:37" ht="18" customHeight="1" x14ac:dyDescent="0.25">
      <c r="A1216">
        <v>1217451713</v>
      </c>
      <c r="B1216" t="s">
        <v>1885</v>
      </c>
      <c r="C1216" t="s">
        <v>1886</v>
      </c>
      <c r="D1216" t="s">
        <v>37</v>
      </c>
      <c r="E1216" t="s">
        <v>31</v>
      </c>
      <c r="F1216" s="2">
        <v>45919.851859259259</v>
      </c>
      <c r="AC1216" s="24">
        <f t="shared" ca="1" si="37"/>
        <v>214.14814074074093</v>
      </c>
      <c r="AD1216" s="25" t="str">
        <f t="shared" ca="1" si="38"/>
        <v>&gt;60 dias</v>
      </c>
      <c r="AE1216" s="25">
        <f>MONTH(Tabela1[[#This Row],[Criado em]])</f>
        <v>9</v>
      </c>
      <c r="AF1216" s="25">
        <f>YEAR(Tabela1[[#This Row],[Criado em]])</f>
        <v>2025</v>
      </c>
      <c r="AG1216" s="25">
        <f>COUNTIFS(Tabela1[Mês],Tabela1[[#This Row],[Mês]])</f>
        <v>197</v>
      </c>
      <c r="AH1216" s="25">
        <f>COUNTIFS(Tabela1[Mês],Tabela1[[#This Row],[Mês]],Tabela1[Fase atual],"Recebido")</f>
        <v>152</v>
      </c>
      <c r="AI1216" s="26">
        <f>Tabela1[[#This Row],[Recebido_ Mes]]/Tabela1[[#This Row],[Total_Mes]]</f>
        <v>0.77157360406091369</v>
      </c>
      <c r="AJ1216" s="19">
        <f>COUNTIFS(Tabela1[Fase atual],"Recebido",Tabela1[Mês],Tabela1[[#This Row],[Mês]],Tabela1[Ano],Tabela1[[#This Row],[Ano]])/COUNTIF(Tabela1[Mês],Tabela1[[#This Row],[Mês]])</f>
        <v>0.77157360406091369</v>
      </c>
      <c r="AK1216" s="20">
        <f>100%</f>
        <v>1</v>
      </c>
    </row>
    <row r="1217" spans="1:37" ht="18" customHeight="1" x14ac:dyDescent="0.25">
      <c r="A1217">
        <v>1271535222</v>
      </c>
      <c r="B1217" t="s">
        <v>1885</v>
      </c>
      <c r="C1217" t="s">
        <v>1886</v>
      </c>
      <c r="D1217" t="s">
        <v>37</v>
      </c>
      <c r="E1217" t="s">
        <v>31</v>
      </c>
      <c r="F1217" s="2">
        <v>46013.796115474543</v>
      </c>
      <c r="AC1217" s="24">
        <f t="shared" ca="1" si="37"/>
        <v>120.2038845254574</v>
      </c>
      <c r="AD1217" s="25" t="str">
        <f t="shared" ca="1" si="38"/>
        <v>&gt;60 dias</v>
      </c>
      <c r="AE1217" s="25">
        <f>MONTH(Tabela1[[#This Row],[Criado em]])</f>
        <v>12</v>
      </c>
      <c r="AF1217" s="25">
        <f>YEAR(Tabela1[[#This Row],[Criado em]])</f>
        <v>2025</v>
      </c>
      <c r="AG1217" s="25">
        <f>COUNTIFS(Tabela1[Mês],Tabela1[[#This Row],[Mês]])</f>
        <v>207</v>
      </c>
      <c r="AH1217" s="25">
        <f>COUNTIFS(Tabela1[Mês],Tabela1[[#This Row],[Mês]],Tabela1[Fase atual],"Recebido")</f>
        <v>155</v>
      </c>
      <c r="AI1217" s="26">
        <f>Tabela1[[#This Row],[Recebido_ Mes]]/Tabela1[[#This Row],[Total_Mes]]</f>
        <v>0.74879227053140096</v>
      </c>
      <c r="AJ1217" s="19">
        <f>COUNTIFS(Tabela1[Fase atual],"Recebido",Tabela1[Mês],Tabela1[[#This Row],[Mês]],Tabela1[Ano],Tabela1[[#This Row],[Ano]])/COUNTIF(Tabela1[Mês],Tabela1[[#This Row],[Mês]])</f>
        <v>0.74879227053140096</v>
      </c>
      <c r="AK1217" s="20">
        <f>100%</f>
        <v>1</v>
      </c>
    </row>
    <row r="1218" spans="1:37" ht="18" customHeight="1" x14ac:dyDescent="0.25">
      <c r="A1218">
        <v>1260496051</v>
      </c>
      <c r="B1218" t="s">
        <v>1887</v>
      </c>
      <c r="C1218" t="s">
        <v>1888</v>
      </c>
      <c r="D1218" t="s">
        <v>40</v>
      </c>
      <c r="E1218" t="s">
        <v>31</v>
      </c>
      <c r="F1218" s="2">
        <v>45988.796590300917</v>
      </c>
      <c r="AC1218" s="24">
        <f t="shared" ca="1" si="37"/>
        <v>145.20340969908284</v>
      </c>
      <c r="AD1218" s="25" t="str">
        <f t="shared" ca="1" si="38"/>
        <v>&gt;60 dias</v>
      </c>
      <c r="AE1218" s="25">
        <f>MONTH(Tabela1[[#This Row],[Criado em]])</f>
        <v>11</v>
      </c>
      <c r="AF1218" s="25">
        <f>YEAR(Tabela1[[#This Row],[Criado em]])</f>
        <v>2025</v>
      </c>
      <c r="AG1218" s="25">
        <f>COUNTIFS(Tabela1[Mês],Tabela1[[#This Row],[Mês]])</f>
        <v>130</v>
      </c>
      <c r="AH1218" s="25">
        <f>COUNTIFS(Tabela1[Mês],Tabela1[[#This Row],[Mês]],Tabela1[Fase atual],"Recebido")</f>
        <v>100</v>
      </c>
      <c r="AI1218" s="26">
        <f>Tabela1[[#This Row],[Recebido_ Mes]]/Tabela1[[#This Row],[Total_Mes]]</f>
        <v>0.76923076923076927</v>
      </c>
      <c r="AJ1218" s="19">
        <f>COUNTIFS(Tabela1[Fase atual],"Recebido",Tabela1[Mês],Tabela1[[#This Row],[Mês]],Tabela1[Ano],Tabela1[[#This Row],[Ano]])/COUNTIF(Tabela1[Mês],Tabela1[[#This Row],[Mês]])</f>
        <v>0.76923076923076927</v>
      </c>
      <c r="AK1218" s="20">
        <f>100%</f>
        <v>1</v>
      </c>
    </row>
    <row r="1219" spans="1:37" ht="18" customHeight="1" x14ac:dyDescent="0.25">
      <c r="A1219">
        <v>1242272610</v>
      </c>
      <c r="B1219" t="s">
        <v>1889</v>
      </c>
      <c r="C1219" t="s">
        <v>1890</v>
      </c>
      <c r="D1219" t="s">
        <v>37</v>
      </c>
      <c r="E1219" t="s">
        <v>31</v>
      </c>
      <c r="F1219" s="2">
        <v>45953.628314374997</v>
      </c>
      <c r="AC1219" s="24">
        <f t="shared" ref="AC1219:AC1282" ca="1" si="39">TODAY() - F1219</f>
        <v>180.37168562500301</v>
      </c>
      <c r="AD1219" s="25" t="str">
        <f t="shared" ref="AD1219:AD1282" ca="1" si="40">IF(AC1219&lt;=14,"0-14 dias",
IF(AC1219&lt;=19,"15-19 dias",
IF(AC1219&lt;=24,"20-24 dias",
IF(AC1219&lt;=30,"25-30 dias",
IF(AC1219&lt;=60,"31-60 dias",
"&gt;60 dias")))))</f>
        <v>&gt;60 dias</v>
      </c>
      <c r="AE1219" s="25">
        <f>MONTH(Tabela1[[#This Row],[Criado em]])</f>
        <v>10</v>
      </c>
      <c r="AF1219" s="25">
        <f>YEAR(Tabela1[[#This Row],[Criado em]])</f>
        <v>2025</v>
      </c>
      <c r="AG1219" s="25">
        <f>COUNTIFS(Tabela1[Mês],Tabela1[[#This Row],[Mês]])</f>
        <v>196</v>
      </c>
      <c r="AH1219" s="25">
        <f>COUNTIFS(Tabela1[Mês],Tabela1[[#This Row],[Mês]],Tabela1[Fase atual],"Recebido")</f>
        <v>138</v>
      </c>
      <c r="AI1219" s="26">
        <f>Tabela1[[#This Row],[Recebido_ Mes]]/Tabela1[[#This Row],[Total_Mes]]</f>
        <v>0.70408163265306123</v>
      </c>
      <c r="AJ1219" s="19">
        <f>COUNTIFS(Tabela1[Fase atual],"Recebido",Tabela1[Mês],Tabela1[[#This Row],[Mês]],Tabela1[Ano],Tabela1[[#This Row],[Ano]])/COUNTIF(Tabela1[Mês],Tabela1[[#This Row],[Mês]])</f>
        <v>0.70408163265306123</v>
      </c>
      <c r="AK1219" s="20">
        <f>100%</f>
        <v>1</v>
      </c>
    </row>
    <row r="1220" spans="1:37" ht="18" customHeight="1" x14ac:dyDescent="0.25">
      <c r="A1220">
        <v>1262362277</v>
      </c>
      <c r="B1220" t="s">
        <v>1891</v>
      </c>
      <c r="C1220" t="s">
        <v>1892</v>
      </c>
      <c r="D1220" t="s">
        <v>37</v>
      </c>
      <c r="E1220" t="s">
        <v>31</v>
      </c>
      <c r="F1220" s="2">
        <v>45993.545614317132</v>
      </c>
      <c r="AC1220" s="24">
        <f t="shared" ca="1" si="39"/>
        <v>140.45438568286772</v>
      </c>
      <c r="AD1220" s="25" t="str">
        <f t="shared" ca="1" si="40"/>
        <v>&gt;60 dias</v>
      </c>
      <c r="AE1220" s="25">
        <f>MONTH(Tabela1[[#This Row],[Criado em]])</f>
        <v>12</v>
      </c>
      <c r="AF1220" s="25">
        <f>YEAR(Tabela1[[#This Row],[Criado em]])</f>
        <v>2025</v>
      </c>
      <c r="AG1220" s="25">
        <f>COUNTIFS(Tabela1[Mês],Tabela1[[#This Row],[Mês]])</f>
        <v>207</v>
      </c>
      <c r="AH1220" s="25">
        <f>COUNTIFS(Tabela1[Mês],Tabela1[[#This Row],[Mês]],Tabela1[Fase atual],"Recebido")</f>
        <v>155</v>
      </c>
      <c r="AI1220" s="26">
        <f>Tabela1[[#This Row],[Recebido_ Mes]]/Tabela1[[#This Row],[Total_Mes]]</f>
        <v>0.74879227053140096</v>
      </c>
      <c r="AJ1220" s="19">
        <f>COUNTIFS(Tabela1[Fase atual],"Recebido",Tabela1[Mês],Tabela1[[#This Row],[Mês]],Tabela1[Ano],Tabela1[[#This Row],[Ano]])/COUNTIF(Tabela1[Mês],Tabela1[[#This Row],[Mês]])</f>
        <v>0.74879227053140096</v>
      </c>
      <c r="AK1220" s="20">
        <f>100%</f>
        <v>1</v>
      </c>
    </row>
    <row r="1221" spans="1:37" ht="18" customHeight="1" x14ac:dyDescent="0.25">
      <c r="A1221">
        <v>1225193346</v>
      </c>
      <c r="B1221" t="s">
        <v>1891</v>
      </c>
      <c r="C1221" t="s">
        <v>1893</v>
      </c>
      <c r="D1221" t="s">
        <v>37</v>
      </c>
      <c r="E1221" t="s">
        <v>31</v>
      </c>
      <c r="F1221" s="2">
        <v>45931.64299143519</v>
      </c>
      <c r="AC1221" s="24">
        <f t="shared" ca="1" si="39"/>
        <v>202.3570085648098</v>
      </c>
      <c r="AD1221" s="25" t="str">
        <f t="shared" ca="1" si="40"/>
        <v>&gt;60 dias</v>
      </c>
      <c r="AE1221" s="25">
        <f>MONTH(Tabela1[[#This Row],[Criado em]])</f>
        <v>10</v>
      </c>
      <c r="AF1221" s="25">
        <f>YEAR(Tabela1[[#This Row],[Criado em]])</f>
        <v>2025</v>
      </c>
      <c r="AG1221" s="25">
        <f>COUNTIFS(Tabela1[Mês],Tabela1[[#This Row],[Mês]])</f>
        <v>196</v>
      </c>
      <c r="AH1221" s="25">
        <f>COUNTIFS(Tabela1[Mês],Tabela1[[#This Row],[Mês]],Tabela1[Fase atual],"Recebido")</f>
        <v>138</v>
      </c>
      <c r="AI1221" s="26">
        <f>Tabela1[[#This Row],[Recebido_ Mes]]/Tabela1[[#This Row],[Total_Mes]]</f>
        <v>0.70408163265306123</v>
      </c>
      <c r="AJ1221" s="19">
        <f>COUNTIFS(Tabela1[Fase atual],"Recebido",Tabela1[Mês],Tabela1[[#This Row],[Mês]],Tabela1[Ano],Tabela1[[#This Row],[Ano]])/COUNTIF(Tabela1[Mês],Tabela1[[#This Row],[Mês]])</f>
        <v>0.70408163265306123</v>
      </c>
      <c r="AK1221" s="20">
        <f>100%</f>
        <v>1</v>
      </c>
    </row>
    <row r="1222" spans="1:37" ht="18" customHeight="1" x14ac:dyDescent="0.25">
      <c r="A1222">
        <v>1298304655</v>
      </c>
      <c r="B1222" t="s">
        <v>522</v>
      </c>
      <c r="C1222" t="s">
        <v>523</v>
      </c>
      <c r="D1222" t="s">
        <v>37</v>
      </c>
      <c r="E1222" t="s">
        <v>524</v>
      </c>
      <c r="F1222" s="2">
        <v>46069.688418645826</v>
      </c>
      <c r="AC1222" s="24">
        <f t="shared" ca="1" si="39"/>
        <v>64.311581354173541</v>
      </c>
      <c r="AD1222" s="25" t="str">
        <f t="shared" ca="1" si="40"/>
        <v>&gt;60 dias</v>
      </c>
      <c r="AE1222" s="25">
        <f>MONTH(Tabela1[[#This Row],[Criado em]])</f>
        <v>2</v>
      </c>
      <c r="AF1222" s="25">
        <f>YEAR(Tabela1[[#This Row],[Criado em]])</f>
        <v>2026</v>
      </c>
      <c r="AG1222" s="25">
        <f>COUNTIFS(Tabela1[Mês],Tabela1[[#This Row],[Mês]])</f>
        <v>197</v>
      </c>
      <c r="AH1222" s="25">
        <f>COUNTIFS(Tabela1[Mês],Tabela1[[#This Row],[Mês]],Tabela1[Fase atual],"Recebido")</f>
        <v>124</v>
      </c>
      <c r="AI1222" s="26">
        <f>Tabela1[[#This Row],[Recebido_ Mes]]/Tabela1[[#This Row],[Total_Mes]]</f>
        <v>0.62944162436548223</v>
      </c>
      <c r="AJ1222" s="19">
        <f>COUNTIFS(Tabela1[Fase atual],"Recebido",Tabela1[Mês],Tabela1[[#This Row],[Mês]],Tabela1[Ano],Tabela1[[#This Row],[Ano]])/COUNTIF(Tabela1[Mês],Tabela1[[#This Row],[Mês]])</f>
        <v>0.62944162436548223</v>
      </c>
      <c r="AK1222" s="20">
        <f>100%</f>
        <v>1</v>
      </c>
    </row>
    <row r="1223" spans="1:37" ht="18" customHeight="1" x14ac:dyDescent="0.25">
      <c r="A1223">
        <v>1179015918</v>
      </c>
      <c r="B1223" t="s">
        <v>1894</v>
      </c>
      <c r="C1223" t="s">
        <v>523</v>
      </c>
      <c r="D1223" t="s">
        <v>40</v>
      </c>
      <c r="E1223" t="s">
        <v>31</v>
      </c>
      <c r="F1223" s="2">
        <v>45856.851739837963</v>
      </c>
      <c r="AC1223" s="24">
        <f t="shared" ca="1" si="39"/>
        <v>277.14826016203733</v>
      </c>
      <c r="AD1223" s="25" t="str">
        <f t="shared" ca="1" si="40"/>
        <v>&gt;60 dias</v>
      </c>
      <c r="AE1223" s="25">
        <f>MONTH(Tabela1[[#This Row],[Criado em]])</f>
        <v>7</v>
      </c>
      <c r="AF1223" s="25">
        <f>YEAR(Tabela1[[#This Row],[Criado em]])</f>
        <v>2025</v>
      </c>
      <c r="AG1223" s="25">
        <f>COUNTIFS(Tabela1[Mês],Tabela1[[#This Row],[Mês]])</f>
        <v>177</v>
      </c>
      <c r="AH1223" s="25">
        <f>COUNTIFS(Tabela1[Mês],Tabela1[[#This Row],[Mês]],Tabela1[Fase atual],"Recebido")</f>
        <v>130</v>
      </c>
      <c r="AI1223" s="26">
        <f>Tabela1[[#This Row],[Recebido_ Mes]]/Tabela1[[#This Row],[Total_Mes]]</f>
        <v>0.7344632768361582</v>
      </c>
      <c r="AJ1223" s="19">
        <f>COUNTIFS(Tabela1[Fase atual],"Recebido",Tabela1[Mês],Tabela1[[#This Row],[Mês]],Tabela1[Ano],Tabela1[[#This Row],[Ano]])/COUNTIF(Tabela1[Mês],Tabela1[[#This Row],[Mês]])</f>
        <v>0.7344632768361582</v>
      </c>
      <c r="AK1223" s="20">
        <f>100%</f>
        <v>1</v>
      </c>
    </row>
    <row r="1224" spans="1:37" ht="18" customHeight="1" x14ac:dyDescent="0.25">
      <c r="A1224">
        <v>1180478931</v>
      </c>
      <c r="B1224" t="s">
        <v>1895</v>
      </c>
      <c r="C1224" t="s">
        <v>1896</v>
      </c>
      <c r="D1224" t="s">
        <v>37</v>
      </c>
      <c r="E1224" t="s">
        <v>31</v>
      </c>
      <c r="F1224" s="2">
        <v>45859.887012106483</v>
      </c>
      <c r="AC1224" s="24">
        <f t="shared" ca="1" si="39"/>
        <v>274.11298789351713</v>
      </c>
      <c r="AD1224" s="25" t="str">
        <f t="shared" ca="1" si="40"/>
        <v>&gt;60 dias</v>
      </c>
      <c r="AE1224" s="25">
        <f>MONTH(Tabela1[[#This Row],[Criado em]])</f>
        <v>7</v>
      </c>
      <c r="AF1224" s="25">
        <f>YEAR(Tabela1[[#This Row],[Criado em]])</f>
        <v>2025</v>
      </c>
      <c r="AG1224" s="25">
        <f>COUNTIFS(Tabela1[Mês],Tabela1[[#This Row],[Mês]])</f>
        <v>177</v>
      </c>
      <c r="AH1224" s="25">
        <f>COUNTIFS(Tabela1[Mês],Tabela1[[#This Row],[Mês]],Tabela1[Fase atual],"Recebido")</f>
        <v>130</v>
      </c>
      <c r="AI1224" s="26">
        <f>Tabela1[[#This Row],[Recebido_ Mes]]/Tabela1[[#This Row],[Total_Mes]]</f>
        <v>0.7344632768361582</v>
      </c>
      <c r="AJ1224" s="19">
        <f>COUNTIFS(Tabela1[Fase atual],"Recebido",Tabela1[Mês],Tabela1[[#This Row],[Mês]],Tabela1[Ano],Tabela1[[#This Row],[Ano]])/COUNTIF(Tabela1[Mês],Tabela1[[#This Row],[Mês]])</f>
        <v>0.7344632768361582</v>
      </c>
      <c r="AK1224" s="20">
        <f>100%</f>
        <v>1</v>
      </c>
    </row>
    <row r="1225" spans="1:37" ht="18" customHeight="1" x14ac:dyDescent="0.25">
      <c r="A1225">
        <v>1271535758</v>
      </c>
      <c r="B1225" t="s">
        <v>1897</v>
      </c>
      <c r="C1225" t="s">
        <v>2284</v>
      </c>
      <c r="D1225" t="s">
        <v>40</v>
      </c>
      <c r="E1225" t="s">
        <v>31</v>
      </c>
      <c r="F1225" s="2">
        <v>46013.796724976863</v>
      </c>
      <c r="AC1225" s="24">
        <f t="shared" ca="1" si="39"/>
        <v>120.20327502313739</v>
      </c>
      <c r="AD1225" s="25" t="str">
        <f t="shared" ca="1" si="40"/>
        <v>&gt;60 dias</v>
      </c>
      <c r="AE1225" s="25">
        <f>MONTH(Tabela1[[#This Row],[Criado em]])</f>
        <v>12</v>
      </c>
      <c r="AF1225" s="25">
        <f>YEAR(Tabela1[[#This Row],[Criado em]])</f>
        <v>2025</v>
      </c>
      <c r="AG1225" s="25">
        <f>COUNTIFS(Tabela1[Mês],Tabela1[[#This Row],[Mês]])</f>
        <v>207</v>
      </c>
      <c r="AH1225" s="25">
        <f>COUNTIFS(Tabela1[Mês],Tabela1[[#This Row],[Mês]],Tabela1[Fase atual],"Recebido")</f>
        <v>155</v>
      </c>
      <c r="AI1225" s="26">
        <f>Tabela1[[#This Row],[Recebido_ Mes]]/Tabela1[[#This Row],[Total_Mes]]</f>
        <v>0.74879227053140096</v>
      </c>
      <c r="AJ1225" s="19">
        <f>COUNTIFS(Tabela1[Fase atual],"Recebido",Tabela1[Mês],Tabela1[[#This Row],[Mês]],Tabela1[Ano],Tabela1[[#This Row],[Ano]])/COUNTIF(Tabela1[Mês],Tabela1[[#This Row],[Mês]])</f>
        <v>0.74879227053140096</v>
      </c>
      <c r="AK1225" s="20">
        <f>100%</f>
        <v>1</v>
      </c>
    </row>
    <row r="1226" spans="1:37" ht="18" customHeight="1" x14ac:dyDescent="0.25">
      <c r="A1226">
        <v>1294577564</v>
      </c>
      <c r="B1226" t="s">
        <v>525</v>
      </c>
      <c r="C1226" t="s">
        <v>526</v>
      </c>
      <c r="D1226" t="s">
        <v>40</v>
      </c>
      <c r="E1226" t="s">
        <v>31</v>
      </c>
      <c r="F1226" s="2">
        <v>46059.920118796297</v>
      </c>
      <c r="AC1226" s="24">
        <f t="shared" ca="1" si="39"/>
        <v>74.079881203702826</v>
      </c>
      <c r="AD1226" s="25" t="str">
        <f t="shared" ca="1" si="40"/>
        <v>&gt;60 dias</v>
      </c>
      <c r="AE1226" s="25">
        <f>MONTH(Tabela1[[#This Row],[Criado em]])</f>
        <v>2</v>
      </c>
      <c r="AF1226" s="25">
        <f>YEAR(Tabela1[[#This Row],[Criado em]])</f>
        <v>2026</v>
      </c>
      <c r="AG1226" s="25">
        <f>COUNTIFS(Tabela1[Mês],Tabela1[[#This Row],[Mês]])</f>
        <v>197</v>
      </c>
      <c r="AH1226" s="25">
        <f>COUNTIFS(Tabela1[Mês],Tabela1[[#This Row],[Mês]],Tabela1[Fase atual],"Recebido")</f>
        <v>124</v>
      </c>
      <c r="AI1226" s="26">
        <f>Tabela1[[#This Row],[Recebido_ Mes]]/Tabela1[[#This Row],[Total_Mes]]</f>
        <v>0.62944162436548223</v>
      </c>
      <c r="AJ1226" s="19">
        <f>COUNTIFS(Tabela1[Fase atual],"Recebido",Tabela1[Mês],Tabela1[[#This Row],[Mês]],Tabela1[Ano],Tabela1[[#This Row],[Ano]])/COUNTIF(Tabela1[Mês],Tabela1[[#This Row],[Mês]])</f>
        <v>0.62944162436548223</v>
      </c>
      <c r="AK1226" s="20">
        <f>100%</f>
        <v>1</v>
      </c>
    </row>
    <row r="1227" spans="1:37" ht="18" customHeight="1" x14ac:dyDescent="0.25">
      <c r="A1227">
        <v>1280610058</v>
      </c>
      <c r="B1227" t="s">
        <v>527</v>
      </c>
      <c r="C1227" t="s">
        <v>528</v>
      </c>
      <c r="D1227" t="s">
        <v>37</v>
      </c>
      <c r="E1227" t="s">
        <v>31</v>
      </c>
      <c r="F1227" s="2">
        <v>46034.796789745356</v>
      </c>
      <c r="AC1227" s="24">
        <f t="shared" ca="1" si="39"/>
        <v>99.203210254643636</v>
      </c>
      <c r="AD1227" s="25" t="str">
        <f t="shared" ca="1" si="40"/>
        <v>&gt;60 dias</v>
      </c>
      <c r="AE1227" s="25">
        <f>MONTH(Tabela1[[#This Row],[Criado em]])</f>
        <v>1</v>
      </c>
      <c r="AF1227" s="25">
        <f>YEAR(Tabela1[[#This Row],[Criado em]])</f>
        <v>2026</v>
      </c>
      <c r="AG1227" s="25">
        <f>COUNTIFS(Tabela1[Mês],Tabela1[[#This Row],[Mês]])</f>
        <v>222</v>
      </c>
      <c r="AH1227" s="25">
        <f>COUNTIFS(Tabela1[Mês],Tabela1[[#This Row],[Mês]],Tabela1[Fase atual],"Recebido")</f>
        <v>174</v>
      </c>
      <c r="AI1227" s="26">
        <f>Tabela1[[#This Row],[Recebido_ Mes]]/Tabela1[[#This Row],[Total_Mes]]</f>
        <v>0.78378378378378377</v>
      </c>
      <c r="AJ1227" s="19">
        <f>COUNTIFS(Tabela1[Fase atual],"Recebido",Tabela1[Mês],Tabela1[[#This Row],[Mês]],Tabela1[Ano],Tabela1[[#This Row],[Ano]])/COUNTIF(Tabela1[Mês],Tabela1[[#This Row],[Mês]])</f>
        <v>0.78378378378378377</v>
      </c>
      <c r="AK1227" s="20">
        <f>100%</f>
        <v>1</v>
      </c>
    </row>
    <row r="1228" spans="1:37" ht="18" customHeight="1" x14ac:dyDescent="0.25">
      <c r="A1228">
        <v>1176336659</v>
      </c>
      <c r="B1228" t="s">
        <v>527</v>
      </c>
      <c r="C1228" t="s">
        <v>528</v>
      </c>
      <c r="D1228" t="s">
        <v>37</v>
      </c>
      <c r="E1228" t="s">
        <v>31</v>
      </c>
      <c r="F1228" s="2">
        <v>45853.017906215267</v>
      </c>
      <c r="AC1228" s="24">
        <f t="shared" ca="1" si="39"/>
        <v>280.98209378473257</v>
      </c>
      <c r="AD1228" s="25" t="str">
        <f t="shared" ca="1" si="40"/>
        <v>&gt;60 dias</v>
      </c>
      <c r="AE1228" s="25">
        <f>MONTH(Tabela1[[#This Row],[Criado em]])</f>
        <v>7</v>
      </c>
      <c r="AF1228" s="25">
        <f>YEAR(Tabela1[[#This Row],[Criado em]])</f>
        <v>2025</v>
      </c>
      <c r="AG1228" s="25">
        <f>COUNTIFS(Tabela1[Mês],Tabela1[[#This Row],[Mês]])</f>
        <v>177</v>
      </c>
      <c r="AH1228" s="25">
        <f>COUNTIFS(Tabela1[Mês],Tabela1[[#This Row],[Mês]],Tabela1[Fase atual],"Recebido")</f>
        <v>130</v>
      </c>
      <c r="AI1228" s="26">
        <f>Tabela1[[#This Row],[Recebido_ Mes]]/Tabela1[[#This Row],[Total_Mes]]</f>
        <v>0.7344632768361582</v>
      </c>
      <c r="AJ1228" s="19">
        <f>COUNTIFS(Tabela1[Fase atual],"Recebido",Tabela1[Mês],Tabela1[[#This Row],[Mês]],Tabela1[Ano],Tabela1[[#This Row],[Ano]])/COUNTIF(Tabela1[Mês],Tabela1[[#This Row],[Mês]])</f>
        <v>0.7344632768361582</v>
      </c>
      <c r="AK1228" s="20">
        <f>100%</f>
        <v>1</v>
      </c>
    </row>
    <row r="1229" spans="1:37" ht="18" customHeight="1" x14ac:dyDescent="0.25">
      <c r="A1229">
        <v>1205939628</v>
      </c>
      <c r="B1229" t="s">
        <v>1898</v>
      </c>
      <c r="C1229" t="s">
        <v>1899</v>
      </c>
      <c r="D1229" t="s">
        <v>40</v>
      </c>
      <c r="E1229" t="s">
        <v>31</v>
      </c>
      <c r="F1229" s="2">
        <v>45901.709226678242</v>
      </c>
      <c r="AC1229" s="24">
        <f t="shared" ca="1" si="39"/>
        <v>232.29077332175802</v>
      </c>
      <c r="AD1229" s="25" t="str">
        <f t="shared" ca="1" si="40"/>
        <v>&gt;60 dias</v>
      </c>
      <c r="AE1229" s="25">
        <f>MONTH(Tabela1[[#This Row],[Criado em]])</f>
        <v>9</v>
      </c>
      <c r="AF1229" s="25">
        <f>YEAR(Tabela1[[#This Row],[Criado em]])</f>
        <v>2025</v>
      </c>
      <c r="AG1229" s="25">
        <f>COUNTIFS(Tabela1[Mês],Tabela1[[#This Row],[Mês]])</f>
        <v>197</v>
      </c>
      <c r="AH1229" s="25">
        <f>COUNTIFS(Tabela1[Mês],Tabela1[[#This Row],[Mês]],Tabela1[Fase atual],"Recebido")</f>
        <v>152</v>
      </c>
      <c r="AI1229" s="26">
        <f>Tabela1[[#This Row],[Recebido_ Mes]]/Tabela1[[#This Row],[Total_Mes]]</f>
        <v>0.77157360406091369</v>
      </c>
      <c r="AJ1229" s="19">
        <f>COUNTIFS(Tabela1[Fase atual],"Recebido",Tabela1[Mês],Tabela1[[#This Row],[Mês]],Tabela1[Ano],Tabela1[[#This Row],[Ano]])/COUNTIF(Tabela1[Mês],Tabela1[[#This Row],[Mês]])</f>
        <v>0.77157360406091369</v>
      </c>
      <c r="AK1229" s="20">
        <f>100%</f>
        <v>1</v>
      </c>
    </row>
    <row r="1230" spans="1:37" ht="18" customHeight="1" x14ac:dyDescent="0.25">
      <c r="A1230">
        <v>1229118270</v>
      </c>
      <c r="B1230" t="s">
        <v>1900</v>
      </c>
      <c r="C1230" t="s">
        <v>1901</v>
      </c>
      <c r="D1230" t="s">
        <v>37</v>
      </c>
      <c r="E1230" t="s">
        <v>31</v>
      </c>
      <c r="F1230" s="2">
        <v>45936.836743032407</v>
      </c>
      <c r="AC1230" s="24">
        <f t="shared" ca="1" si="39"/>
        <v>197.16325696759304</v>
      </c>
      <c r="AD1230" s="25" t="str">
        <f t="shared" ca="1" si="40"/>
        <v>&gt;60 dias</v>
      </c>
      <c r="AE1230" s="25">
        <f>MONTH(Tabela1[[#This Row],[Criado em]])</f>
        <v>10</v>
      </c>
      <c r="AF1230" s="25">
        <f>YEAR(Tabela1[[#This Row],[Criado em]])</f>
        <v>2025</v>
      </c>
      <c r="AG1230" s="25">
        <f>COUNTIFS(Tabela1[Mês],Tabela1[[#This Row],[Mês]])</f>
        <v>196</v>
      </c>
      <c r="AH1230" s="25">
        <f>COUNTIFS(Tabela1[Mês],Tabela1[[#This Row],[Mês]],Tabela1[Fase atual],"Recebido")</f>
        <v>138</v>
      </c>
      <c r="AI1230" s="26">
        <f>Tabela1[[#This Row],[Recebido_ Mes]]/Tabela1[[#This Row],[Total_Mes]]</f>
        <v>0.70408163265306123</v>
      </c>
      <c r="AJ1230" s="19">
        <f>COUNTIFS(Tabela1[Fase atual],"Recebido",Tabela1[Mês],Tabela1[[#This Row],[Mês]],Tabela1[Ano],Tabela1[[#This Row],[Ano]])/COUNTIF(Tabela1[Mês],Tabela1[[#This Row],[Mês]])</f>
        <v>0.70408163265306123</v>
      </c>
      <c r="AK1230" s="20">
        <f>100%</f>
        <v>1</v>
      </c>
    </row>
    <row r="1231" spans="1:37" ht="18" customHeight="1" x14ac:dyDescent="0.25">
      <c r="A1231">
        <v>1264181225</v>
      </c>
      <c r="B1231" t="s">
        <v>1900</v>
      </c>
      <c r="C1231" t="s">
        <v>1902</v>
      </c>
      <c r="D1231" t="s">
        <v>37</v>
      </c>
      <c r="E1231" t="s">
        <v>31</v>
      </c>
      <c r="F1231" s="2">
        <v>45995.712567673618</v>
      </c>
      <c r="AC1231" s="24">
        <f t="shared" ca="1" si="39"/>
        <v>138.28743232638226</v>
      </c>
      <c r="AD1231" s="25" t="str">
        <f t="shared" ca="1" si="40"/>
        <v>&gt;60 dias</v>
      </c>
      <c r="AE1231" s="25">
        <f>MONTH(Tabela1[[#This Row],[Criado em]])</f>
        <v>12</v>
      </c>
      <c r="AF1231" s="25">
        <f>YEAR(Tabela1[[#This Row],[Criado em]])</f>
        <v>2025</v>
      </c>
      <c r="AG1231" s="25">
        <f>COUNTIFS(Tabela1[Mês],Tabela1[[#This Row],[Mês]])</f>
        <v>207</v>
      </c>
      <c r="AH1231" s="25">
        <f>COUNTIFS(Tabela1[Mês],Tabela1[[#This Row],[Mês]],Tabela1[Fase atual],"Recebido")</f>
        <v>155</v>
      </c>
      <c r="AI1231" s="26">
        <f>Tabela1[[#This Row],[Recebido_ Mes]]/Tabela1[[#This Row],[Total_Mes]]</f>
        <v>0.74879227053140096</v>
      </c>
      <c r="AJ1231" s="19">
        <f>COUNTIFS(Tabela1[Fase atual],"Recebido",Tabela1[Mês],Tabela1[[#This Row],[Mês]],Tabela1[Ano],Tabela1[[#This Row],[Ano]])/COUNTIF(Tabela1[Mês],Tabela1[[#This Row],[Mês]])</f>
        <v>0.74879227053140096</v>
      </c>
      <c r="AK1231" s="20">
        <f>100%</f>
        <v>1</v>
      </c>
    </row>
    <row r="1232" spans="1:37" ht="18" customHeight="1" x14ac:dyDescent="0.25">
      <c r="A1232">
        <v>1212771179</v>
      </c>
      <c r="B1232" t="s">
        <v>1900</v>
      </c>
      <c r="C1232" t="s">
        <v>1902</v>
      </c>
      <c r="D1232" t="s">
        <v>37</v>
      </c>
      <c r="E1232" t="s">
        <v>31</v>
      </c>
      <c r="F1232" s="2">
        <v>45911.831544733803</v>
      </c>
      <c r="AC1232" s="24">
        <f t="shared" ca="1" si="39"/>
        <v>222.16845526619727</v>
      </c>
      <c r="AD1232" s="25" t="str">
        <f t="shared" ca="1" si="40"/>
        <v>&gt;60 dias</v>
      </c>
      <c r="AE1232" s="25">
        <f>MONTH(Tabela1[[#This Row],[Criado em]])</f>
        <v>9</v>
      </c>
      <c r="AF1232" s="25">
        <f>YEAR(Tabela1[[#This Row],[Criado em]])</f>
        <v>2025</v>
      </c>
      <c r="AG1232" s="25">
        <f>COUNTIFS(Tabela1[Mês],Tabela1[[#This Row],[Mês]])</f>
        <v>197</v>
      </c>
      <c r="AH1232" s="25">
        <f>COUNTIFS(Tabela1[Mês],Tabela1[[#This Row],[Mês]],Tabela1[Fase atual],"Recebido")</f>
        <v>152</v>
      </c>
      <c r="AI1232" s="26">
        <f>Tabela1[[#This Row],[Recebido_ Mes]]/Tabela1[[#This Row],[Total_Mes]]</f>
        <v>0.77157360406091369</v>
      </c>
      <c r="AJ1232" s="19">
        <f>COUNTIFS(Tabela1[Fase atual],"Recebido",Tabela1[Mês],Tabela1[[#This Row],[Mês]],Tabela1[Ano],Tabela1[[#This Row],[Ano]])/COUNTIF(Tabela1[Mês],Tabela1[[#This Row],[Mês]])</f>
        <v>0.77157360406091369</v>
      </c>
      <c r="AK1232" s="20">
        <f>100%</f>
        <v>1</v>
      </c>
    </row>
    <row r="1233" spans="1:37" ht="18" customHeight="1" x14ac:dyDescent="0.25">
      <c r="A1233">
        <v>1251274432</v>
      </c>
      <c r="B1233" t="s">
        <v>1903</v>
      </c>
      <c r="C1233" t="s">
        <v>1904</v>
      </c>
      <c r="D1233" t="s">
        <v>37</v>
      </c>
      <c r="E1233" t="s">
        <v>517</v>
      </c>
      <c r="F1233" s="2">
        <v>45967.837576481477</v>
      </c>
      <c r="AC1233" s="24">
        <f t="shared" ca="1" si="39"/>
        <v>166.1624235185227</v>
      </c>
      <c r="AD1233" s="25" t="str">
        <f t="shared" ca="1" si="40"/>
        <v>&gt;60 dias</v>
      </c>
      <c r="AE1233" s="25">
        <f>MONTH(Tabela1[[#This Row],[Criado em]])</f>
        <v>11</v>
      </c>
      <c r="AF1233" s="25">
        <f>YEAR(Tabela1[[#This Row],[Criado em]])</f>
        <v>2025</v>
      </c>
      <c r="AG1233" s="25">
        <f>COUNTIFS(Tabela1[Mês],Tabela1[[#This Row],[Mês]])</f>
        <v>130</v>
      </c>
      <c r="AH1233" s="25">
        <f>COUNTIFS(Tabela1[Mês],Tabela1[[#This Row],[Mês]],Tabela1[Fase atual],"Recebido")</f>
        <v>100</v>
      </c>
      <c r="AI1233" s="26">
        <f>Tabela1[[#This Row],[Recebido_ Mes]]/Tabela1[[#This Row],[Total_Mes]]</f>
        <v>0.76923076923076927</v>
      </c>
      <c r="AJ1233" s="19">
        <f>COUNTIFS(Tabela1[Fase atual],"Recebido",Tabela1[Mês],Tabela1[[#This Row],[Mês]],Tabela1[Ano],Tabela1[[#This Row],[Ano]])/COUNTIF(Tabela1[Mês],Tabela1[[#This Row],[Mês]])</f>
        <v>0.76923076923076927</v>
      </c>
      <c r="AK1233" s="20">
        <f>100%</f>
        <v>1</v>
      </c>
    </row>
    <row r="1234" spans="1:37" ht="18" customHeight="1" x14ac:dyDescent="0.25">
      <c r="A1234">
        <v>1245631611</v>
      </c>
      <c r="B1234" t="s">
        <v>668</v>
      </c>
      <c r="C1234" t="s">
        <v>2263</v>
      </c>
      <c r="D1234" t="s">
        <v>40</v>
      </c>
      <c r="E1234" t="s">
        <v>31</v>
      </c>
      <c r="F1234" s="2">
        <v>45957.794930138887</v>
      </c>
      <c r="AC1234" s="24">
        <f t="shared" ca="1" si="39"/>
        <v>176.20506986111286</v>
      </c>
      <c r="AD1234" s="25" t="str">
        <f t="shared" ca="1" si="40"/>
        <v>&gt;60 dias</v>
      </c>
      <c r="AE1234" s="25">
        <f>MONTH(Tabela1[[#This Row],[Criado em]])</f>
        <v>10</v>
      </c>
      <c r="AF1234" s="25">
        <f>YEAR(Tabela1[[#This Row],[Criado em]])</f>
        <v>2025</v>
      </c>
      <c r="AG1234" s="25">
        <f>COUNTIFS(Tabela1[Mês],Tabela1[[#This Row],[Mês]])</f>
        <v>196</v>
      </c>
      <c r="AH1234" s="25">
        <f>COUNTIFS(Tabela1[Mês],Tabela1[[#This Row],[Mês]],Tabela1[Fase atual],"Recebido")</f>
        <v>138</v>
      </c>
      <c r="AI1234" s="26">
        <f>Tabela1[[#This Row],[Recebido_ Mes]]/Tabela1[[#This Row],[Total_Mes]]</f>
        <v>0.70408163265306123</v>
      </c>
      <c r="AJ1234" s="19">
        <f>COUNTIFS(Tabela1[Fase atual],"Recebido",Tabela1[Mês],Tabela1[[#This Row],[Mês]],Tabela1[Ano],Tabela1[[#This Row],[Ano]])/COUNTIF(Tabela1[Mês],Tabela1[[#This Row],[Mês]])</f>
        <v>0.70408163265306123</v>
      </c>
      <c r="AK1234" s="20">
        <f>100%</f>
        <v>1</v>
      </c>
    </row>
    <row r="1235" spans="1:37" ht="18" customHeight="1" x14ac:dyDescent="0.25">
      <c r="A1235">
        <v>1173790582</v>
      </c>
      <c r="B1235" t="s">
        <v>1905</v>
      </c>
      <c r="C1235" t="s">
        <v>1906</v>
      </c>
      <c r="D1235" t="s">
        <v>37</v>
      </c>
      <c r="E1235" t="s">
        <v>31</v>
      </c>
      <c r="F1235" s="2">
        <v>45847.850725787037</v>
      </c>
      <c r="AC1235" s="24">
        <f t="shared" ca="1" si="39"/>
        <v>286.14927421296306</v>
      </c>
      <c r="AD1235" s="25" t="str">
        <f t="shared" ca="1" si="40"/>
        <v>&gt;60 dias</v>
      </c>
      <c r="AE1235" s="25">
        <f>MONTH(Tabela1[[#This Row],[Criado em]])</f>
        <v>7</v>
      </c>
      <c r="AF1235" s="25">
        <f>YEAR(Tabela1[[#This Row],[Criado em]])</f>
        <v>2025</v>
      </c>
      <c r="AG1235" s="25">
        <f>COUNTIFS(Tabela1[Mês],Tabela1[[#This Row],[Mês]])</f>
        <v>177</v>
      </c>
      <c r="AH1235" s="25">
        <f>COUNTIFS(Tabela1[Mês],Tabela1[[#This Row],[Mês]],Tabela1[Fase atual],"Recebido")</f>
        <v>130</v>
      </c>
      <c r="AI1235" s="26">
        <f>Tabela1[[#This Row],[Recebido_ Mes]]/Tabela1[[#This Row],[Total_Mes]]</f>
        <v>0.7344632768361582</v>
      </c>
      <c r="AJ1235" s="19">
        <f>COUNTIFS(Tabela1[Fase atual],"Recebido",Tabela1[Mês],Tabela1[[#This Row],[Mês]],Tabela1[Ano],Tabela1[[#This Row],[Ano]])/COUNTIF(Tabela1[Mês],Tabela1[[#This Row],[Mês]])</f>
        <v>0.7344632768361582</v>
      </c>
      <c r="AK1235" s="20">
        <f>100%</f>
        <v>1</v>
      </c>
    </row>
    <row r="1236" spans="1:37" ht="18" customHeight="1" x14ac:dyDescent="0.25">
      <c r="A1236">
        <v>1276682553</v>
      </c>
      <c r="B1236" t="s">
        <v>529</v>
      </c>
      <c r="C1236" t="s">
        <v>530</v>
      </c>
      <c r="D1236" t="s">
        <v>37</v>
      </c>
      <c r="E1236" t="s">
        <v>31</v>
      </c>
      <c r="F1236" s="2">
        <v>46027.920069270833</v>
      </c>
      <c r="AC1236" s="24">
        <f t="shared" ca="1" si="39"/>
        <v>106.07993072916724</v>
      </c>
      <c r="AD1236" s="25" t="str">
        <f t="shared" ca="1" si="40"/>
        <v>&gt;60 dias</v>
      </c>
      <c r="AE1236" s="25">
        <f>MONTH(Tabela1[[#This Row],[Criado em]])</f>
        <v>1</v>
      </c>
      <c r="AF1236" s="25">
        <f>YEAR(Tabela1[[#This Row],[Criado em]])</f>
        <v>2026</v>
      </c>
      <c r="AG1236" s="25">
        <f>COUNTIFS(Tabela1[Mês],Tabela1[[#This Row],[Mês]])</f>
        <v>222</v>
      </c>
      <c r="AH1236" s="25">
        <f>COUNTIFS(Tabela1[Mês],Tabela1[[#This Row],[Mês]],Tabela1[Fase atual],"Recebido")</f>
        <v>174</v>
      </c>
      <c r="AI1236" s="26">
        <f>Tabela1[[#This Row],[Recebido_ Mes]]/Tabela1[[#This Row],[Total_Mes]]</f>
        <v>0.78378378378378377</v>
      </c>
      <c r="AJ1236" s="19">
        <f>COUNTIFS(Tabela1[Fase atual],"Recebido",Tabela1[Mês],Tabela1[[#This Row],[Mês]],Tabela1[Ano],Tabela1[[#This Row],[Ano]])/COUNTIF(Tabela1[Mês],Tabela1[[#This Row],[Mês]])</f>
        <v>0.78378378378378377</v>
      </c>
      <c r="AK1236" s="20">
        <f>100%</f>
        <v>1</v>
      </c>
    </row>
    <row r="1237" spans="1:37" ht="18" customHeight="1" x14ac:dyDescent="0.25">
      <c r="A1237">
        <v>1280425569</v>
      </c>
      <c r="B1237" t="s">
        <v>529</v>
      </c>
      <c r="C1237" t="s">
        <v>531</v>
      </c>
      <c r="D1237" t="s">
        <v>202</v>
      </c>
      <c r="E1237" t="s">
        <v>31</v>
      </c>
      <c r="F1237" s="2">
        <v>46034.629176435192</v>
      </c>
      <c r="AC1237" s="24">
        <f t="shared" ca="1" si="39"/>
        <v>99.370823564808234</v>
      </c>
      <c r="AD1237" s="25" t="str">
        <f t="shared" ca="1" si="40"/>
        <v>&gt;60 dias</v>
      </c>
      <c r="AE1237" s="25">
        <f>MONTH(Tabela1[[#This Row],[Criado em]])</f>
        <v>1</v>
      </c>
      <c r="AF1237" s="25">
        <f>YEAR(Tabela1[[#This Row],[Criado em]])</f>
        <v>2026</v>
      </c>
      <c r="AG1237" s="25">
        <f>COUNTIFS(Tabela1[Mês],Tabela1[[#This Row],[Mês]])</f>
        <v>222</v>
      </c>
      <c r="AH1237" s="25">
        <f>COUNTIFS(Tabela1[Mês],Tabela1[[#This Row],[Mês]],Tabela1[Fase atual],"Recebido")</f>
        <v>174</v>
      </c>
      <c r="AI1237" s="26">
        <f>Tabela1[[#This Row],[Recebido_ Mes]]/Tabela1[[#This Row],[Total_Mes]]</f>
        <v>0.78378378378378377</v>
      </c>
      <c r="AJ1237" s="19">
        <f>COUNTIFS(Tabela1[Fase atual],"Recebido",Tabela1[Mês],Tabela1[[#This Row],[Mês]],Tabela1[Ano],Tabela1[[#This Row],[Ano]])/COUNTIF(Tabela1[Mês],Tabela1[[#This Row],[Mês]])</f>
        <v>0.78378378378378377</v>
      </c>
      <c r="AK1237" s="20">
        <f>100%</f>
        <v>1</v>
      </c>
    </row>
    <row r="1238" spans="1:37" ht="18" customHeight="1" x14ac:dyDescent="0.25">
      <c r="A1238">
        <v>1213467834</v>
      </c>
      <c r="B1238" t="s">
        <v>1907</v>
      </c>
      <c r="C1238" t="s">
        <v>1908</v>
      </c>
      <c r="D1238" t="s">
        <v>37</v>
      </c>
      <c r="E1238" t="s">
        <v>31</v>
      </c>
      <c r="F1238" s="2">
        <v>45912.853277986113</v>
      </c>
      <c r="AC1238" s="24">
        <f t="shared" ca="1" si="39"/>
        <v>221.14672201388748</v>
      </c>
      <c r="AD1238" s="25" t="str">
        <f t="shared" ca="1" si="40"/>
        <v>&gt;60 dias</v>
      </c>
      <c r="AE1238" s="25">
        <f>MONTH(Tabela1[[#This Row],[Criado em]])</f>
        <v>9</v>
      </c>
      <c r="AF1238" s="25">
        <f>YEAR(Tabela1[[#This Row],[Criado em]])</f>
        <v>2025</v>
      </c>
      <c r="AG1238" s="25">
        <f>COUNTIFS(Tabela1[Mês],Tabela1[[#This Row],[Mês]])</f>
        <v>197</v>
      </c>
      <c r="AH1238" s="25">
        <f>COUNTIFS(Tabela1[Mês],Tabela1[[#This Row],[Mês]],Tabela1[Fase atual],"Recebido")</f>
        <v>152</v>
      </c>
      <c r="AI1238" s="26">
        <f>Tabela1[[#This Row],[Recebido_ Mes]]/Tabela1[[#This Row],[Total_Mes]]</f>
        <v>0.77157360406091369</v>
      </c>
      <c r="AJ1238" s="19">
        <f>COUNTIFS(Tabela1[Fase atual],"Recebido",Tabela1[Mês],Tabela1[[#This Row],[Mês]],Tabela1[Ano],Tabela1[[#This Row],[Ano]])/COUNTIF(Tabela1[Mês],Tabela1[[#This Row],[Mês]])</f>
        <v>0.77157360406091369</v>
      </c>
      <c r="AK1238" s="20">
        <f>100%</f>
        <v>1</v>
      </c>
    </row>
    <row r="1239" spans="1:37" ht="18" customHeight="1" x14ac:dyDescent="0.25">
      <c r="A1239">
        <v>1308390475</v>
      </c>
      <c r="B1239" t="s">
        <v>503</v>
      </c>
      <c r="C1239" t="s">
        <v>2264</v>
      </c>
      <c r="D1239" t="s">
        <v>2179</v>
      </c>
      <c r="E1239" t="s">
        <v>31</v>
      </c>
      <c r="F1239" s="2">
        <v>46084.794729780093</v>
      </c>
      <c r="AC1239" s="24">
        <f t="shared" ca="1" si="39"/>
        <v>49.205270219907106</v>
      </c>
      <c r="AD1239" s="25" t="str">
        <f t="shared" ca="1" si="40"/>
        <v>31-60 dias</v>
      </c>
      <c r="AE1239" s="25">
        <f>MONTH(Tabela1[[#This Row],[Criado em]])</f>
        <v>3</v>
      </c>
      <c r="AF1239" s="25">
        <f>YEAR(Tabela1[[#This Row],[Criado em]])</f>
        <v>2026</v>
      </c>
      <c r="AG1239" s="25">
        <f>COUNTIFS(Tabela1[Mês],Tabela1[[#This Row],[Mês]])</f>
        <v>62</v>
      </c>
      <c r="AH1239" s="25">
        <f>COUNTIFS(Tabela1[Mês],Tabela1[[#This Row],[Mês]],Tabela1[Fase atual],"Recebido")</f>
        <v>13</v>
      </c>
      <c r="AI1239" s="26">
        <f>Tabela1[[#This Row],[Recebido_ Mes]]/Tabela1[[#This Row],[Total_Mes]]</f>
        <v>0.20967741935483872</v>
      </c>
      <c r="AJ1239" s="19">
        <f>COUNTIFS(Tabela1[Fase atual],"Recebido",Tabela1[Mês],Tabela1[[#This Row],[Mês]],Tabela1[Ano],Tabela1[[#This Row],[Ano]])/COUNTIF(Tabela1[Mês],Tabela1[[#This Row],[Mês]])</f>
        <v>0.20967741935483872</v>
      </c>
      <c r="AK1239" s="20">
        <f>100%</f>
        <v>1</v>
      </c>
    </row>
    <row r="1240" spans="1:37" ht="18" customHeight="1" x14ac:dyDescent="0.25">
      <c r="A1240">
        <v>1289082483</v>
      </c>
      <c r="B1240" t="s">
        <v>532</v>
      </c>
      <c r="C1240" t="s">
        <v>533</v>
      </c>
      <c r="D1240" t="s">
        <v>37</v>
      </c>
      <c r="E1240" t="s">
        <v>31</v>
      </c>
      <c r="F1240" s="2">
        <v>46049.91990306713</v>
      </c>
      <c r="AC1240" s="24">
        <f t="shared" ca="1" si="39"/>
        <v>84.080096932870219</v>
      </c>
      <c r="AD1240" s="25" t="str">
        <f t="shared" ca="1" si="40"/>
        <v>&gt;60 dias</v>
      </c>
      <c r="AE1240" s="25">
        <f>MONTH(Tabela1[[#This Row],[Criado em]])</f>
        <v>1</v>
      </c>
      <c r="AF1240" s="25">
        <f>YEAR(Tabela1[[#This Row],[Criado em]])</f>
        <v>2026</v>
      </c>
      <c r="AG1240" s="25">
        <f>COUNTIFS(Tabela1[Mês],Tabela1[[#This Row],[Mês]])</f>
        <v>222</v>
      </c>
      <c r="AH1240" s="25">
        <f>COUNTIFS(Tabela1[Mês],Tabela1[[#This Row],[Mês]],Tabela1[Fase atual],"Recebido")</f>
        <v>174</v>
      </c>
      <c r="AI1240" s="26">
        <f>Tabela1[[#This Row],[Recebido_ Mes]]/Tabela1[[#This Row],[Total_Mes]]</f>
        <v>0.78378378378378377</v>
      </c>
      <c r="AJ1240" s="19">
        <f>COUNTIFS(Tabela1[Fase atual],"Recebido",Tabela1[Mês],Tabela1[[#This Row],[Mês]],Tabela1[Ano],Tabela1[[#This Row],[Ano]])/COUNTIF(Tabela1[Mês],Tabela1[[#This Row],[Mês]])</f>
        <v>0.78378378378378377</v>
      </c>
      <c r="AK1240" s="20">
        <f>100%</f>
        <v>1</v>
      </c>
    </row>
    <row r="1241" spans="1:37" ht="18" customHeight="1" x14ac:dyDescent="0.25">
      <c r="A1241">
        <v>1239780691</v>
      </c>
      <c r="B1241" t="s">
        <v>532</v>
      </c>
      <c r="C1241" t="s">
        <v>533</v>
      </c>
      <c r="D1241" t="s">
        <v>37</v>
      </c>
      <c r="E1241" t="s">
        <v>31</v>
      </c>
      <c r="F1241" s="2">
        <v>45950.626919432871</v>
      </c>
      <c r="AC1241" s="24">
        <f t="shared" ca="1" si="39"/>
        <v>183.37308056712936</v>
      </c>
      <c r="AD1241" s="25" t="str">
        <f t="shared" ca="1" si="40"/>
        <v>&gt;60 dias</v>
      </c>
      <c r="AE1241" s="25">
        <f>MONTH(Tabela1[[#This Row],[Criado em]])</f>
        <v>10</v>
      </c>
      <c r="AF1241" s="25">
        <f>YEAR(Tabela1[[#This Row],[Criado em]])</f>
        <v>2025</v>
      </c>
      <c r="AG1241" s="25">
        <f>COUNTIFS(Tabela1[Mês],Tabela1[[#This Row],[Mês]])</f>
        <v>196</v>
      </c>
      <c r="AH1241" s="25">
        <f>COUNTIFS(Tabela1[Mês],Tabela1[[#This Row],[Mês]],Tabela1[Fase atual],"Recebido")</f>
        <v>138</v>
      </c>
      <c r="AI1241" s="26">
        <f>Tabela1[[#This Row],[Recebido_ Mes]]/Tabela1[[#This Row],[Total_Mes]]</f>
        <v>0.70408163265306123</v>
      </c>
      <c r="AJ1241" s="19">
        <f>COUNTIFS(Tabela1[Fase atual],"Recebido",Tabela1[Mês],Tabela1[[#This Row],[Mês]],Tabela1[Ano],Tabela1[[#This Row],[Ano]])/COUNTIF(Tabela1[Mês],Tabela1[[#This Row],[Mês]])</f>
        <v>0.70408163265306123</v>
      </c>
      <c r="AK1241" s="20">
        <f>100%</f>
        <v>1</v>
      </c>
    </row>
    <row r="1242" spans="1:37" ht="18" customHeight="1" x14ac:dyDescent="0.25">
      <c r="A1242">
        <v>1284174209</v>
      </c>
      <c r="B1242" t="s">
        <v>532</v>
      </c>
      <c r="C1242" t="s">
        <v>533</v>
      </c>
      <c r="D1242" t="s">
        <v>37</v>
      </c>
      <c r="E1242" t="s">
        <v>31</v>
      </c>
      <c r="F1242" s="2">
        <v>46041.919082905093</v>
      </c>
      <c r="AC1242" s="24">
        <f t="shared" ca="1" si="39"/>
        <v>92.080917094906908</v>
      </c>
      <c r="AD1242" s="25" t="str">
        <f t="shared" ca="1" si="40"/>
        <v>&gt;60 dias</v>
      </c>
      <c r="AE1242" s="25">
        <f>MONTH(Tabela1[[#This Row],[Criado em]])</f>
        <v>1</v>
      </c>
      <c r="AF1242" s="25">
        <f>YEAR(Tabela1[[#This Row],[Criado em]])</f>
        <v>2026</v>
      </c>
      <c r="AG1242" s="25">
        <f>COUNTIFS(Tabela1[Mês],Tabela1[[#This Row],[Mês]])</f>
        <v>222</v>
      </c>
      <c r="AH1242" s="25">
        <f>COUNTIFS(Tabela1[Mês],Tabela1[[#This Row],[Mês]],Tabela1[Fase atual],"Recebido")</f>
        <v>174</v>
      </c>
      <c r="AI1242" s="26">
        <f>Tabela1[[#This Row],[Recebido_ Mes]]/Tabela1[[#This Row],[Total_Mes]]</f>
        <v>0.78378378378378377</v>
      </c>
      <c r="AJ1242" s="19">
        <f>COUNTIFS(Tabela1[Fase atual],"Recebido",Tabela1[Mês],Tabela1[[#This Row],[Mês]],Tabela1[Ano],Tabela1[[#This Row],[Ano]])/COUNTIF(Tabela1[Mês],Tabela1[[#This Row],[Mês]])</f>
        <v>0.78378378378378377</v>
      </c>
      <c r="AK1242" s="20">
        <f>100%</f>
        <v>1</v>
      </c>
    </row>
    <row r="1243" spans="1:37" ht="18" customHeight="1" x14ac:dyDescent="0.25">
      <c r="A1243">
        <v>1293185577</v>
      </c>
      <c r="B1243" t="s">
        <v>532</v>
      </c>
      <c r="C1243" t="s">
        <v>533</v>
      </c>
      <c r="D1243" t="s">
        <v>37</v>
      </c>
      <c r="E1243" t="s">
        <v>31</v>
      </c>
      <c r="F1243" s="2">
        <v>46057.675666770832</v>
      </c>
      <c r="AC1243" s="24">
        <f t="shared" ca="1" si="39"/>
        <v>76.324333229167678</v>
      </c>
      <c r="AD1243" s="25" t="str">
        <f t="shared" ca="1" si="40"/>
        <v>&gt;60 dias</v>
      </c>
      <c r="AE1243" s="25">
        <f>MONTH(Tabela1[[#This Row],[Criado em]])</f>
        <v>2</v>
      </c>
      <c r="AF1243" s="25">
        <f>YEAR(Tabela1[[#This Row],[Criado em]])</f>
        <v>2026</v>
      </c>
      <c r="AG1243" s="25">
        <f>COUNTIFS(Tabela1[Mês],Tabela1[[#This Row],[Mês]])</f>
        <v>197</v>
      </c>
      <c r="AH1243" s="25">
        <f>COUNTIFS(Tabela1[Mês],Tabela1[[#This Row],[Mês]],Tabela1[Fase atual],"Recebido")</f>
        <v>124</v>
      </c>
      <c r="AI1243" s="26">
        <f>Tabela1[[#This Row],[Recebido_ Mes]]/Tabela1[[#This Row],[Total_Mes]]</f>
        <v>0.62944162436548223</v>
      </c>
      <c r="AJ1243" s="19">
        <f>COUNTIFS(Tabela1[Fase atual],"Recebido",Tabela1[Mês],Tabela1[[#This Row],[Mês]],Tabela1[Ano],Tabela1[[#This Row],[Ano]])/COUNTIF(Tabela1[Mês],Tabela1[[#This Row],[Mês]])</f>
        <v>0.62944162436548223</v>
      </c>
      <c r="AK1243" s="20">
        <f>100%</f>
        <v>1</v>
      </c>
    </row>
    <row r="1244" spans="1:37" ht="18" customHeight="1" x14ac:dyDescent="0.25">
      <c r="A1244">
        <v>1268999651</v>
      </c>
      <c r="B1244" t="s">
        <v>532</v>
      </c>
      <c r="C1244" t="s">
        <v>533</v>
      </c>
      <c r="D1244" t="s">
        <v>37</v>
      </c>
      <c r="E1244" t="s">
        <v>31</v>
      </c>
      <c r="F1244" s="2">
        <v>46007.629126006941</v>
      </c>
      <c r="AC1244" s="24">
        <f t="shared" ca="1" si="39"/>
        <v>126.37087399305892</v>
      </c>
      <c r="AD1244" s="25" t="str">
        <f t="shared" ca="1" si="40"/>
        <v>&gt;60 dias</v>
      </c>
      <c r="AE1244" s="25">
        <f>MONTH(Tabela1[[#This Row],[Criado em]])</f>
        <v>12</v>
      </c>
      <c r="AF1244" s="25">
        <f>YEAR(Tabela1[[#This Row],[Criado em]])</f>
        <v>2025</v>
      </c>
      <c r="AG1244" s="25">
        <f>COUNTIFS(Tabela1[Mês],Tabela1[[#This Row],[Mês]])</f>
        <v>207</v>
      </c>
      <c r="AH1244" s="25">
        <f>COUNTIFS(Tabela1[Mês],Tabela1[[#This Row],[Mês]],Tabela1[Fase atual],"Recebido")</f>
        <v>155</v>
      </c>
      <c r="AI1244" s="26">
        <f>Tabela1[[#This Row],[Recebido_ Mes]]/Tabela1[[#This Row],[Total_Mes]]</f>
        <v>0.74879227053140096</v>
      </c>
      <c r="AJ1244" s="19">
        <f>COUNTIFS(Tabela1[Fase atual],"Recebido",Tabela1[Mês],Tabela1[[#This Row],[Mês]],Tabela1[Ano],Tabela1[[#This Row],[Ano]])/COUNTIF(Tabela1[Mês],Tabela1[[#This Row],[Mês]])</f>
        <v>0.74879227053140096</v>
      </c>
      <c r="AK1244" s="20">
        <f>100%</f>
        <v>1</v>
      </c>
    </row>
    <row r="1245" spans="1:37" ht="18" customHeight="1" x14ac:dyDescent="0.25">
      <c r="A1245">
        <v>1281250417</v>
      </c>
      <c r="B1245" t="s">
        <v>532</v>
      </c>
      <c r="C1245" t="s">
        <v>2265</v>
      </c>
      <c r="D1245" t="s">
        <v>40</v>
      </c>
      <c r="E1245" t="s">
        <v>31</v>
      </c>
      <c r="F1245" s="2">
        <v>46035.793704016207</v>
      </c>
      <c r="AC1245" s="24">
        <f t="shared" ca="1" si="39"/>
        <v>98.206295983793098</v>
      </c>
      <c r="AD1245" s="25" t="str">
        <f t="shared" ca="1" si="40"/>
        <v>&gt;60 dias</v>
      </c>
      <c r="AE1245" s="25">
        <f>MONTH(Tabela1[[#This Row],[Criado em]])</f>
        <v>1</v>
      </c>
      <c r="AF1245" s="25">
        <f>YEAR(Tabela1[[#This Row],[Criado em]])</f>
        <v>2026</v>
      </c>
      <c r="AG1245" s="25">
        <f>COUNTIFS(Tabela1[Mês],Tabela1[[#This Row],[Mês]])</f>
        <v>222</v>
      </c>
      <c r="AH1245" s="25">
        <f>COUNTIFS(Tabela1[Mês],Tabela1[[#This Row],[Mês]],Tabela1[Fase atual],"Recebido")</f>
        <v>174</v>
      </c>
      <c r="AI1245" s="26">
        <f>Tabela1[[#This Row],[Recebido_ Mes]]/Tabela1[[#This Row],[Total_Mes]]</f>
        <v>0.78378378378378377</v>
      </c>
      <c r="AJ1245" s="19">
        <f>COUNTIFS(Tabela1[Fase atual],"Recebido",Tabela1[Mês],Tabela1[[#This Row],[Mês]],Tabela1[Ano],Tabela1[[#This Row],[Ano]])/COUNTIF(Tabela1[Mês],Tabela1[[#This Row],[Mês]])</f>
        <v>0.78378378378378377</v>
      </c>
      <c r="AK1245" s="20">
        <f>100%</f>
        <v>1</v>
      </c>
    </row>
    <row r="1246" spans="1:37" ht="18" customHeight="1" x14ac:dyDescent="0.25">
      <c r="A1246">
        <v>1296526514</v>
      </c>
      <c r="B1246" t="s">
        <v>532</v>
      </c>
      <c r="C1246" t="s">
        <v>2266</v>
      </c>
      <c r="D1246" t="s">
        <v>37</v>
      </c>
      <c r="E1246" t="s">
        <v>31</v>
      </c>
      <c r="F1246" s="2">
        <v>46064.79437901621</v>
      </c>
      <c r="AC1246" s="24">
        <f t="shared" ca="1" si="39"/>
        <v>69.205620983790141</v>
      </c>
      <c r="AD1246" s="25" t="str">
        <f t="shared" ca="1" si="40"/>
        <v>&gt;60 dias</v>
      </c>
      <c r="AE1246" s="25">
        <f>MONTH(Tabela1[[#This Row],[Criado em]])</f>
        <v>2</v>
      </c>
      <c r="AF1246" s="25">
        <f>YEAR(Tabela1[[#This Row],[Criado em]])</f>
        <v>2026</v>
      </c>
      <c r="AG1246" s="25">
        <f>COUNTIFS(Tabela1[Mês],Tabela1[[#This Row],[Mês]])</f>
        <v>197</v>
      </c>
      <c r="AH1246" s="25">
        <f>COUNTIFS(Tabela1[Mês],Tabela1[[#This Row],[Mês]],Tabela1[Fase atual],"Recebido")</f>
        <v>124</v>
      </c>
      <c r="AI1246" s="26">
        <f>Tabela1[[#This Row],[Recebido_ Mes]]/Tabela1[[#This Row],[Total_Mes]]</f>
        <v>0.62944162436548223</v>
      </c>
      <c r="AJ1246" s="19">
        <f>COUNTIFS(Tabela1[Fase atual],"Recebido",Tabela1[Mês],Tabela1[[#This Row],[Mês]],Tabela1[Ano],Tabela1[[#This Row],[Ano]])/COUNTIF(Tabela1[Mês],Tabela1[[#This Row],[Mês]])</f>
        <v>0.62944162436548223</v>
      </c>
      <c r="AK1246" s="20">
        <f>100%</f>
        <v>1</v>
      </c>
    </row>
    <row r="1247" spans="1:37" ht="18" customHeight="1" x14ac:dyDescent="0.25">
      <c r="A1247">
        <v>1284754462</v>
      </c>
      <c r="B1247" t="s">
        <v>532</v>
      </c>
      <c r="C1247" t="s">
        <v>534</v>
      </c>
      <c r="D1247" t="s">
        <v>37</v>
      </c>
      <c r="E1247" t="s">
        <v>31</v>
      </c>
      <c r="F1247" s="2">
        <v>46042.920509976851</v>
      </c>
      <c r="AC1247" s="24">
        <f t="shared" ca="1" si="39"/>
        <v>91.079490023148537</v>
      </c>
      <c r="AD1247" s="25" t="str">
        <f t="shared" ca="1" si="40"/>
        <v>&gt;60 dias</v>
      </c>
      <c r="AE1247" s="25">
        <f>MONTH(Tabela1[[#This Row],[Criado em]])</f>
        <v>1</v>
      </c>
      <c r="AF1247" s="25">
        <f>YEAR(Tabela1[[#This Row],[Criado em]])</f>
        <v>2026</v>
      </c>
      <c r="AG1247" s="25">
        <f>COUNTIFS(Tabela1[Mês],Tabela1[[#This Row],[Mês]])</f>
        <v>222</v>
      </c>
      <c r="AH1247" s="25">
        <f>COUNTIFS(Tabela1[Mês],Tabela1[[#This Row],[Mês]],Tabela1[Fase atual],"Recebido")</f>
        <v>174</v>
      </c>
      <c r="AI1247" s="26">
        <f>Tabela1[[#This Row],[Recebido_ Mes]]/Tabela1[[#This Row],[Total_Mes]]</f>
        <v>0.78378378378378377</v>
      </c>
      <c r="AJ1247" s="19">
        <f>COUNTIFS(Tabela1[Fase atual],"Recebido",Tabela1[Mês],Tabela1[[#This Row],[Mês]],Tabela1[Ano],Tabela1[[#This Row],[Ano]])/COUNTIF(Tabela1[Mês],Tabela1[[#This Row],[Mês]])</f>
        <v>0.78378378378378377</v>
      </c>
      <c r="AK1247" s="20">
        <f>100%</f>
        <v>1</v>
      </c>
    </row>
    <row r="1248" spans="1:37" ht="18" customHeight="1" x14ac:dyDescent="0.25">
      <c r="A1248">
        <v>1307010689</v>
      </c>
      <c r="B1248" t="s">
        <v>2267</v>
      </c>
      <c r="C1248" t="s">
        <v>2268</v>
      </c>
      <c r="D1248" t="s">
        <v>2179</v>
      </c>
      <c r="E1248" t="s">
        <v>31</v>
      </c>
      <c r="F1248" s="2">
        <v>46083.546352488433</v>
      </c>
      <c r="AC1248" s="24">
        <f t="shared" ca="1" si="39"/>
        <v>50.453647511567397</v>
      </c>
      <c r="AD1248" s="25" t="str">
        <f t="shared" ca="1" si="40"/>
        <v>31-60 dias</v>
      </c>
      <c r="AE1248" s="25">
        <f>MONTH(Tabela1[[#This Row],[Criado em]])</f>
        <v>3</v>
      </c>
      <c r="AF1248" s="25">
        <f>YEAR(Tabela1[[#This Row],[Criado em]])</f>
        <v>2026</v>
      </c>
      <c r="AG1248" s="25">
        <f>COUNTIFS(Tabela1[Mês],Tabela1[[#This Row],[Mês]])</f>
        <v>62</v>
      </c>
      <c r="AH1248" s="25">
        <f>COUNTIFS(Tabela1[Mês],Tabela1[[#This Row],[Mês]],Tabela1[Fase atual],"Recebido")</f>
        <v>13</v>
      </c>
      <c r="AI1248" s="26">
        <f>Tabela1[[#This Row],[Recebido_ Mes]]/Tabela1[[#This Row],[Total_Mes]]</f>
        <v>0.20967741935483872</v>
      </c>
      <c r="AJ1248" s="19">
        <f>COUNTIFS(Tabela1[Fase atual],"Recebido",Tabela1[Mês],Tabela1[[#This Row],[Mês]],Tabela1[Ano],Tabela1[[#This Row],[Ano]])/COUNTIF(Tabela1[Mês],Tabela1[[#This Row],[Mês]])</f>
        <v>0.20967741935483872</v>
      </c>
      <c r="AK1248" s="20">
        <f>100%</f>
        <v>1</v>
      </c>
    </row>
    <row r="1249" spans="1:37" ht="18" customHeight="1" x14ac:dyDescent="0.25">
      <c r="A1249">
        <v>1308579849</v>
      </c>
      <c r="B1249" t="s">
        <v>2267</v>
      </c>
      <c r="C1249" t="s">
        <v>2268</v>
      </c>
      <c r="D1249" t="s">
        <v>2179</v>
      </c>
      <c r="E1249" t="s">
        <v>31</v>
      </c>
      <c r="F1249" s="2">
        <v>46084.919623912043</v>
      </c>
      <c r="AC1249" s="24">
        <f t="shared" ca="1" si="39"/>
        <v>49.08037608795712</v>
      </c>
      <c r="AD1249" s="25" t="str">
        <f t="shared" ca="1" si="40"/>
        <v>31-60 dias</v>
      </c>
      <c r="AE1249" s="25">
        <f>MONTH(Tabela1[[#This Row],[Criado em]])</f>
        <v>3</v>
      </c>
      <c r="AF1249" s="25">
        <f>YEAR(Tabela1[[#This Row],[Criado em]])</f>
        <v>2026</v>
      </c>
      <c r="AG1249" s="25">
        <f>COUNTIFS(Tabela1[Mês],Tabela1[[#This Row],[Mês]])</f>
        <v>62</v>
      </c>
      <c r="AH1249" s="25">
        <f>COUNTIFS(Tabela1[Mês],Tabela1[[#This Row],[Mês]],Tabela1[Fase atual],"Recebido")</f>
        <v>13</v>
      </c>
      <c r="AI1249" s="26">
        <f>Tabela1[[#This Row],[Recebido_ Mes]]/Tabela1[[#This Row],[Total_Mes]]</f>
        <v>0.20967741935483872</v>
      </c>
      <c r="AJ1249" s="19">
        <f>COUNTIFS(Tabela1[Fase atual],"Recebido",Tabela1[Mês],Tabela1[[#This Row],[Mês]],Tabela1[Ano],Tabela1[[#This Row],[Ano]])/COUNTIF(Tabela1[Mês],Tabela1[[#This Row],[Mês]])</f>
        <v>0.20967741935483872</v>
      </c>
      <c r="AK1249" s="20">
        <f>100%</f>
        <v>1</v>
      </c>
    </row>
    <row r="1250" spans="1:37" ht="18" customHeight="1" x14ac:dyDescent="0.25">
      <c r="A1250">
        <v>1270413423</v>
      </c>
      <c r="B1250" t="s">
        <v>1909</v>
      </c>
      <c r="C1250" t="s">
        <v>1910</v>
      </c>
      <c r="D1250" t="s">
        <v>37</v>
      </c>
      <c r="E1250" t="s">
        <v>31</v>
      </c>
      <c r="F1250" s="2">
        <v>46010.517204872682</v>
      </c>
      <c r="AC1250" s="24">
        <f t="shared" ca="1" si="39"/>
        <v>123.48279512731824</v>
      </c>
      <c r="AD1250" s="25" t="str">
        <f t="shared" ca="1" si="40"/>
        <v>&gt;60 dias</v>
      </c>
      <c r="AE1250" s="25">
        <f>MONTH(Tabela1[[#This Row],[Criado em]])</f>
        <v>12</v>
      </c>
      <c r="AF1250" s="25">
        <f>YEAR(Tabela1[[#This Row],[Criado em]])</f>
        <v>2025</v>
      </c>
      <c r="AG1250" s="25">
        <f>COUNTIFS(Tabela1[Mês],Tabela1[[#This Row],[Mês]])</f>
        <v>207</v>
      </c>
      <c r="AH1250" s="25">
        <f>COUNTIFS(Tabela1[Mês],Tabela1[[#This Row],[Mês]],Tabela1[Fase atual],"Recebido")</f>
        <v>155</v>
      </c>
      <c r="AI1250" s="26">
        <f>Tabela1[[#This Row],[Recebido_ Mes]]/Tabela1[[#This Row],[Total_Mes]]</f>
        <v>0.74879227053140096</v>
      </c>
      <c r="AJ1250" s="19">
        <f>COUNTIFS(Tabela1[Fase atual],"Recebido",Tabela1[Mês],Tabela1[[#This Row],[Mês]],Tabela1[Ano],Tabela1[[#This Row],[Ano]])/COUNTIF(Tabela1[Mês],Tabela1[[#This Row],[Mês]])</f>
        <v>0.74879227053140096</v>
      </c>
      <c r="AK1250" s="20">
        <f>100%</f>
        <v>1</v>
      </c>
    </row>
    <row r="1251" spans="1:37" ht="18" customHeight="1" x14ac:dyDescent="0.25">
      <c r="A1251">
        <v>1195415201</v>
      </c>
      <c r="B1251" t="s">
        <v>535</v>
      </c>
      <c r="C1251" t="s">
        <v>1911</v>
      </c>
      <c r="D1251" t="s">
        <v>37</v>
      </c>
      <c r="E1251" t="s">
        <v>31</v>
      </c>
      <c r="F1251" s="2">
        <v>45883.827011689813</v>
      </c>
      <c r="AC1251" s="24">
        <f t="shared" ca="1" si="39"/>
        <v>250.17298831018707</v>
      </c>
      <c r="AD1251" s="25" t="str">
        <f t="shared" ca="1" si="40"/>
        <v>&gt;60 dias</v>
      </c>
      <c r="AE1251" s="25">
        <f>MONTH(Tabela1[[#This Row],[Criado em]])</f>
        <v>8</v>
      </c>
      <c r="AF1251" s="25">
        <f>YEAR(Tabela1[[#This Row],[Criado em]])</f>
        <v>2025</v>
      </c>
      <c r="AG1251" s="25">
        <f>COUNTIFS(Tabela1[Mês],Tabela1[[#This Row],[Mês]])</f>
        <v>146</v>
      </c>
      <c r="AH1251" s="25">
        <f>COUNTIFS(Tabela1[Mês],Tabela1[[#This Row],[Mês]],Tabela1[Fase atual],"Recebido")</f>
        <v>115</v>
      </c>
      <c r="AI1251" s="26">
        <f>Tabela1[[#This Row],[Recebido_ Mes]]/Tabela1[[#This Row],[Total_Mes]]</f>
        <v>0.78767123287671237</v>
      </c>
      <c r="AJ1251" s="19">
        <f>COUNTIFS(Tabela1[Fase atual],"Recebido",Tabela1[Mês],Tabela1[[#This Row],[Mês]],Tabela1[Ano],Tabela1[[#This Row],[Ano]])/COUNTIF(Tabela1[Mês],Tabela1[[#This Row],[Mês]])</f>
        <v>0.78767123287671237</v>
      </c>
      <c r="AK1251" s="20">
        <f>100%</f>
        <v>1</v>
      </c>
    </row>
    <row r="1252" spans="1:37" ht="18" customHeight="1" x14ac:dyDescent="0.25">
      <c r="A1252">
        <v>1297648258</v>
      </c>
      <c r="B1252" t="s">
        <v>535</v>
      </c>
      <c r="C1252" t="s">
        <v>536</v>
      </c>
      <c r="D1252" t="s">
        <v>37</v>
      </c>
      <c r="E1252" t="s">
        <v>31</v>
      </c>
      <c r="F1252" s="2">
        <v>46066.771779305564</v>
      </c>
      <c r="AC1252" s="24">
        <f t="shared" ca="1" si="39"/>
        <v>67.228220694436459</v>
      </c>
      <c r="AD1252" s="25" t="str">
        <f t="shared" ca="1" si="40"/>
        <v>&gt;60 dias</v>
      </c>
      <c r="AE1252" s="25">
        <f>MONTH(Tabela1[[#This Row],[Criado em]])</f>
        <v>2</v>
      </c>
      <c r="AF1252" s="25">
        <f>YEAR(Tabela1[[#This Row],[Criado em]])</f>
        <v>2026</v>
      </c>
      <c r="AG1252" s="25">
        <f>COUNTIFS(Tabela1[Mês],Tabela1[[#This Row],[Mês]])</f>
        <v>197</v>
      </c>
      <c r="AH1252" s="25">
        <f>COUNTIFS(Tabela1[Mês],Tabela1[[#This Row],[Mês]],Tabela1[Fase atual],"Recebido")</f>
        <v>124</v>
      </c>
      <c r="AI1252" s="26">
        <f>Tabela1[[#This Row],[Recebido_ Mes]]/Tabela1[[#This Row],[Total_Mes]]</f>
        <v>0.62944162436548223</v>
      </c>
      <c r="AJ1252" s="19">
        <f>COUNTIFS(Tabela1[Fase atual],"Recebido",Tabela1[Mês],Tabela1[[#This Row],[Mês]],Tabela1[Ano],Tabela1[[#This Row],[Ano]])/COUNTIF(Tabela1[Mês],Tabela1[[#This Row],[Mês]])</f>
        <v>0.62944162436548223</v>
      </c>
      <c r="AK1252" s="20">
        <f>100%</f>
        <v>1</v>
      </c>
    </row>
    <row r="1253" spans="1:37" ht="18" customHeight="1" x14ac:dyDescent="0.25">
      <c r="A1253">
        <v>1213737426</v>
      </c>
      <c r="B1253" t="s">
        <v>1912</v>
      </c>
      <c r="C1253" t="s">
        <v>1913</v>
      </c>
      <c r="D1253" t="s">
        <v>37</v>
      </c>
      <c r="E1253" t="s">
        <v>31</v>
      </c>
      <c r="F1253" s="2">
        <v>45913.643155902777</v>
      </c>
      <c r="AC1253" s="24">
        <f t="shared" ca="1" si="39"/>
        <v>220.35684409722307</v>
      </c>
      <c r="AD1253" s="25" t="str">
        <f t="shared" ca="1" si="40"/>
        <v>&gt;60 dias</v>
      </c>
      <c r="AE1253" s="25">
        <f>MONTH(Tabela1[[#This Row],[Criado em]])</f>
        <v>9</v>
      </c>
      <c r="AF1253" s="25">
        <f>YEAR(Tabela1[[#This Row],[Criado em]])</f>
        <v>2025</v>
      </c>
      <c r="AG1253" s="25">
        <f>COUNTIFS(Tabela1[Mês],Tabela1[[#This Row],[Mês]])</f>
        <v>197</v>
      </c>
      <c r="AH1253" s="25">
        <f>COUNTIFS(Tabela1[Mês],Tabela1[[#This Row],[Mês]],Tabela1[Fase atual],"Recebido")</f>
        <v>152</v>
      </c>
      <c r="AI1253" s="26">
        <f>Tabela1[[#This Row],[Recebido_ Mes]]/Tabela1[[#This Row],[Total_Mes]]</f>
        <v>0.77157360406091369</v>
      </c>
      <c r="AJ1253" s="19">
        <f>COUNTIFS(Tabela1[Fase atual],"Recebido",Tabela1[Mês],Tabela1[[#This Row],[Mês]],Tabela1[Ano],Tabela1[[#This Row],[Ano]])/COUNTIF(Tabela1[Mês],Tabela1[[#This Row],[Mês]])</f>
        <v>0.77157360406091369</v>
      </c>
      <c r="AK1253" s="20">
        <f>100%</f>
        <v>1</v>
      </c>
    </row>
    <row r="1254" spans="1:37" ht="18" customHeight="1" x14ac:dyDescent="0.25">
      <c r="A1254">
        <v>1247060800</v>
      </c>
      <c r="B1254" t="s">
        <v>1914</v>
      </c>
      <c r="C1254" t="s">
        <v>1915</v>
      </c>
      <c r="D1254" t="s">
        <v>784</v>
      </c>
      <c r="E1254" t="s">
        <v>31</v>
      </c>
      <c r="F1254" s="2">
        <v>45959.808354039364</v>
      </c>
      <c r="AC1254" s="24">
        <f t="shared" ca="1" si="39"/>
        <v>174.19164596063638</v>
      </c>
      <c r="AD1254" s="25" t="str">
        <f t="shared" ca="1" si="40"/>
        <v>&gt;60 dias</v>
      </c>
      <c r="AE1254" s="25">
        <f>MONTH(Tabela1[[#This Row],[Criado em]])</f>
        <v>10</v>
      </c>
      <c r="AF1254" s="25">
        <f>YEAR(Tabela1[[#This Row],[Criado em]])</f>
        <v>2025</v>
      </c>
      <c r="AG1254" s="25">
        <f>COUNTIFS(Tabela1[Mês],Tabela1[[#This Row],[Mês]])</f>
        <v>196</v>
      </c>
      <c r="AH1254" s="25">
        <f>COUNTIFS(Tabela1[Mês],Tabela1[[#This Row],[Mês]],Tabela1[Fase atual],"Recebido")</f>
        <v>138</v>
      </c>
      <c r="AI1254" s="26">
        <f>Tabela1[[#This Row],[Recebido_ Mes]]/Tabela1[[#This Row],[Total_Mes]]</f>
        <v>0.70408163265306123</v>
      </c>
      <c r="AJ1254" s="19">
        <f>COUNTIFS(Tabela1[Fase atual],"Recebido",Tabela1[Mês],Tabela1[[#This Row],[Mês]],Tabela1[Ano],Tabela1[[#This Row],[Ano]])/COUNTIF(Tabela1[Mês],Tabela1[[#This Row],[Mês]])</f>
        <v>0.70408163265306123</v>
      </c>
      <c r="AK1254" s="20">
        <f>100%</f>
        <v>1</v>
      </c>
    </row>
    <row r="1255" spans="1:37" ht="18" customHeight="1" x14ac:dyDescent="0.25">
      <c r="A1255">
        <v>1216824361</v>
      </c>
      <c r="B1255" t="s">
        <v>1916</v>
      </c>
      <c r="C1255" t="s">
        <v>1917</v>
      </c>
      <c r="D1255" t="s">
        <v>40</v>
      </c>
      <c r="E1255" t="s">
        <v>31</v>
      </c>
      <c r="F1255" s="2">
        <v>45918.851660810193</v>
      </c>
      <c r="AC1255" s="24">
        <f t="shared" ca="1" si="39"/>
        <v>215.1483391898073</v>
      </c>
      <c r="AD1255" s="25" t="str">
        <f t="shared" ca="1" si="40"/>
        <v>&gt;60 dias</v>
      </c>
      <c r="AE1255" s="25">
        <f>MONTH(Tabela1[[#This Row],[Criado em]])</f>
        <v>9</v>
      </c>
      <c r="AF1255" s="25">
        <f>YEAR(Tabela1[[#This Row],[Criado em]])</f>
        <v>2025</v>
      </c>
      <c r="AG1255" s="25">
        <f>COUNTIFS(Tabela1[Mês],Tabela1[[#This Row],[Mês]])</f>
        <v>197</v>
      </c>
      <c r="AH1255" s="25">
        <f>COUNTIFS(Tabela1[Mês],Tabela1[[#This Row],[Mês]],Tabela1[Fase atual],"Recebido")</f>
        <v>152</v>
      </c>
      <c r="AI1255" s="26">
        <f>Tabela1[[#This Row],[Recebido_ Mes]]/Tabela1[[#This Row],[Total_Mes]]</f>
        <v>0.77157360406091369</v>
      </c>
      <c r="AJ1255" s="19">
        <f>COUNTIFS(Tabela1[Fase atual],"Recebido",Tabela1[Mês],Tabela1[[#This Row],[Mês]],Tabela1[Ano],Tabela1[[#This Row],[Ano]])/COUNTIF(Tabela1[Mês],Tabela1[[#This Row],[Mês]])</f>
        <v>0.77157360406091369</v>
      </c>
      <c r="AK1255" s="20">
        <f>100%</f>
        <v>1</v>
      </c>
    </row>
    <row r="1256" spans="1:37" ht="18" customHeight="1" x14ac:dyDescent="0.25">
      <c r="A1256">
        <v>1232586134</v>
      </c>
      <c r="B1256" t="s">
        <v>1918</v>
      </c>
      <c r="C1256" t="s">
        <v>1919</v>
      </c>
      <c r="D1256" t="s">
        <v>37</v>
      </c>
      <c r="E1256" t="s">
        <v>31</v>
      </c>
      <c r="F1256" s="2">
        <v>45941.01820554398</v>
      </c>
      <c r="AC1256" s="24">
        <f t="shared" ca="1" si="39"/>
        <v>192.98179445602</v>
      </c>
      <c r="AD1256" s="25" t="str">
        <f t="shared" ca="1" si="40"/>
        <v>&gt;60 dias</v>
      </c>
      <c r="AE1256" s="25">
        <f>MONTH(Tabela1[[#This Row],[Criado em]])</f>
        <v>10</v>
      </c>
      <c r="AF1256" s="25">
        <f>YEAR(Tabela1[[#This Row],[Criado em]])</f>
        <v>2025</v>
      </c>
      <c r="AG1256" s="25">
        <f>COUNTIFS(Tabela1[Mês],Tabela1[[#This Row],[Mês]])</f>
        <v>196</v>
      </c>
      <c r="AH1256" s="25">
        <f>COUNTIFS(Tabela1[Mês],Tabela1[[#This Row],[Mês]],Tabela1[Fase atual],"Recebido")</f>
        <v>138</v>
      </c>
      <c r="AI1256" s="26">
        <f>Tabela1[[#This Row],[Recebido_ Mes]]/Tabela1[[#This Row],[Total_Mes]]</f>
        <v>0.70408163265306123</v>
      </c>
      <c r="AJ1256" s="19">
        <f>COUNTIFS(Tabela1[Fase atual],"Recebido",Tabela1[Mês],Tabela1[[#This Row],[Mês]],Tabela1[Ano],Tabela1[[#This Row],[Ano]])/COUNTIF(Tabela1[Mês],Tabela1[[#This Row],[Mês]])</f>
        <v>0.70408163265306123</v>
      </c>
      <c r="AK1256" s="20">
        <f>100%</f>
        <v>1</v>
      </c>
    </row>
    <row r="1257" spans="1:37" ht="18" customHeight="1" x14ac:dyDescent="0.25">
      <c r="A1257">
        <v>1238633150</v>
      </c>
      <c r="B1257" t="s">
        <v>1920</v>
      </c>
      <c r="C1257" t="s">
        <v>1921</v>
      </c>
      <c r="D1257" t="s">
        <v>37</v>
      </c>
      <c r="E1257" t="s">
        <v>31</v>
      </c>
      <c r="F1257" s="2">
        <v>45947.919548043981</v>
      </c>
      <c r="AC1257" s="24">
        <f t="shared" ca="1" si="39"/>
        <v>186.08045195601881</v>
      </c>
      <c r="AD1257" s="25" t="str">
        <f t="shared" ca="1" si="40"/>
        <v>&gt;60 dias</v>
      </c>
      <c r="AE1257" s="25">
        <f>MONTH(Tabela1[[#This Row],[Criado em]])</f>
        <v>10</v>
      </c>
      <c r="AF1257" s="25">
        <f>YEAR(Tabela1[[#This Row],[Criado em]])</f>
        <v>2025</v>
      </c>
      <c r="AG1257" s="25">
        <f>COUNTIFS(Tabela1[Mês],Tabela1[[#This Row],[Mês]])</f>
        <v>196</v>
      </c>
      <c r="AH1257" s="25">
        <f>COUNTIFS(Tabela1[Mês],Tabela1[[#This Row],[Mês]],Tabela1[Fase atual],"Recebido")</f>
        <v>138</v>
      </c>
      <c r="AI1257" s="26">
        <f>Tabela1[[#This Row],[Recebido_ Mes]]/Tabela1[[#This Row],[Total_Mes]]</f>
        <v>0.70408163265306123</v>
      </c>
      <c r="AJ1257" s="19">
        <f>COUNTIFS(Tabela1[Fase atual],"Recebido",Tabela1[Mês],Tabela1[[#This Row],[Mês]],Tabela1[Ano],Tabela1[[#This Row],[Ano]])/COUNTIF(Tabela1[Mês],Tabela1[[#This Row],[Mês]])</f>
        <v>0.70408163265306123</v>
      </c>
      <c r="AK1257" s="20">
        <f>100%</f>
        <v>1</v>
      </c>
    </row>
    <row r="1258" spans="1:37" ht="18" customHeight="1" x14ac:dyDescent="0.25">
      <c r="A1258">
        <v>1173353623</v>
      </c>
      <c r="B1258" t="s">
        <v>1920</v>
      </c>
      <c r="C1258" t="s">
        <v>1922</v>
      </c>
      <c r="D1258" t="s">
        <v>37</v>
      </c>
      <c r="E1258" t="s">
        <v>31</v>
      </c>
      <c r="F1258" s="2">
        <v>45846.851408252318</v>
      </c>
      <c r="AC1258" s="24">
        <f t="shared" ca="1" si="39"/>
        <v>287.14859174768208</v>
      </c>
      <c r="AD1258" s="25" t="str">
        <f t="shared" ca="1" si="40"/>
        <v>&gt;60 dias</v>
      </c>
      <c r="AE1258" s="25">
        <f>MONTH(Tabela1[[#This Row],[Criado em]])</f>
        <v>7</v>
      </c>
      <c r="AF1258" s="25">
        <f>YEAR(Tabela1[[#This Row],[Criado em]])</f>
        <v>2025</v>
      </c>
      <c r="AG1258" s="25">
        <f>COUNTIFS(Tabela1[Mês],Tabela1[[#This Row],[Mês]])</f>
        <v>177</v>
      </c>
      <c r="AH1258" s="25">
        <f>COUNTIFS(Tabela1[Mês],Tabela1[[#This Row],[Mês]],Tabela1[Fase atual],"Recebido")</f>
        <v>130</v>
      </c>
      <c r="AI1258" s="26">
        <f>Tabela1[[#This Row],[Recebido_ Mes]]/Tabela1[[#This Row],[Total_Mes]]</f>
        <v>0.7344632768361582</v>
      </c>
      <c r="AJ1258" s="19">
        <f>COUNTIFS(Tabela1[Fase atual],"Recebido",Tabela1[Mês],Tabela1[[#This Row],[Mês]],Tabela1[Ano],Tabela1[[#This Row],[Ano]])/COUNTIF(Tabela1[Mês],Tabela1[[#This Row],[Mês]])</f>
        <v>0.7344632768361582</v>
      </c>
      <c r="AK1258" s="20">
        <f>100%</f>
        <v>1</v>
      </c>
    </row>
    <row r="1259" spans="1:37" ht="18" customHeight="1" x14ac:dyDescent="0.25">
      <c r="A1259">
        <v>1216825405</v>
      </c>
      <c r="B1259" t="s">
        <v>1394</v>
      </c>
      <c r="C1259" t="s">
        <v>1923</v>
      </c>
      <c r="D1259" t="s">
        <v>784</v>
      </c>
      <c r="E1259" t="s">
        <v>31</v>
      </c>
      <c r="F1259" s="2">
        <v>45918.852964143523</v>
      </c>
      <c r="AC1259" s="24">
        <f t="shared" ca="1" si="39"/>
        <v>215.14703585647658</v>
      </c>
      <c r="AD1259" s="25" t="str">
        <f t="shared" ca="1" si="40"/>
        <v>&gt;60 dias</v>
      </c>
      <c r="AE1259" s="25">
        <f>MONTH(Tabela1[[#This Row],[Criado em]])</f>
        <v>9</v>
      </c>
      <c r="AF1259" s="25">
        <f>YEAR(Tabela1[[#This Row],[Criado em]])</f>
        <v>2025</v>
      </c>
      <c r="AG1259" s="25">
        <f>COUNTIFS(Tabela1[Mês],Tabela1[[#This Row],[Mês]])</f>
        <v>197</v>
      </c>
      <c r="AH1259" s="25">
        <f>COUNTIFS(Tabela1[Mês],Tabela1[[#This Row],[Mês]],Tabela1[Fase atual],"Recebido")</f>
        <v>152</v>
      </c>
      <c r="AI1259" s="26">
        <f>Tabela1[[#This Row],[Recebido_ Mes]]/Tabela1[[#This Row],[Total_Mes]]</f>
        <v>0.77157360406091369</v>
      </c>
      <c r="AJ1259" s="19">
        <f>COUNTIFS(Tabela1[Fase atual],"Recebido",Tabela1[Mês],Tabela1[[#This Row],[Mês]],Tabela1[Ano],Tabela1[[#This Row],[Ano]])/COUNTIF(Tabela1[Mês],Tabela1[[#This Row],[Mês]])</f>
        <v>0.77157360406091369</v>
      </c>
      <c r="AK1259" s="20">
        <f>100%</f>
        <v>1</v>
      </c>
    </row>
    <row r="1260" spans="1:37" ht="18" customHeight="1" x14ac:dyDescent="0.25">
      <c r="A1260">
        <v>1286111089</v>
      </c>
      <c r="B1260" t="s">
        <v>537</v>
      </c>
      <c r="C1260" t="s">
        <v>538</v>
      </c>
      <c r="D1260" t="s">
        <v>40</v>
      </c>
      <c r="E1260" t="s">
        <v>31</v>
      </c>
      <c r="F1260" s="2">
        <v>46044.919618912027</v>
      </c>
      <c r="AC1260" s="24">
        <f t="shared" ca="1" si="39"/>
        <v>89.080381087973365</v>
      </c>
      <c r="AD1260" s="25" t="str">
        <f t="shared" ca="1" si="40"/>
        <v>&gt;60 dias</v>
      </c>
      <c r="AE1260" s="25">
        <f>MONTH(Tabela1[[#This Row],[Criado em]])</f>
        <v>1</v>
      </c>
      <c r="AF1260" s="25">
        <f>YEAR(Tabela1[[#This Row],[Criado em]])</f>
        <v>2026</v>
      </c>
      <c r="AG1260" s="25">
        <f>COUNTIFS(Tabela1[Mês],Tabela1[[#This Row],[Mês]])</f>
        <v>222</v>
      </c>
      <c r="AH1260" s="25">
        <f>COUNTIFS(Tabela1[Mês],Tabela1[[#This Row],[Mês]],Tabela1[Fase atual],"Recebido")</f>
        <v>174</v>
      </c>
      <c r="AI1260" s="26">
        <f>Tabela1[[#This Row],[Recebido_ Mes]]/Tabela1[[#This Row],[Total_Mes]]</f>
        <v>0.78378378378378377</v>
      </c>
      <c r="AJ1260" s="19">
        <f>COUNTIFS(Tabela1[Fase atual],"Recebido",Tabela1[Mês],Tabela1[[#This Row],[Mês]],Tabela1[Ano],Tabela1[[#This Row],[Ano]])/COUNTIF(Tabela1[Mês],Tabela1[[#This Row],[Mês]])</f>
        <v>0.78378378378378377</v>
      </c>
      <c r="AK1260" s="20">
        <f>100%</f>
        <v>1</v>
      </c>
    </row>
    <row r="1261" spans="1:37" ht="18" customHeight="1" x14ac:dyDescent="0.25">
      <c r="A1261">
        <v>1209100398</v>
      </c>
      <c r="B1261" t="s">
        <v>1394</v>
      </c>
      <c r="C1261" t="s">
        <v>1924</v>
      </c>
      <c r="D1261" t="s">
        <v>37</v>
      </c>
      <c r="E1261" t="s">
        <v>31</v>
      </c>
      <c r="F1261" s="2">
        <v>45905.723095335648</v>
      </c>
      <c r="AC1261" s="24">
        <f t="shared" ca="1" si="39"/>
        <v>228.2769046643516</v>
      </c>
      <c r="AD1261" s="25" t="str">
        <f t="shared" ca="1" si="40"/>
        <v>&gt;60 dias</v>
      </c>
      <c r="AE1261" s="25">
        <f>MONTH(Tabela1[[#This Row],[Criado em]])</f>
        <v>9</v>
      </c>
      <c r="AF1261" s="25">
        <f>YEAR(Tabela1[[#This Row],[Criado em]])</f>
        <v>2025</v>
      </c>
      <c r="AG1261" s="25">
        <f>COUNTIFS(Tabela1[Mês],Tabela1[[#This Row],[Mês]])</f>
        <v>197</v>
      </c>
      <c r="AH1261" s="25">
        <f>COUNTIFS(Tabela1[Mês],Tabela1[[#This Row],[Mês]],Tabela1[Fase atual],"Recebido")</f>
        <v>152</v>
      </c>
      <c r="AI1261" s="26">
        <f>Tabela1[[#This Row],[Recebido_ Mes]]/Tabela1[[#This Row],[Total_Mes]]</f>
        <v>0.77157360406091369</v>
      </c>
      <c r="AJ1261" s="19">
        <f>COUNTIFS(Tabela1[Fase atual],"Recebido",Tabela1[Mês],Tabela1[[#This Row],[Mês]],Tabela1[Ano],Tabela1[[#This Row],[Ano]])/COUNTIF(Tabela1[Mês],Tabela1[[#This Row],[Mês]])</f>
        <v>0.77157360406091369</v>
      </c>
      <c r="AK1261" s="20">
        <f>100%</f>
        <v>1</v>
      </c>
    </row>
    <row r="1262" spans="1:37" ht="18" customHeight="1" x14ac:dyDescent="0.25">
      <c r="A1262">
        <v>1204523187</v>
      </c>
      <c r="B1262" t="s">
        <v>1925</v>
      </c>
      <c r="C1262" t="s">
        <v>1926</v>
      </c>
      <c r="D1262" t="s">
        <v>37</v>
      </c>
      <c r="E1262" t="s">
        <v>31</v>
      </c>
      <c r="F1262" s="2">
        <v>45898.643616493049</v>
      </c>
      <c r="AC1262" s="24">
        <f t="shared" ca="1" si="39"/>
        <v>235.35638350695081</v>
      </c>
      <c r="AD1262" s="25" t="str">
        <f t="shared" ca="1" si="40"/>
        <v>&gt;60 dias</v>
      </c>
      <c r="AE1262" s="25">
        <f>MONTH(Tabela1[[#This Row],[Criado em]])</f>
        <v>8</v>
      </c>
      <c r="AF1262" s="25">
        <f>YEAR(Tabela1[[#This Row],[Criado em]])</f>
        <v>2025</v>
      </c>
      <c r="AG1262" s="25">
        <f>COUNTIFS(Tabela1[Mês],Tabela1[[#This Row],[Mês]])</f>
        <v>146</v>
      </c>
      <c r="AH1262" s="25">
        <f>COUNTIFS(Tabela1[Mês],Tabela1[[#This Row],[Mês]],Tabela1[Fase atual],"Recebido")</f>
        <v>115</v>
      </c>
      <c r="AI1262" s="26">
        <f>Tabela1[[#This Row],[Recebido_ Mes]]/Tabela1[[#This Row],[Total_Mes]]</f>
        <v>0.78767123287671237</v>
      </c>
      <c r="AJ1262" s="19">
        <f>COUNTIFS(Tabela1[Fase atual],"Recebido",Tabela1[Mês],Tabela1[[#This Row],[Mês]],Tabela1[Ano],Tabela1[[#This Row],[Ano]])/COUNTIF(Tabela1[Mês],Tabela1[[#This Row],[Mês]])</f>
        <v>0.78767123287671237</v>
      </c>
      <c r="AK1262" s="20">
        <f>100%</f>
        <v>1</v>
      </c>
    </row>
    <row r="1263" spans="1:37" ht="18" customHeight="1" x14ac:dyDescent="0.25">
      <c r="A1263">
        <v>1295384028</v>
      </c>
      <c r="B1263" t="s">
        <v>539</v>
      </c>
      <c r="C1263" t="s">
        <v>540</v>
      </c>
      <c r="D1263" t="s">
        <v>37</v>
      </c>
      <c r="E1263" t="s">
        <v>31</v>
      </c>
      <c r="F1263" s="2">
        <v>46062.795783182868</v>
      </c>
      <c r="AC1263" s="24">
        <f t="shared" ca="1" si="39"/>
        <v>71.204216817131964</v>
      </c>
      <c r="AD1263" s="25" t="str">
        <f t="shared" ca="1" si="40"/>
        <v>&gt;60 dias</v>
      </c>
      <c r="AE1263" s="25">
        <f>MONTH(Tabela1[[#This Row],[Criado em]])</f>
        <v>2</v>
      </c>
      <c r="AF1263" s="25">
        <f>YEAR(Tabela1[[#This Row],[Criado em]])</f>
        <v>2026</v>
      </c>
      <c r="AG1263" s="25">
        <f>COUNTIFS(Tabela1[Mês],Tabela1[[#This Row],[Mês]])</f>
        <v>197</v>
      </c>
      <c r="AH1263" s="25">
        <f>COUNTIFS(Tabela1[Mês],Tabela1[[#This Row],[Mês]],Tabela1[Fase atual],"Recebido")</f>
        <v>124</v>
      </c>
      <c r="AI1263" s="26">
        <f>Tabela1[[#This Row],[Recebido_ Mes]]/Tabela1[[#This Row],[Total_Mes]]</f>
        <v>0.62944162436548223</v>
      </c>
      <c r="AJ1263" s="19">
        <f>COUNTIFS(Tabela1[Fase atual],"Recebido",Tabela1[Mês],Tabela1[[#This Row],[Mês]],Tabela1[Ano],Tabela1[[#This Row],[Ano]])/COUNTIF(Tabela1[Mês],Tabela1[[#This Row],[Mês]])</f>
        <v>0.62944162436548223</v>
      </c>
      <c r="AK1263" s="20">
        <f>100%</f>
        <v>1</v>
      </c>
    </row>
    <row r="1264" spans="1:37" ht="18" customHeight="1" x14ac:dyDescent="0.25">
      <c r="A1264">
        <v>1293738306</v>
      </c>
      <c r="B1264" t="s">
        <v>541</v>
      </c>
      <c r="C1264" t="s">
        <v>542</v>
      </c>
      <c r="D1264" t="s">
        <v>37</v>
      </c>
      <c r="E1264" t="s">
        <v>31</v>
      </c>
      <c r="F1264" s="2">
        <v>46058.627710381938</v>
      </c>
      <c r="AC1264" s="24">
        <f t="shared" ca="1" si="39"/>
        <v>75.372289618062496</v>
      </c>
      <c r="AD1264" s="25" t="str">
        <f t="shared" ca="1" si="40"/>
        <v>&gt;60 dias</v>
      </c>
      <c r="AE1264" s="25">
        <f>MONTH(Tabela1[[#This Row],[Criado em]])</f>
        <v>2</v>
      </c>
      <c r="AF1264" s="25">
        <f>YEAR(Tabela1[[#This Row],[Criado em]])</f>
        <v>2026</v>
      </c>
      <c r="AG1264" s="25">
        <f>COUNTIFS(Tabela1[Mês],Tabela1[[#This Row],[Mês]])</f>
        <v>197</v>
      </c>
      <c r="AH1264" s="25">
        <f>COUNTIFS(Tabela1[Mês],Tabela1[[#This Row],[Mês]],Tabela1[Fase atual],"Recebido")</f>
        <v>124</v>
      </c>
      <c r="AI1264" s="26">
        <f>Tabela1[[#This Row],[Recebido_ Mes]]/Tabela1[[#This Row],[Total_Mes]]</f>
        <v>0.62944162436548223</v>
      </c>
      <c r="AJ1264" s="19">
        <f>COUNTIFS(Tabela1[Fase atual],"Recebido",Tabela1[Mês],Tabela1[[#This Row],[Mês]],Tabela1[Ano],Tabela1[[#This Row],[Ano]])/COUNTIF(Tabela1[Mês],Tabela1[[#This Row],[Mês]])</f>
        <v>0.62944162436548223</v>
      </c>
      <c r="AK1264" s="20">
        <f>100%</f>
        <v>1</v>
      </c>
    </row>
    <row r="1265" spans="1:37" ht="18" customHeight="1" x14ac:dyDescent="0.25">
      <c r="A1265">
        <v>1309289813</v>
      </c>
      <c r="B1265" t="s">
        <v>413</v>
      </c>
      <c r="C1265" t="s">
        <v>2269</v>
      </c>
      <c r="D1265" t="s">
        <v>2179</v>
      </c>
      <c r="E1265" t="s">
        <v>31</v>
      </c>
      <c r="F1265" s="2">
        <v>46085.796479340279</v>
      </c>
      <c r="AC1265" s="24">
        <f t="shared" ca="1" si="39"/>
        <v>48.203520659721107</v>
      </c>
      <c r="AD1265" s="25" t="str">
        <f t="shared" ca="1" si="40"/>
        <v>31-60 dias</v>
      </c>
      <c r="AE1265" s="25">
        <f>MONTH(Tabela1[[#This Row],[Criado em]])</f>
        <v>3</v>
      </c>
      <c r="AF1265" s="25">
        <f>YEAR(Tabela1[[#This Row],[Criado em]])</f>
        <v>2026</v>
      </c>
      <c r="AG1265" s="25">
        <f>COUNTIFS(Tabela1[Mês],Tabela1[[#This Row],[Mês]])</f>
        <v>62</v>
      </c>
      <c r="AH1265" s="25">
        <f>COUNTIFS(Tabela1[Mês],Tabela1[[#This Row],[Mês]],Tabela1[Fase atual],"Recebido")</f>
        <v>13</v>
      </c>
      <c r="AI1265" s="26">
        <f>Tabela1[[#This Row],[Recebido_ Mes]]/Tabela1[[#This Row],[Total_Mes]]</f>
        <v>0.20967741935483872</v>
      </c>
      <c r="AJ1265" s="19">
        <f>COUNTIFS(Tabela1[Fase atual],"Recebido",Tabela1[Mês],Tabela1[[#This Row],[Mês]],Tabela1[Ano],Tabela1[[#This Row],[Ano]])/COUNTIF(Tabela1[Mês],Tabela1[[#This Row],[Mês]])</f>
        <v>0.20967741935483872</v>
      </c>
      <c r="AK1265" s="20">
        <f>100%</f>
        <v>1</v>
      </c>
    </row>
    <row r="1266" spans="1:37" ht="18" customHeight="1" x14ac:dyDescent="0.25">
      <c r="A1266">
        <v>1212565407</v>
      </c>
      <c r="B1266" t="s">
        <v>1927</v>
      </c>
      <c r="C1266" t="s">
        <v>1928</v>
      </c>
      <c r="D1266" t="s">
        <v>37</v>
      </c>
      <c r="E1266" t="s">
        <v>31</v>
      </c>
      <c r="F1266" s="2">
        <v>45911.642426562503</v>
      </c>
      <c r="AC1266" s="24">
        <f t="shared" ca="1" si="39"/>
        <v>222.35757343749719</v>
      </c>
      <c r="AD1266" s="25" t="str">
        <f t="shared" ca="1" si="40"/>
        <v>&gt;60 dias</v>
      </c>
      <c r="AE1266" s="25">
        <f>MONTH(Tabela1[[#This Row],[Criado em]])</f>
        <v>9</v>
      </c>
      <c r="AF1266" s="25">
        <f>YEAR(Tabela1[[#This Row],[Criado em]])</f>
        <v>2025</v>
      </c>
      <c r="AG1266" s="25">
        <f>COUNTIFS(Tabela1[Mês],Tabela1[[#This Row],[Mês]])</f>
        <v>197</v>
      </c>
      <c r="AH1266" s="25">
        <f>COUNTIFS(Tabela1[Mês],Tabela1[[#This Row],[Mês]],Tabela1[Fase atual],"Recebido")</f>
        <v>152</v>
      </c>
      <c r="AI1266" s="26">
        <f>Tabela1[[#This Row],[Recebido_ Mes]]/Tabela1[[#This Row],[Total_Mes]]</f>
        <v>0.77157360406091369</v>
      </c>
      <c r="AJ1266" s="19">
        <f>COUNTIFS(Tabela1[Fase atual],"Recebido",Tabela1[Mês],Tabela1[[#This Row],[Mês]],Tabela1[Ano],Tabela1[[#This Row],[Ano]])/COUNTIF(Tabela1[Mês],Tabela1[[#This Row],[Mês]])</f>
        <v>0.77157360406091369</v>
      </c>
      <c r="AK1266" s="20">
        <f>100%</f>
        <v>1</v>
      </c>
    </row>
    <row r="1267" spans="1:37" ht="18" customHeight="1" x14ac:dyDescent="0.25">
      <c r="A1267">
        <v>1202543017</v>
      </c>
      <c r="B1267" t="s">
        <v>1927</v>
      </c>
      <c r="C1267" t="s">
        <v>1928</v>
      </c>
      <c r="D1267" t="s">
        <v>37</v>
      </c>
      <c r="E1267" t="s">
        <v>31</v>
      </c>
      <c r="F1267" s="2">
        <v>45895.851176157397</v>
      </c>
      <c r="AC1267" s="24">
        <f t="shared" ca="1" si="39"/>
        <v>238.14882384260272</v>
      </c>
      <c r="AD1267" s="25" t="str">
        <f t="shared" ca="1" si="40"/>
        <v>&gt;60 dias</v>
      </c>
      <c r="AE1267" s="25">
        <f>MONTH(Tabela1[[#This Row],[Criado em]])</f>
        <v>8</v>
      </c>
      <c r="AF1267" s="25">
        <f>YEAR(Tabela1[[#This Row],[Criado em]])</f>
        <v>2025</v>
      </c>
      <c r="AG1267" s="25">
        <f>COUNTIFS(Tabela1[Mês],Tabela1[[#This Row],[Mês]])</f>
        <v>146</v>
      </c>
      <c r="AH1267" s="25">
        <f>COUNTIFS(Tabela1[Mês],Tabela1[[#This Row],[Mês]],Tabela1[Fase atual],"Recebido")</f>
        <v>115</v>
      </c>
      <c r="AI1267" s="26">
        <f>Tabela1[[#This Row],[Recebido_ Mes]]/Tabela1[[#This Row],[Total_Mes]]</f>
        <v>0.78767123287671237</v>
      </c>
      <c r="AJ1267" s="19">
        <f>COUNTIFS(Tabela1[Fase atual],"Recebido",Tabela1[Mês],Tabela1[[#This Row],[Mês]],Tabela1[Ano],Tabela1[[#This Row],[Ano]])/COUNTIF(Tabela1[Mês],Tabela1[[#This Row],[Mês]])</f>
        <v>0.78767123287671237</v>
      </c>
      <c r="AK1267" s="20">
        <f>100%</f>
        <v>1</v>
      </c>
    </row>
    <row r="1268" spans="1:37" ht="18" customHeight="1" x14ac:dyDescent="0.25">
      <c r="A1268">
        <v>1267817522</v>
      </c>
      <c r="B1268" t="s">
        <v>1784</v>
      </c>
      <c r="C1268" t="s">
        <v>1929</v>
      </c>
      <c r="D1268" t="s">
        <v>37</v>
      </c>
      <c r="E1268" t="s">
        <v>31</v>
      </c>
      <c r="F1268" s="2">
        <v>46003.92009219907</v>
      </c>
      <c r="AC1268" s="24">
        <f t="shared" ca="1" si="39"/>
        <v>130.0799078009295</v>
      </c>
      <c r="AD1268" s="25" t="str">
        <f t="shared" ca="1" si="40"/>
        <v>&gt;60 dias</v>
      </c>
      <c r="AE1268" s="25">
        <f>MONTH(Tabela1[[#This Row],[Criado em]])</f>
        <v>12</v>
      </c>
      <c r="AF1268" s="25">
        <f>YEAR(Tabela1[[#This Row],[Criado em]])</f>
        <v>2025</v>
      </c>
      <c r="AG1268" s="25">
        <f>COUNTIFS(Tabela1[Mês],Tabela1[[#This Row],[Mês]])</f>
        <v>207</v>
      </c>
      <c r="AH1268" s="25">
        <f>COUNTIFS(Tabela1[Mês],Tabela1[[#This Row],[Mês]],Tabela1[Fase atual],"Recebido")</f>
        <v>155</v>
      </c>
      <c r="AI1268" s="26">
        <f>Tabela1[[#This Row],[Recebido_ Mes]]/Tabela1[[#This Row],[Total_Mes]]</f>
        <v>0.74879227053140096</v>
      </c>
      <c r="AJ1268" s="19">
        <f>COUNTIFS(Tabela1[Fase atual],"Recebido",Tabela1[Mês],Tabela1[[#This Row],[Mês]],Tabela1[Ano],Tabela1[[#This Row],[Ano]])/COUNTIF(Tabela1[Mês],Tabela1[[#This Row],[Mês]])</f>
        <v>0.74879227053140096</v>
      </c>
      <c r="AK1268" s="20">
        <f>100%</f>
        <v>1</v>
      </c>
    </row>
    <row r="1269" spans="1:37" ht="18" customHeight="1" x14ac:dyDescent="0.25">
      <c r="A1269">
        <v>1299039382</v>
      </c>
      <c r="B1269" t="s">
        <v>543</v>
      </c>
      <c r="C1269" t="s">
        <v>544</v>
      </c>
      <c r="D1269" t="s">
        <v>40</v>
      </c>
      <c r="E1269" t="s">
        <v>31</v>
      </c>
      <c r="F1269" s="2">
        <v>46071.795262326377</v>
      </c>
      <c r="AC1269" s="24">
        <f t="shared" ca="1" si="39"/>
        <v>62.204737673622731</v>
      </c>
      <c r="AD1269" s="25" t="str">
        <f t="shared" ca="1" si="40"/>
        <v>&gt;60 dias</v>
      </c>
      <c r="AE1269" s="25">
        <f>MONTH(Tabela1[[#This Row],[Criado em]])</f>
        <v>2</v>
      </c>
      <c r="AF1269" s="25">
        <f>YEAR(Tabela1[[#This Row],[Criado em]])</f>
        <v>2026</v>
      </c>
      <c r="AG1269" s="25">
        <f>COUNTIFS(Tabela1[Mês],Tabela1[[#This Row],[Mês]])</f>
        <v>197</v>
      </c>
      <c r="AH1269" s="25">
        <f>COUNTIFS(Tabela1[Mês],Tabela1[[#This Row],[Mês]],Tabela1[Fase atual],"Recebido")</f>
        <v>124</v>
      </c>
      <c r="AI1269" s="26">
        <f>Tabela1[[#This Row],[Recebido_ Mes]]/Tabela1[[#This Row],[Total_Mes]]</f>
        <v>0.62944162436548223</v>
      </c>
      <c r="AJ1269" s="19">
        <f>COUNTIFS(Tabela1[Fase atual],"Recebido",Tabela1[Mês],Tabela1[[#This Row],[Mês]],Tabela1[Ano],Tabela1[[#This Row],[Ano]])/COUNTIF(Tabela1[Mês],Tabela1[[#This Row],[Mês]])</f>
        <v>0.62944162436548223</v>
      </c>
      <c r="AK1269" s="20">
        <f>100%</f>
        <v>1</v>
      </c>
    </row>
    <row r="1270" spans="1:37" ht="18" customHeight="1" x14ac:dyDescent="0.25">
      <c r="A1270">
        <v>1188129071</v>
      </c>
      <c r="B1270" t="s">
        <v>1930</v>
      </c>
      <c r="C1270" t="s">
        <v>1931</v>
      </c>
      <c r="D1270" t="s">
        <v>40</v>
      </c>
      <c r="E1270" t="s">
        <v>31</v>
      </c>
      <c r="F1270" s="2">
        <v>45873.643034942128</v>
      </c>
      <c r="AC1270" s="24">
        <f t="shared" ca="1" si="39"/>
        <v>260.356965057872</v>
      </c>
      <c r="AD1270" s="25" t="str">
        <f t="shared" ca="1" si="40"/>
        <v>&gt;60 dias</v>
      </c>
      <c r="AE1270" s="25">
        <f>MONTH(Tabela1[[#This Row],[Criado em]])</f>
        <v>8</v>
      </c>
      <c r="AF1270" s="25">
        <f>YEAR(Tabela1[[#This Row],[Criado em]])</f>
        <v>2025</v>
      </c>
      <c r="AG1270" s="25">
        <f>COUNTIFS(Tabela1[Mês],Tabela1[[#This Row],[Mês]])</f>
        <v>146</v>
      </c>
      <c r="AH1270" s="25">
        <f>COUNTIFS(Tabela1[Mês],Tabela1[[#This Row],[Mês]],Tabela1[Fase atual],"Recebido")</f>
        <v>115</v>
      </c>
      <c r="AI1270" s="26">
        <f>Tabela1[[#This Row],[Recebido_ Mes]]/Tabela1[[#This Row],[Total_Mes]]</f>
        <v>0.78767123287671237</v>
      </c>
      <c r="AJ1270" s="19">
        <f>COUNTIFS(Tabela1[Fase atual],"Recebido",Tabela1[Mês],Tabela1[[#This Row],[Mês]],Tabela1[Ano],Tabela1[[#This Row],[Ano]])/COUNTIF(Tabela1[Mês],Tabela1[[#This Row],[Mês]])</f>
        <v>0.78767123287671237</v>
      </c>
      <c r="AK1270" s="20">
        <f>100%</f>
        <v>1</v>
      </c>
    </row>
    <row r="1271" spans="1:37" ht="18" customHeight="1" x14ac:dyDescent="0.25">
      <c r="A1271">
        <v>1285248551</v>
      </c>
      <c r="B1271" t="s">
        <v>413</v>
      </c>
      <c r="C1271" t="s">
        <v>545</v>
      </c>
      <c r="D1271" t="s">
        <v>202</v>
      </c>
      <c r="E1271" t="s">
        <v>31</v>
      </c>
      <c r="F1271" s="2">
        <v>46043.796015231477</v>
      </c>
      <c r="AC1271" s="24">
        <f t="shared" ca="1" si="39"/>
        <v>90.203984768522787</v>
      </c>
      <c r="AD1271" s="25" t="str">
        <f t="shared" ca="1" si="40"/>
        <v>&gt;60 dias</v>
      </c>
      <c r="AE1271" s="25">
        <f>MONTH(Tabela1[[#This Row],[Criado em]])</f>
        <v>1</v>
      </c>
      <c r="AF1271" s="25">
        <f>YEAR(Tabela1[[#This Row],[Criado em]])</f>
        <v>2026</v>
      </c>
      <c r="AG1271" s="25">
        <f>COUNTIFS(Tabela1[Mês],Tabela1[[#This Row],[Mês]])</f>
        <v>222</v>
      </c>
      <c r="AH1271" s="25">
        <f>COUNTIFS(Tabela1[Mês],Tabela1[[#This Row],[Mês]],Tabela1[Fase atual],"Recebido")</f>
        <v>174</v>
      </c>
      <c r="AI1271" s="26">
        <f>Tabela1[[#This Row],[Recebido_ Mes]]/Tabela1[[#This Row],[Total_Mes]]</f>
        <v>0.78378378378378377</v>
      </c>
      <c r="AJ1271" s="19">
        <f>COUNTIFS(Tabela1[Fase atual],"Recebido",Tabela1[Mês],Tabela1[[#This Row],[Mês]],Tabela1[Ano],Tabela1[[#This Row],[Ano]])/COUNTIF(Tabela1[Mês],Tabela1[[#This Row],[Mês]])</f>
        <v>0.78378378378378377</v>
      </c>
      <c r="AK1271" s="20">
        <f>100%</f>
        <v>1</v>
      </c>
    </row>
    <row r="1272" spans="1:37" ht="18" customHeight="1" x14ac:dyDescent="0.25">
      <c r="A1272">
        <v>1245709834</v>
      </c>
      <c r="B1272" t="s">
        <v>413</v>
      </c>
      <c r="C1272" t="s">
        <v>1932</v>
      </c>
      <c r="D1272" t="s">
        <v>1933</v>
      </c>
      <c r="E1272" t="s">
        <v>31</v>
      </c>
      <c r="F1272" s="2">
        <v>45957.853482118051</v>
      </c>
      <c r="AC1272" s="24">
        <f t="shared" ca="1" si="39"/>
        <v>176.14651788194897</v>
      </c>
      <c r="AD1272" s="25" t="str">
        <f t="shared" ca="1" si="40"/>
        <v>&gt;60 dias</v>
      </c>
      <c r="AE1272" s="25">
        <f>MONTH(Tabela1[[#This Row],[Criado em]])</f>
        <v>10</v>
      </c>
      <c r="AF1272" s="25">
        <f>YEAR(Tabela1[[#This Row],[Criado em]])</f>
        <v>2025</v>
      </c>
      <c r="AG1272" s="25">
        <f>COUNTIFS(Tabela1[Mês],Tabela1[[#This Row],[Mês]])</f>
        <v>196</v>
      </c>
      <c r="AH1272" s="25">
        <f>COUNTIFS(Tabela1[Mês],Tabela1[[#This Row],[Mês]],Tabela1[Fase atual],"Recebido")</f>
        <v>138</v>
      </c>
      <c r="AI1272" s="26">
        <f>Tabela1[[#This Row],[Recebido_ Mes]]/Tabela1[[#This Row],[Total_Mes]]</f>
        <v>0.70408163265306123</v>
      </c>
      <c r="AJ1272" s="19">
        <f>COUNTIFS(Tabela1[Fase atual],"Recebido",Tabela1[Mês],Tabela1[[#This Row],[Mês]],Tabela1[Ano],Tabela1[[#This Row],[Ano]])/COUNTIF(Tabela1[Mês],Tabela1[[#This Row],[Mês]])</f>
        <v>0.70408163265306123</v>
      </c>
      <c r="AK1272" s="20">
        <f>100%</f>
        <v>1</v>
      </c>
    </row>
    <row r="1273" spans="1:37" ht="18" customHeight="1" x14ac:dyDescent="0.25">
      <c r="A1273">
        <v>1227483066</v>
      </c>
      <c r="B1273" t="s">
        <v>413</v>
      </c>
      <c r="C1273" t="s">
        <v>2270</v>
      </c>
      <c r="D1273" t="s">
        <v>1933</v>
      </c>
      <c r="E1273" t="s">
        <v>31</v>
      </c>
      <c r="F1273" s="2">
        <v>45934.643111238431</v>
      </c>
      <c r="AC1273" s="24">
        <f t="shared" ca="1" si="39"/>
        <v>199.35688876156928</v>
      </c>
      <c r="AD1273" s="25" t="str">
        <f t="shared" ca="1" si="40"/>
        <v>&gt;60 dias</v>
      </c>
      <c r="AE1273" s="25">
        <f>MONTH(Tabela1[[#This Row],[Criado em]])</f>
        <v>10</v>
      </c>
      <c r="AF1273" s="25">
        <f>YEAR(Tabela1[[#This Row],[Criado em]])</f>
        <v>2025</v>
      </c>
      <c r="AG1273" s="25">
        <f>COUNTIFS(Tabela1[Mês],Tabela1[[#This Row],[Mês]])</f>
        <v>196</v>
      </c>
      <c r="AH1273" s="25">
        <f>COUNTIFS(Tabela1[Mês],Tabela1[[#This Row],[Mês]],Tabela1[Fase atual],"Recebido")</f>
        <v>138</v>
      </c>
      <c r="AI1273" s="26">
        <f>Tabela1[[#This Row],[Recebido_ Mes]]/Tabela1[[#This Row],[Total_Mes]]</f>
        <v>0.70408163265306123</v>
      </c>
      <c r="AJ1273" s="19">
        <f>COUNTIFS(Tabela1[Fase atual],"Recebido",Tabela1[Mês],Tabela1[[#This Row],[Mês]],Tabela1[Ano],Tabela1[[#This Row],[Ano]])/COUNTIF(Tabela1[Mês],Tabela1[[#This Row],[Mês]])</f>
        <v>0.70408163265306123</v>
      </c>
      <c r="AK1273" s="20">
        <f>100%</f>
        <v>1</v>
      </c>
    </row>
    <row r="1274" spans="1:37" ht="18" customHeight="1" x14ac:dyDescent="0.25">
      <c r="A1274">
        <v>1240626305</v>
      </c>
      <c r="B1274" t="s">
        <v>413</v>
      </c>
      <c r="C1274" t="s">
        <v>1934</v>
      </c>
      <c r="D1274" t="s">
        <v>1933</v>
      </c>
      <c r="E1274" t="s">
        <v>31</v>
      </c>
      <c r="F1274" s="2">
        <v>45951.720993298608</v>
      </c>
      <c r="AC1274" s="24">
        <f t="shared" ca="1" si="39"/>
        <v>182.27900670139206</v>
      </c>
      <c r="AD1274" s="25" t="str">
        <f t="shared" ca="1" si="40"/>
        <v>&gt;60 dias</v>
      </c>
      <c r="AE1274" s="25">
        <f>MONTH(Tabela1[[#This Row],[Criado em]])</f>
        <v>10</v>
      </c>
      <c r="AF1274" s="25">
        <f>YEAR(Tabela1[[#This Row],[Criado em]])</f>
        <v>2025</v>
      </c>
      <c r="AG1274" s="25">
        <f>COUNTIFS(Tabela1[Mês],Tabela1[[#This Row],[Mês]])</f>
        <v>196</v>
      </c>
      <c r="AH1274" s="25">
        <f>COUNTIFS(Tabela1[Mês],Tabela1[[#This Row],[Mês]],Tabela1[Fase atual],"Recebido")</f>
        <v>138</v>
      </c>
      <c r="AI1274" s="26">
        <f>Tabela1[[#This Row],[Recebido_ Mes]]/Tabela1[[#This Row],[Total_Mes]]</f>
        <v>0.70408163265306123</v>
      </c>
      <c r="AJ1274" s="19">
        <f>COUNTIFS(Tabela1[Fase atual],"Recebido",Tabela1[Mês],Tabela1[[#This Row],[Mês]],Tabela1[Ano],Tabela1[[#This Row],[Ano]])/COUNTIF(Tabela1[Mês],Tabela1[[#This Row],[Mês]])</f>
        <v>0.70408163265306123</v>
      </c>
      <c r="AK1274" s="20">
        <f>100%</f>
        <v>1</v>
      </c>
    </row>
    <row r="1275" spans="1:37" ht="18" customHeight="1" x14ac:dyDescent="0.25">
      <c r="A1275">
        <v>1235486933</v>
      </c>
      <c r="B1275" t="s">
        <v>413</v>
      </c>
      <c r="C1275" t="s">
        <v>1935</v>
      </c>
      <c r="D1275" t="s">
        <v>37</v>
      </c>
      <c r="E1275" t="s">
        <v>31</v>
      </c>
      <c r="F1275" s="2">
        <v>45944.815668333344</v>
      </c>
      <c r="AC1275" s="24">
        <f t="shared" ca="1" si="39"/>
        <v>189.18433166665636</v>
      </c>
      <c r="AD1275" s="25" t="str">
        <f t="shared" ca="1" si="40"/>
        <v>&gt;60 dias</v>
      </c>
      <c r="AE1275" s="25">
        <f>MONTH(Tabela1[[#This Row],[Criado em]])</f>
        <v>10</v>
      </c>
      <c r="AF1275" s="25">
        <f>YEAR(Tabela1[[#This Row],[Criado em]])</f>
        <v>2025</v>
      </c>
      <c r="AG1275" s="25">
        <f>COUNTIFS(Tabela1[Mês],Tabela1[[#This Row],[Mês]])</f>
        <v>196</v>
      </c>
      <c r="AH1275" s="25">
        <f>COUNTIFS(Tabela1[Mês],Tabela1[[#This Row],[Mês]],Tabela1[Fase atual],"Recebido")</f>
        <v>138</v>
      </c>
      <c r="AI1275" s="26">
        <f>Tabela1[[#This Row],[Recebido_ Mes]]/Tabela1[[#This Row],[Total_Mes]]</f>
        <v>0.70408163265306123</v>
      </c>
      <c r="AJ1275" s="19">
        <f>COUNTIFS(Tabela1[Fase atual],"Recebido",Tabela1[Mês],Tabela1[[#This Row],[Mês]],Tabela1[Ano],Tabela1[[#This Row],[Ano]])/COUNTIF(Tabela1[Mês],Tabela1[[#This Row],[Mês]])</f>
        <v>0.70408163265306123</v>
      </c>
      <c r="AK1275" s="20">
        <f>100%</f>
        <v>1</v>
      </c>
    </row>
    <row r="1276" spans="1:37" ht="18" customHeight="1" x14ac:dyDescent="0.25">
      <c r="A1276">
        <v>1282285791</v>
      </c>
      <c r="B1276" t="s">
        <v>546</v>
      </c>
      <c r="C1276" t="s">
        <v>547</v>
      </c>
      <c r="D1276" t="s">
        <v>37</v>
      </c>
      <c r="E1276" t="s">
        <v>31</v>
      </c>
      <c r="F1276" s="2">
        <v>46037.629034189813</v>
      </c>
      <c r="AC1276" s="24">
        <f t="shared" ca="1" si="39"/>
        <v>96.370965810187045</v>
      </c>
      <c r="AD1276" s="25" t="str">
        <f t="shared" ca="1" si="40"/>
        <v>&gt;60 dias</v>
      </c>
      <c r="AE1276" s="25">
        <f>MONTH(Tabela1[[#This Row],[Criado em]])</f>
        <v>1</v>
      </c>
      <c r="AF1276" s="25">
        <f>YEAR(Tabela1[[#This Row],[Criado em]])</f>
        <v>2026</v>
      </c>
      <c r="AG1276" s="25">
        <f>COUNTIFS(Tabela1[Mês],Tabela1[[#This Row],[Mês]])</f>
        <v>222</v>
      </c>
      <c r="AH1276" s="25">
        <f>COUNTIFS(Tabela1[Mês],Tabela1[[#This Row],[Mês]],Tabela1[Fase atual],"Recebido")</f>
        <v>174</v>
      </c>
      <c r="AI1276" s="26">
        <f>Tabela1[[#This Row],[Recebido_ Mes]]/Tabela1[[#This Row],[Total_Mes]]</f>
        <v>0.78378378378378377</v>
      </c>
      <c r="AJ1276" s="19">
        <f>COUNTIFS(Tabela1[Fase atual],"Recebido",Tabela1[Mês],Tabela1[[#This Row],[Mês]],Tabela1[Ano],Tabela1[[#This Row],[Ano]])/COUNTIF(Tabela1[Mês],Tabela1[[#This Row],[Mês]])</f>
        <v>0.78378378378378377</v>
      </c>
      <c r="AK1276" s="20">
        <f>100%</f>
        <v>1</v>
      </c>
    </row>
    <row r="1277" spans="1:37" ht="18" customHeight="1" x14ac:dyDescent="0.25">
      <c r="A1277">
        <v>1278799619</v>
      </c>
      <c r="B1277" t="s">
        <v>548</v>
      </c>
      <c r="C1277" t="s">
        <v>549</v>
      </c>
      <c r="D1277" t="s">
        <v>37</v>
      </c>
      <c r="E1277" t="s">
        <v>31</v>
      </c>
      <c r="F1277" s="2">
        <v>46030.629537511573</v>
      </c>
      <c r="AC1277" s="24">
        <f t="shared" ca="1" si="39"/>
        <v>103.37046248842671</v>
      </c>
      <c r="AD1277" s="25" t="str">
        <f t="shared" ca="1" si="40"/>
        <v>&gt;60 dias</v>
      </c>
      <c r="AE1277" s="25">
        <f>MONTH(Tabela1[[#This Row],[Criado em]])</f>
        <v>1</v>
      </c>
      <c r="AF1277" s="25">
        <f>YEAR(Tabela1[[#This Row],[Criado em]])</f>
        <v>2026</v>
      </c>
      <c r="AG1277" s="25">
        <f>COUNTIFS(Tabela1[Mês],Tabela1[[#This Row],[Mês]])</f>
        <v>222</v>
      </c>
      <c r="AH1277" s="25">
        <f>COUNTIFS(Tabela1[Mês],Tabela1[[#This Row],[Mês]],Tabela1[Fase atual],"Recebido")</f>
        <v>174</v>
      </c>
      <c r="AI1277" s="26">
        <f>Tabela1[[#This Row],[Recebido_ Mes]]/Tabela1[[#This Row],[Total_Mes]]</f>
        <v>0.78378378378378377</v>
      </c>
      <c r="AJ1277" s="19">
        <f>COUNTIFS(Tabela1[Fase atual],"Recebido",Tabela1[Mês],Tabela1[[#This Row],[Mês]],Tabela1[Ano],Tabela1[[#This Row],[Ano]])/COUNTIF(Tabela1[Mês],Tabela1[[#This Row],[Mês]])</f>
        <v>0.78378378378378377</v>
      </c>
      <c r="AK1277" s="20">
        <f>100%</f>
        <v>1</v>
      </c>
    </row>
    <row r="1278" spans="1:37" ht="18" customHeight="1" x14ac:dyDescent="0.25">
      <c r="A1278">
        <v>1297644057</v>
      </c>
      <c r="B1278" t="s">
        <v>550</v>
      </c>
      <c r="C1278" t="s">
        <v>551</v>
      </c>
      <c r="D1278" t="s">
        <v>37</v>
      </c>
      <c r="E1278" t="s">
        <v>31</v>
      </c>
      <c r="F1278" s="2">
        <v>46066.769415046292</v>
      </c>
      <c r="AC1278" s="24">
        <f t="shared" ca="1" si="39"/>
        <v>67.230584953707876</v>
      </c>
      <c r="AD1278" s="25" t="str">
        <f t="shared" ca="1" si="40"/>
        <v>&gt;60 dias</v>
      </c>
      <c r="AE1278" s="25">
        <f>MONTH(Tabela1[[#This Row],[Criado em]])</f>
        <v>2</v>
      </c>
      <c r="AF1278" s="25">
        <f>YEAR(Tabela1[[#This Row],[Criado em]])</f>
        <v>2026</v>
      </c>
      <c r="AG1278" s="25">
        <f>COUNTIFS(Tabela1[Mês],Tabela1[[#This Row],[Mês]])</f>
        <v>197</v>
      </c>
      <c r="AH1278" s="25">
        <f>COUNTIFS(Tabela1[Mês],Tabela1[[#This Row],[Mês]],Tabela1[Fase atual],"Recebido")</f>
        <v>124</v>
      </c>
      <c r="AI1278" s="26">
        <f>Tabela1[[#This Row],[Recebido_ Mes]]/Tabela1[[#This Row],[Total_Mes]]</f>
        <v>0.62944162436548223</v>
      </c>
      <c r="AJ1278" s="19">
        <f>COUNTIFS(Tabela1[Fase atual],"Recebido",Tabela1[Mês],Tabela1[[#This Row],[Mês]],Tabela1[Ano],Tabela1[[#This Row],[Ano]])/COUNTIF(Tabela1[Mês],Tabela1[[#This Row],[Mês]])</f>
        <v>0.62944162436548223</v>
      </c>
      <c r="AK1278" s="20">
        <f>100%</f>
        <v>1</v>
      </c>
    </row>
    <row r="1279" spans="1:37" ht="18" customHeight="1" x14ac:dyDescent="0.25">
      <c r="A1279">
        <v>1182617084</v>
      </c>
      <c r="B1279" t="s">
        <v>1936</v>
      </c>
      <c r="C1279" t="s">
        <v>1937</v>
      </c>
      <c r="D1279" t="s">
        <v>37</v>
      </c>
      <c r="E1279" t="s">
        <v>31</v>
      </c>
      <c r="F1279" s="2">
        <v>45862.673829189807</v>
      </c>
      <c r="AC1279" s="24">
        <f t="shared" ca="1" si="39"/>
        <v>271.32617081019271</v>
      </c>
      <c r="AD1279" s="25" t="str">
        <f t="shared" ca="1" si="40"/>
        <v>&gt;60 dias</v>
      </c>
      <c r="AE1279" s="25">
        <f>MONTH(Tabela1[[#This Row],[Criado em]])</f>
        <v>7</v>
      </c>
      <c r="AF1279" s="25">
        <f>YEAR(Tabela1[[#This Row],[Criado em]])</f>
        <v>2025</v>
      </c>
      <c r="AG1279" s="25">
        <f>COUNTIFS(Tabela1[Mês],Tabela1[[#This Row],[Mês]])</f>
        <v>177</v>
      </c>
      <c r="AH1279" s="25">
        <f>COUNTIFS(Tabela1[Mês],Tabela1[[#This Row],[Mês]],Tabela1[Fase atual],"Recebido")</f>
        <v>130</v>
      </c>
      <c r="AI1279" s="26">
        <f>Tabela1[[#This Row],[Recebido_ Mes]]/Tabela1[[#This Row],[Total_Mes]]</f>
        <v>0.7344632768361582</v>
      </c>
      <c r="AJ1279" s="19">
        <f>COUNTIFS(Tabela1[Fase atual],"Recebido",Tabela1[Mês],Tabela1[[#This Row],[Mês]],Tabela1[Ano],Tabela1[[#This Row],[Ano]])/COUNTIF(Tabela1[Mês],Tabela1[[#This Row],[Mês]])</f>
        <v>0.7344632768361582</v>
      </c>
      <c r="AK1279" s="20">
        <f>100%</f>
        <v>1</v>
      </c>
    </row>
    <row r="1280" spans="1:37" ht="18" customHeight="1" x14ac:dyDescent="0.25">
      <c r="A1280">
        <v>1207655991</v>
      </c>
      <c r="B1280" t="s">
        <v>1938</v>
      </c>
      <c r="C1280" t="s">
        <v>1939</v>
      </c>
      <c r="D1280" t="s">
        <v>37</v>
      </c>
      <c r="E1280" t="s">
        <v>31</v>
      </c>
      <c r="F1280" s="2">
        <v>45903.851151481482</v>
      </c>
      <c r="AC1280" s="24">
        <f t="shared" ca="1" si="39"/>
        <v>230.14884851851821</v>
      </c>
      <c r="AD1280" s="25" t="str">
        <f t="shared" ca="1" si="40"/>
        <v>&gt;60 dias</v>
      </c>
      <c r="AE1280" s="25">
        <f>MONTH(Tabela1[[#This Row],[Criado em]])</f>
        <v>9</v>
      </c>
      <c r="AF1280" s="25">
        <f>YEAR(Tabela1[[#This Row],[Criado em]])</f>
        <v>2025</v>
      </c>
      <c r="AG1280" s="25">
        <f>COUNTIFS(Tabela1[Mês],Tabela1[[#This Row],[Mês]])</f>
        <v>197</v>
      </c>
      <c r="AH1280" s="25">
        <f>COUNTIFS(Tabela1[Mês],Tabela1[[#This Row],[Mês]],Tabela1[Fase atual],"Recebido")</f>
        <v>152</v>
      </c>
      <c r="AI1280" s="26">
        <f>Tabela1[[#This Row],[Recebido_ Mes]]/Tabela1[[#This Row],[Total_Mes]]</f>
        <v>0.77157360406091369</v>
      </c>
      <c r="AJ1280" s="19">
        <f>COUNTIFS(Tabela1[Fase atual],"Recebido",Tabela1[Mês],Tabela1[[#This Row],[Mês]],Tabela1[Ano],Tabela1[[#This Row],[Ano]])/COUNTIF(Tabela1[Mês],Tabela1[[#This Row],[Mês]])</f>
        <v>0.77157360406091369</v>
      </c>
      <c r="AK1280" s="20">
        <f>100%</f>
        <v>1</v>
      </c>
    </row>
    <row r="1281" spans="1:37" ht="18" customHeight="1" x14ac:dyDescent="0.25">
      <c r="A1281">
        <v>1266958179</v>
      </c>
      <c r="B1281" t="s">
        <v>1940</v>
      </c>
      <c r="C1281" t="s">
        <v>1941</v>
      </c>
      <c r="D1281" t="s">
        <v>37</v>
      </c>
      <c r="E1281" t="s">
        <v>31</v>
      </c>
      <c r="F1281" s="2">
        <v>46002.545841620376</v>
      </c>
      <c r="AC1281" s="24">
        <f t="shared" ca="1" si="39"/>
        <v>131.45415837962355</v>
      </c>
      <c r="AD1281" s="25" t="str">
        <f t="shared" ca="1" si="40"/>
        <v>&gt;60 dias</v>
      </c>
      <c r="AE1281" s="25">
        <f>MONTH(Tabela1[[#This Row],[Criado em]])</f>
        <v>12</v>
      </c>
      <c r="AF1281" s="25">
        <f>YEAR(Tabela1[[#This Row],[Criado em]])</f>
        <v>2025</v>
      </c>
      <c r="AG1281" s="25">
        <f>COUNTIFS(Tabela1[Mês],Tabela1[[#This Row],[Mês]])</f>
        <v>207</v>
      </c>
      <c r="AH1281" s="25">
        <f>COUNTIFS(Tabela1[Mês],Tabela1[[#This Row],[Mês]],Tabela1[Fase atual],"Recebido")</f>
        <v>155</v>
      </c>
      <c r="AI1281" s="26">
        <f>Tabela1[[#This Row],[Recebido_ Mes]]/Tabela1[[#This Row],[Total_Mes]]</f>
        <v>0.74879227053140096</v>
      </c>
      <c r="AJ1281" s="19">
        <f>COUNTIFS(Tabela1[Fase atual],"Recebido",Tabela1[Mês],Tabela1[[#This Row],[Mês]],Tabela1[Ano],Tabela1[[#This Row],[Ano]])/COUNTIF(Tabela1[Mês],Tabela1[[#This Row],[Mês]])</f>
        <v>0.74879227053140096</v>
      </c>
      <c r="AK1281" s="20">
        <f>100%</f>
        <v>1</v>
      </c>
    </row>
    <row r="1282" spans="1:37" ht="18" customHeight="1" x14ac:dyDescent="0.25">
      <c r="A1282">
        <v>1239657443</v>
      </c>
      <c r="B1282" t="s">
        <v>1942</v>
      </c>
      <c r="C1282" t="s">
        <v>1943</v>
      </c>
      <c r="D1282" t="s">
        <v>37</v>
      </c>
      <c r="E1282" t="s">
        <v>31</v>
      </c>
      <c r="F1282" s="2">
        <v>45950.544299976857</v>
      </c>
      <c r="AC1282" s="24">
        <f t="shared" ca="1" si="39"/>
        <v>183.45570002314344</v>
      </c>
      <c r="AD1282" s="25" t="str">
        <f t="shared" ca="1" si="40"/>
        <v>&gt;60 dias</v>
      </c>
      <c r="AE1282" s="25">
        <f>MONTH(Tabela1[[#This Row],[Criado em]])</f>
        <v>10</v>
      </c>
      <c r="AF1282" s="25">
        <f>YEAR(Tabela1[[#This Row],[Criado em]])</f>
        <v>2025</v>
      </c>
      <c r="AG1282" s="25">
        <f>COUNTIFS(Tabela1[Mês],Tabela1[[#This Row],[Mês]])</f>
        <v>196</v>
      </c>
      <c r="AH1282" s="25">
        <f>COUNTIFS(Tabela1[Mês],Tabela1[[#This Row],[Mês]],Tabela1[Fase atual],"Recebido")</f>
        <v>138</v>
      </c>
      <c r="AI1282" s="26">
        <f>Tabela1[[#This Row],[Recebido_ Mes]]/Tabela1[[#This Row],[Total_Mes]]</f>
        <v>0.70408163265306123</v>
      </c>
      <c r="AJ1282" s="19">
        <f>COUNTIFS(Tabela1[Fase atual],"Recebido",Tabela1[Mês],Tabela1[[#This Row],[Mês]],Tabela1[Ano],Tabela1[[#This Row],[Ano]])/COUNTIF(Tabela1[Mês],Tabela1[[#This Row],[Mês]])</f>
        <v>0.70408163265306123</v>
      </c>
      <c r="AK1282" s="20">
        <f>100%</f>
        <v>1</v>
      </c>
    </row>
    <row r="1283" spans="1:37" ht="18" customHeight="1" x14ac:dyDescent="0.25">
      <c r="A1283">
        <v>1257102101</v>
      </c>
      <c r="B1283" t="s">
        <v>1944</v>
      </c>
      <c r="C1283" t="s">
        <v>1945</v>
      </c>
      <c r="D1283" t="s">
        <v>37</v>
      </c>
      <c r="E1283" t="s">
        <v>31</v>
      </c>
      <c r="F1283" s="2">
        <v>45980.795198391213</v>
      </c>
      <c r="AC1283" s="24">
        <f t="shared" ref="AC1283:AC1346" ca="1" si="41">TODAY() - F1283</f>
        <v>153.20480160878651</v>
      </c>
      <c r="AD1283" s="25" t="str">
        <f t="shared" ref="AD1283:AD1346" ca="1" si="42">IF(AC1283&lt;=14,"0-14 dias",
IF(AC1283&lt;=19,"15-19 dias",
IF(AC1283&lt;=24,"20-24 dias",
IF(AC1283&lt;=30,"25-30 dias",
IF(AC1283&lt;=60,"31-60 dias",
"&gt;60 dias")))))</f>
        <v>&gt;60 dias</v>
      </c>
      <c r="AE1283" s="25">
        <f>MONTH(Tabela1[[#This Row],[Criado em]])</f>
        <v>11</v>
      </c>
      <c r="AF1283" s="25">
        <f>YEAR(Tabela1[[#This Row],[Criado em]])</f>
        <v>2025</v>
      </c>
      <c r="AG1283" s="25">
        <f>COUNTIFS(Tabela1[Mês],Tabela1[[#This Row],[Mês]])</f>
        <v>130</v>
      </c>
      <c r="AH1283" s="25">
        <f>COUNTIFS(Tabela1[Mês],Tabela1[[#This Row],[Mês]],Tabela1[Fase atual],"Recebido")</f>
        <v>100</v>
      </c>
      <c r="AI1283" s="26">
        <f>Tabela1[[#This Row],[Recebido_ Mes]]/Tabela1[[#This Row],[Total_Mes]]</f>
        <v>0.76923076923076927</v>
      </c>
      <c r="AJ1283" s="19">
        <f>COUNTIFS(Tabela1[Fase atual],"Recebido",Tabela1[Mês],Tabela1[[#This Row],[Mês]],Tabela1[Ano],Tabela1[[#This Row],[Ano]])/COUNTIF(Tabela1[Mês],Tabela1[[#This Row],[Mês]])</f>
        <v>0.76923076923076927</v>
      </c>
      <c r="AK1283" s="20">
        <f>100%</f>
        <v>1</v>
      </c>
    </row>
    <row r="1284" spans="1:37" ht="18" customHeight="1" x14ac:dyDescent="0.25">
      <c r="A1284">
        <v>1249086081</v>
      </c>
      <c r="B1284" t="s">
        <v>1946</v>
      </c>
      <c r="C1284" t="s">
        <v>1947</v>
      </c>
      <c r="D1284" t="s">
        <v>37</v>
      </c>
      <c r="E1284" t="s">
        <v>31</v>
      </c>
      <c r="F1284" s="2">
        <v>45964.794800567142</v>
      </c>
      <c r="AC1284" s="24">
        <f t="shared" ca="1" si="41"/>
        <v>169.20519943285763</v>
      </c>
      <c r="AD1284" s="25" t="str">
        <f t="shared" ca="1" si="42"/>
        <v>&gt;60 dias</v>
      </c>
      <c r="AE1284" s="25">
        <f>MONTH(Tabela1[[#This Row],[Criado em]])</f>
        <v>11</v>
      </c>
      <c r="AF1284" s="25">
        <f>YEAR(Tabela1[[#This Row],[Criado em]])</f>
        <v>2025</v>
      </c>
      <c r="AG1284" s="25">
        <f>COUNTIFS(Tabela1[Mês],Tabela1[[#This Row],[Mês]])</f>
        <v>130</v>
      </c>
      <c r="AH1284" s="25">
        <f>COUNTIFS(Tabela1[Mês],Tabela1[[#This Row],[Mês]],Tabela1[Fase atual],"Recebido")</f>
        <v>100</v>
      </c>
      <c r="AI1284" s="26">
        <f>Tabela1[[#This Row],[Recebido_ Mes]]/Tabela1[[#This Row],[Total_Mes]]</f>
        <v>0.76923076923076927</v>
      </c>
      <c r="AJ1284" s="19">
        <f>COUNTIFS(Tabela1[Fase atual],"Recebido",Tabela1[Mês],Tabela1[[#This Row],[Mês]],Tabela1[Ano],Tabela1[[#This Row],[Ano]])/COUNTIF(Tabela1[Mês],Tabela1[[#This Row],[Mês]])</f>
        <v>0.76923076923076927</v>
      </c>
      <c r="AK1284" s="20">
        <f>100%</f>
        <v>1</v>
      </c>
    </row>
    <row r="1285" spans="1:37" ht="18" customHeight="1" x14ac:dyDescent="0.25">
      <c r="A1285">
        <v>1199604976</v>
      </c>
      <c r="B1285" t="s">
        <v>1948</v>
      </c>
      <c r="C1285" t="s">
        <v>1949</v>
      </c>
      <c r="D1285" t="s">
        <v>37</v>
      </c>
      <c r="E1285" t="s">
        <v>31</v>
      </c>
      <c r="F1285" s="2">
        <v>45890.851440405087</v>
      </c>
      <c r="AC1285" s="24">
        <f t="shared" ca="1" si="41"/>
        <v>243.14855959491251</v>
      </c>
      <c r="AD1285" s="25" t="str">
        <f t="shared" ca="1" si="42"/>
        <v>&gt;60 dias</v>
      </c>
      <c r="AE1285" s="25">
        <f>MONTH(Tabela1[[#This Row],[Criado em]])</f>
        <v>8</v>
      </c>
      <c r="AF1285" s="25">
        <f>YEAR(Tabela1[[#This Row],[Criado em]])</f>
        <v>2025</v>
      </c>
      <c r="AG1285" s="25">
        <f>COUNTIFS(Tabela1[Mês],Tabela1[[#This Row],[Mês]])</f>
        <v>146</v>
      </c>
      <c r="AH1285" s="25">
        <f>COUNTIFS(Tabela1[Mês],Tabela1[[#This Row],[Mês]],Tabela1[Fase atual],"Recebido")</f>
        <v>115</v>
      </c>
      <c r="AI1285" s="26">
        <f>Tabela1[[#This Row],[Recebido_ Mes]]/Tabela1[[#This Row],[Total_Mes]]</f>
        <v>0.78767123287671237</v>
      </c>
      <c r="AJ1285" s="19">
        <f>COUNTIFS(Tabela1[Fase atual],"Recebido",Tabela1[Mês],Tabela1[[#This Row],[Mês]],Tabela1[Ano],Tabela1[[#This Row],[Ano]])/COUNTIF(Tabela1[Mês],Tabela1[[#This Row],[Mês]])</f>
        <v>0.78767123287671237</v>
      </c>
      <c r="AK1285" s="20">
        <f>100%</f>
        <v>1</v>
      </c>
    </row>
    <row r="1286" spans="1:37" ht="18" customHeight="1" x14ac:dyDescent="0.25">
      <c r="A1286">
        <v>1203611085</v>
      </c>
      <c r="B1286" t="s">
        <v>1948</v>
      </c>
      <c r="C1286" t="s">
        <v>1949</v>
      </c>
      <c r="D1286" t="s">
        <v>37</v>
      </c>
      <c r="E1286" t="s">
        <v>31</v>
      </c>
      <c r="F1286" s="2">
        <v>45897.569277187496</v>
      </c>
      <c r="AC1286" s="24">
        <f t="shared" ca="1" si="41"/>
        <v>236.43072281250352</v>
      </c>
      <c r="AD1286" s="25" t="str">
        <f t="shared" ca="1" si="42"/>
        <v>&gt;60 dias</v>
      </c>
      <c r="AE1286" s="25">
        <f>MONTH(Tabela1[[#This Row],[Criado em]])</f>
        <v>8</v>
      </c>
      <c r="AF1286" s="25">
        <f>YEAR(Tabela1[[#This Row],[Criado em]])</f>
        <v>2025</v>
      </c>
      <c r="AG1286" s="25">
        <f>COUNTIFS(Tabela1[Mês],Tabela1[[#This Row],[Mês]])</f>
        <v>146</v>
      </c>
      <c r="AH1286" s="25">
        <f>COUNTIFS(Tabela1[Mês],Tabela1[[#This Row],[Mês]],Tabela1[Fase atual],"Recebido")</f>
        <v>115</v>
      </c>
      <c r="AI1286" s="26">
        <f>Tabela1[[#This Row],[Recebido_ Mes]]/Tabela1[[#This Row],[Total_Mes]]</f>
        <v>0.78767123287671237</v>
      </c>
      <c r="AJ1286" s="19">
        <f>COUNTIFS(Tabela1[Fase atual],"Recebido",Tabela1[Mês],Tabela1[[#This Row],[Mês]],Tabela1[Ano],Tabela1[[#This Row],[Ano]])/COUNTIF(Tabela1[Mês],Tabela1[[#This Row],[Mês]])</f>
        <v>0.78767123287671237</v>
      </c>
      <c r="AK1286" s="20">
        <f>100%</f>
        <v>1</v>
      </c>
    </row>
    <row r="1287" spans="1:37" ht="18" customHeight="1" x14ac:dyDescent="0.25">
      <c r="A1287">
        <v>1253909705</v>
      </c>
      <c r="B1287" t="s">
        <v>1948</v>
      </c>
      <c r="C1287" t="s">
        <v>1950</v>
      </c>
      <c r="D1287" t="s">
        <v>37</v>
      </c>
      <c r="E1287" t="s">
        <v>31</v>
      </c>
      <c r="F1287" s="2">
        <v>45973.705814409717</v>
      </c>
      <c r="AC1287" s="24">
        <f t="shared" ca="1" si="41"/>
        <v>160.29418559028272</v>
      </c>
      <c r="AD1287" s="25" t="str">
        <f t="shared" ca="1" si="42"/>
        <v>&gt;60 dias</v>
      </c>
      <c r="AE1287" s="25">
        <f>MONTH(Tabela1[[#This Row],[Criado em]])</f>
        <v>11</v>
      </c>
      <c r="AF1287" s="25">
        <f>YEAR(Tabela1[[#This Row],[Criado em]])</f>
        <v>2025</v>
      </c>
      <c r="AG1287" s="25">
        <f>COUNTIFS(Tabela1[Mês],Tabela1[[#This Row],[Mês]])</f>
        <v>130</v>
      </c>
      <c r="AH1287" s="25">
        <f>COUNTIFS(Tabela1[Mês],Tabela1[[#This Row],[Mês]],Tabela1[Fase atual],"Recebido")</f>
        <v>100</v>
      </c>
      <c r="AI1287" s="26">
        <f>Tabela1[[#This Row],[Recebido_ Mes]]/Tabela1[[#This Row],[Total_Mes]]</f>
        <v>0.76923076923076927</v>
      </c>
      <c r="AJ1287" s="19">
        <f>COUNTIFS(Tabela1[Fase atual],"Recebido",Tabela1[Mês],Tabela1[[#This Row],[Mês]],Tabela1[Ano],Tabela1[[#This Row],[Ano]])/COUNTIF(Tabela1[Mês],Tabela1[[#This Row],[Mês]])</f>
        <v>0.76923076923076927</v>
      </c>
      <c r="AK1287" s="20">
        <f>100%</f>
        <v>1</v>
      </c>
    </row>
    <row r="1288" spans="1:37" ht="18" customHeight="1" x14ac:dyDescent="0.25">
      <c r="A1288">
        <v>1257960062</v>
      </c>
      <c r="B1288" t="s">
        <v>1951</v>
      </c>
      <c r="C1288" t="s">
        <v>1952</v>
      </c>
      <c r="D1288" t="s">
        <v>37</v>
      </c>
      <c r="E1288" t="s">
        <v>31</v>
      </c>
      <c r="F1288" s="2">
        <v>45982.79546543982</v>
      </c>
      <c r="AC1288" s="24">
        <f t="shared" ca="1" si="41"/>
        <v>151.20453456018004</v>
      </c>
      <c r="AD1288" s="25" t="str">
        <f t="shared" ca="1" si="42"/>
        <v>&gt;60 dias</v>
      </c>
      <c r="AE1288" s="25">
        <f>MONTH(Tabela1[[#This Row],[Criado em]])</f>
        <v>11</v>
      </c>
      <c r="AF1288" s="25">
        <f>YEAR(Tabela1[[#This Row],[Criado em]])</f>
        <v>2025</v>
      </c>
      <c r="AG1288" s="25">
        <f>COUNTIFS(Tabela1[Mês],Tabela1[[#This Row],[Mês]])</f>
        <v>130</v>
      </c>
      <c r="AH1288" s="25">
        <f>COUNTIFS(Tabela1[Mês],Tabela1[[#This Row],[Mês]],Tabela1[Fase atual],"Recebido")</f>
        <v>100</v>
      </c>
      <c r="AI1288" s="26">
        <f>Tabela1[[#This Row],[Recebido_ Mes]]/Tabela1[[#This Row],[Total_Mes]]</f>
        <v>0.76923076923076927</v>
      </c>
      <c r="AJ1288" s="19">
        <f>COUNTIFS(Tabela1[Fase atual],"Recebido",Tabela1[Mês],Tabela1[[#This Row],[Mês]],Tabela1[Ano],Tabela1[[#This Row],[Ano]])/COUNTIF(Tabela1[Mês],Tabela1[[#This Row],[Mês]])</f>
        <v>0.76923076923076927</v>
      </c>
      <c r="AK1288" s="20">
        <f>100%</f>
        <v>1</v>
      </c>
    </row>
    <row r="1289" spans="1:37" ht="18" customHeight="1" x14ac:dyDescent="0.25">
      <c r="A1289">
        <v>1308451971</v>
      </c>
      <c r="B1289" t="s">
        <v>2271</v>
      </c>
      <c r="C1289" t="s">
        <v>2272</v>
      </c>
      <c r="D1289" t="s">
        <v>37</v>
      </c>
      <c r="E1289" t="s">
        <v>31</v>
      </c>
      <c r="F1289" s="2">
        <v>46084.831891608803</v>
      </c>
      <c r="AC1289" s="24">
        <f t="shared" ca="1" si="41"/>
        <v>49.168108391197165</v>
      </c>
      <c r="AD1289" s="25" t="str">
        <f t="shared" ca="1" si="42"/>
        <v>31-60 dias</v>
      </c>
      <c r="AE1289" s="25">
        <f>MONTH(Tabela1[[#This Row],[Criado em]])</f>
        <v>3</v>
      </c>
      <c r="AF1289" s="25">
        <f>YEAR(Tabela1[[#This Row],[Criado em]])</f>
        <v>2026</v>
      </c>
      <c r="AG1289" s="25">
        <f>COUNTIFS(Tabela1[Mês],Tabela1[[#This Row],[Mês]])</f>
        <v>62</v>
      </c>
      <c r="AH1289" s="25">
        <f>COUNTIFS(Tabela1[Mês],Tabela1[[#This Row],[Mês]],Tabela1[Fase atual],"Recebido")</f>
        <v>13</v>
      </c>
      <c r="AI1289" s="26">
        <f>Tabela1[[#This Row],[Recebido_ Mes]]/Tabela1[[#This Row],[Total_Mes]]</f>
        <v>0.20967741935483872</v>
      </c>
      <c r="AJ1289" s="19">
        <f>COUNTIFS(Tabela1[Fase atual],"Recebido",Tabela1[Mês],Tabela1[[#This Row],[Mês]],Tabela1[Ano],Tabela1[[#This Row],[Ano]])/COUNTIF(Tabela1[Mês],Tabela1[[#This Row],[Mês]])</f>
        <v>0.20967741935483872</v>
      </c>
      <c r="AK1289" s="20">
        <f>100%</f>
        <v>1</v>
      </c>
    </row>
    <row r="1290" spans="1:37" ht="18" customHeight="1" x14ac:dyDescent="0.25">
      <c r="A1290">
        <v>1212564476</v>
      </c>
      <c r="B1290" t="s">
        <v>1850</v>
      </c>
      <c r="C1290" t="s">
        <v>1953</v>
      </c>
      <c r="D1290" t="s">
        <v>37</v>
      </c>
      <c r="E1290" t="s">
        <v>31</v>
      </c>
      <c r="F1290" s="2">
        <v>45911.641339386573</v>
      </c>
      <c r="AC1290" s="24">
        <f t="shared" ca="1" si="41"/>
        <v>222.35866061342676</v>
      </c>
      <c r="AD1290" s="25" t="str">
        <f t="shared" ca="1" si="42"/>
        <v>&gt;60 dias</v>
      </c>
      <c r="AE1290" s="25">
        <f>MONTH(Tabela1[[#This Row],[Criado em]])</f>
        <v>9</v>
      </c>
      <c r="AF1290" s="25">
        <f>YEAR(Tabela1[[#This Row],[Criado em]])</f>
        <v>2025</v>
      </c>
      <c r="AG1290" s="25">
        <f>COUNTIFS(Tabela1[Mês],Tabela1[[#This Row],[Mês]])</f>
        <v>197</v>
      </c>
      <c r="AH1290" s="25">
        <f>COUNTIFS(Tabela1[Mês],Tabela1[[#This Row],[Mês]],Tabela1[Fase atual],"Recebido")</f>
        <v>152</v>
      </c>
      <c r="AI1290" s="26">
        <f>Tabela1[[#This Row],[Recebido_ Mes]]/Tabela1[[#This Row],[Total_Mes]]</f>
        <v>0.77157360406091369</v>
      </c>
      <c r="AJ1290" s="19">
        <f>COUNTIFS(Tabela1[Fase atual],"Recebido",Tabela1[Mês],Tabela1[[#This Row],[Mês]],Tabela1[Ano],Tabela1[[#This Row],[Ano]])/COUNTIF(Tabela1[Mês],Tabela1[[#This Row],[Mês]])</f>
        <v>0.77157360406091369</v>
      </c>
      <c r="AK1290" s="20">
        <f>100%</f>
        <v>1</v>
      </c>
    </row>
    <row r="1291" spans="1:37" ht="18" customHeight="1" x14ac:dyDescent="0.25">
      <c r="A1291">
        <v>1266785073</v>
      </c>
      <c r="B1291" t="s">
        <v>200</v>
      </c>
      <c r="C1291" t="s">
        <v>1954</v>
      </c>
      <c r="D1291" t="s">
        <v>37</v>
      </c>
      <c r="E1291" t="s">
        <v>31</v>
      </c>
      <c r="F1291" s="2">
        <v>46001.921457442128</v>
      </c>
      <c r="AC1291" s="24">
        <f t="shared" ca="1" si="41"/>
        <v>132.07854255787242</v>
      </c>
      <c r="AD1291" s="25" t="str">
        <f t="shared" ca="1" si="42"/>
        <v>&gt;60 dias</v>
      </c>
      <c r="AE1291" s="25">
        <f>MONTH(Tabela1[[#This Row],[Criado em]])</f>
        <v>12</v>
      </c>
      <c r="AF1291" s="25">
        <f>YEAR(Tabela1[[#This Row],[Criado em]])</f>
        <v>2025</v>
      </c>
      <c r="AG1291" s="25">
        <f>COUNTIFS(Tabela1[Mês],Tabela1[[#This Row],[Mês]])</f>
        <v>207</v>
      </c>
      <c r="AH1291" s="25">
        <f>COUNTIFS(Tabela1[Mês],Tabela1[[#This Row],[Mês]],Tabela1[Fase atual],"Recebido")</f>
        <v>155</v>
      </c>
      <c r="AI1291" s="26">
        <f>Tabela1[[#This Row],[Recebido_ Mes]]/Tabela1[[#This Row],[Total_Mes]]</f>
        <v>0.74879227053140096</v>
      </c>
      <c r="AJ1291" s="19">
        <f>COUNTIFS(Tabela1[Fase atual],"Recebido",Tabela1[Mês],Tabela1[[#This Row],[Mês]],Tabela1[Ano],Tabela1[[#This Row],[Ano]])/COUNTIF(Tabela1[Mês],Tabela1[[#This Row],[Mês]])</f>
        <v>0.74879227053140096</v>
      </c>
      <c r="AK1291" s="20">
        <f>100%</f>
        <v>1</v>
      </c>
    </row>
    <row r="1292" spans="1:37" ht="18" customHeight="1" x14ac:dyDescent="0.25">
      <c r="A1292">
        <v>1207418006</v>
      </c>
      <c r="B1292" t="s">
        <v>1955</v>
      </c>
      <c r="C1292" t="s">
        <v>1956</v>
      </c>
      <c r="D1292" t="s">
        <v>37</v>
      </c>
      <c r="E1292" t="s">
        <v>31</v>
      </c>
      <c r="F1292" s="2">
        <v>45903.643690995377</v>
      </c>
      <c r="AC1292" s="24">
        <f t="shared" ca="1" si="41"/>
        <v>230.35630900462274</v>
      </c>
      <c r="AD1292" s="25" t="str">
        <f t="shared" ca="1" si="42"/>
        <v>&gt;60 dias</v>
      </c>
      <c r="AE1292" s="25">
        <f>MONTH(Tabela1[[#This Row],[Criado em]])</f>
        <v>9</v>
      </c>
      <c r="AF1292" s="25">
        <f>YEAR(Tabela1[[#This Row],[Criado em]])</f>
        <v>2025</v>
      </c>
      <c r="AG1292" s="25">
        <f>COUNTIFS(Tabela1[Mês],Tabela1[[#This Row],[Mês]])</f>
        <v>197</v>
      </c>
      <c r="AH1292" s="25">
        <f>COUNTIFS(Tabela1[Mês],Tabela1[[#This Row],[Mês]],Tabela1[Fase atual],"Recebido")</f>
        <v>152</v>
      </c>
      <c r="AI1292" s="26">
        <f>Tabela1[[#This Row],[Recebido_ Mes]]/Tabela1[[#This Row],[Total_Mes]]</f>
        <v>0.77157360406091369</v>
      </c>
      <c r="AJ1292" s="19">
        <f>COUNTIFS(Tabela1[Fase atual],"Recebido",Tabela1[Mês],Tabela1[[#This Row],[Mês]],Tabela1[Ano],Tabela1[[#This Row],[Ano]])/COUNTIF(Tabela1[Mês],Tabela1[[#This Row],[Mês]])</f>
        <v>0.77157360406091369</v>
      </c>
      <c r="AK1292" s="20">
        <f>100%</f>
        <v>1</v>
      </c>
    </row>
    <row r="1293" spans="1:37" ht="18" customHeight="1" x14ac:dyDescent="0.25">
      <c r="A1293">
        <v>1255811741</v>
      </c>
      <c r="B1293" t="s">
        <v>1957</v>
      </c>
      <c r="C1293" t="s">
        <v>1958</v>
      </c>
      <c r="D1293" t="s">
        <v>37</v>
      </c>
      <c r="E1293" t="s">
        <v>31</v>
      </c>
      <c r="F1293" s="2">
        <v>45978.751304155099</v>
      </c>
      <c r="AC1293" s="24">
        <f t="shared" ca="1" si="41"/>
        <v>155.24869584490079</v>
      </c>
      <c r="AD1293" s="25" t="str">
        <f t="shared" ca="1" si="42"/>
        <v>&gt;60 dias</v>
      </c>
      <c r="AE1293" s="25">
        <f>MONTH(Tabela1[[#This Row],[Criado em]])</f>
        <v>11</v>
      </c>
      <c r="AF1293" s="25">
        <f>YEAR(Tabela1[[#This Row],[Criado em]])</f>
        <v>2025</v>
      </c>
      <c r="AG1293" s="25">
        <f>COUNTIFS(Tabela1[Mês],Tabela1[[#This Row],[Mês]])</f>
        <v>130</v>
      </c>
      <c r="AH1293" s="25">
        <f>COUNTIFS(Tabela1[Mês],Tabela1[[#This Row],[Mês]],Tabela1[Fase atual],"Recebido")</f>
        <v>100</v>
      </c>
      <c r="AI1293" s="26">
        <f>Tabela1[[#This Row],[Recebido_ Mes]]/Tabela1[[#This Row],[Total_Mes]]</f>
        <v>0.76923076923076927</v>
      </c>
      <c r="AJ1293" s="19">
        <f>COUNTIFS(Tabela1[Fase atual],"Recebido",Tabela1[Mês],Tabela1[[#This Row],[Mês]],Tabela1[Ano],Tabela1[[#This Row],[Ano]])/COUNTIF(Tabela1[Mês],Tabela1[[#This Row],[Mês]])</f>
        <v>0.76923076923076927</v>
      </c>
      <c r="AK1293" s="20">
        <f>100%</f>
        <v>1</v>
      </c>
    </row>
    <row r="1294" spans="1:37" ht="18" customHeight="1" x14ac:dyDescent="0.25">
      <c r="A1294">
        <v>1275046487</v>
      </c>
      <c r="B1294" t="s">
        <v>1959</v>
      </c>
      <c r="C1294" t="s">
        <v>1960</v>
      </c>
      <c r="D1294" t="s">
        <v>37</v>
      </c>
      <c r="E1294" t="s">
        <v>31</v>
      </c>
      <c r="F1294" s="2">
        <v>46021.921653252313</v>
      </c>
      <c r="AC1294" s="24">
        <f t="shared" ca="1" si="41"/>
        <v>112.07834674768674</v>
      </c>
      <c r="AD1294" s="25" t="str">
        <f t="shared" ca="1" si="42"/>
        <v>&gt;60 dias</v>
      </c>
      <c r="AE1294" s="25">
        <f>MONTH(Tabela1[[#This Row],[Criado em]])</f>
        <v>12</v>
      </c>
      <c r="AF1294" s="25">
        <f>YEAR(Tabela1[[#This Row],[Criado em]])</f>
        <v>2025</v>
      </c>
      <c r="AG1294" s="25">
        <f>COUNTIFS(Tabela1[Mês],Tabela1[[#This Row],[Mês]])</f>
        <v>207</v>
      </c>
      <c r="AH1294" s="25">
        <f>COUNTIFS(Tabela1[Mês],Tabela1[[#This Row],[Mês]],Tabela1[Fase atual],"Recebido")</f>
        <v>155</v>
      </c>
      <c r="AI1294" s="26">
        <f>Tabela1[[#This Row],[Recebido_ Mes]]/Tabela1[[#This Row],[Total_Mes]]</f>
        <v>0.74879227053140096</v>
      </c>
      <c r="AJ1294" s="19">
        <f>COUNTIFS(Tabela1[Fase atual],"Recebido",Tabela1[Mês],Tabela1[[#This Row],[Mês]],Tabela1[Ano],Tabela1[[#This Row],[Ano]])/COUNTIF(Tabela1[Mês],Tabela1[[#This Row],[Mês]])</f>
        <v>0.74879227053140096</v>
      </c>
      <c r="AK1294" s="20">
        <f>100%</f>
        <v>1</v>
      </c>
    </row>
    <row r="1295" spans="1:37" ht="18" customHeight="1" x14ac:dyDescent="0.25">
      <c r="A1295">
        <v>1219117679</v>
      </c>
      <c r="B1295" t="s">
        <v>1961</v>
      </c>
      <c r="C1295" t="s">
        <v>1962</v>
      </c>
      <c r="D1295" t="s">
        <v>40</v>
      </c>
      <c r="E1295" t="s">
        <v>31</v>
      </c>
      <c r="F1295" s="2">
        <v>45922.641704548623</v>
      </c>
      <c r="AC1295" s="24">
        <f t="shared" ca="1" si="41"/>
        <v>211.35829545137676</v>
      </c>
      <c r="AD1295" s="25" t="str">
        <f t="shared" ca="1" si="42"/>
        <v>&gt;60 dias</v>
      </c>
      <c r="AE1295" s="25">
        <f>MONTH(Tabela1[[#This Row],[Criado em]])</f>
        <v>9</v>
      </c>
      <c r="AF1295" s="25">
        <f>YEAR(Tabela1[[#This Row],[Criado em]])</f>
        <v>2025</v>
      </c>
      <c r="AG1295" s="25">
        <f>COUNTIFS(Tabela1[Mês],Tabela1[[#This Row],[Mês]])</f>
        <v>197</v>
      </c>
      <c r="AH1295" s="25">
        <f>COUNTIFS(Tabela1[Mês],Tabela1[[#This Row],[Mês]],Tabela1[Fase atual],"Recebido")</f>
        <v>152</v>
      </c>
      <c r="AI1295" s="26">
        <f>Tabela1[[#This Row],[Recebido_ Mes]]/Tabela1[[#This Row],[Total_Mes]]</f>
        <v>0.77157360406091369</v>
      </c>
      <c r="AJ1295" s="19">
        <f>COUNTIFS(Tabela1[Fase atual],"Recebido",Tabela1[Mês],Tabela1[[#This Row],[Mês]],Tabela1[Ano],Tabela1[[#This Row],[Ano]])/COUNTIF(Tabela1[Mês],Tabela1[[#This Row],[Mês]])</f>
        <v>0.77157360406091369</v>
      </c>
      <c r="AK1295" s="20">
        <f>100%</f>
        <v>1</v>
      </c>
    </row>
    <row r="1296" spans="1:37" ht="18" customHeight="1" x14ac:dyDescent="0.25">
      <c r="A1296">
        <v>1270229558</v>
      </c>
      <c r="B1296" t="s">
        <v>1963</v>
      </c>
      <c r="C1296" t="s">
        <v>1964</v>
      </c>
      <c r="D1296" t="s">
        <v>40</v>
      </c>
      <c r="E1296" t="s">
        <v>31</v>
      </c>
      <c r="F1296" s="2">
        <v>46009.846001458332</v>
      </c>
      <c r="AC1296" s="24">
        <f t="shared" ca="1" si="41"/>
        <v>124.15399854166753</v>
      </c>
      <c r="AD1296" s="25" t="str">
        <f t="shared" ca="1" si="42"/>
        <v>&gt;60 dias</v>
      </c>
      <c r="AE1296" s="25">
        <f>MONTH(Tabela1[[#This Row],[Criado em]])</f>
        <v>12</v>
      </c>
      <c r="AF1296" s="25">
        <f>YEAR(Tabela1[[#This Row],[Criado em]])</f>
        <v>2025</v>
      </c>
      <c r="AG1296" s="25">
        <f>COUNTIFS(Tabela1[Mês],Tabela1[[#This Row],[Mês]])</f>
        <v>207</v>
      </c>
      <c r="AH1296" s="25">
        <f>COUNTIFS(Tabela1[Mês],Tabela1[[#This Row],[Mês]],Tabela1[Fase atual],"Recebido")</f>
        <v>155</v>
      </c>
      <c r="AI1296" s="26">
        <f>Tabela1[[#This Row],[Recebido_ Mes]]/Tabela1[[#This Row],[Total_Mes]]</f>
        <v>0.74879227053140096</v>
      </c>
      <c r="AJ1296" s="19">
        <f>COUNTIFS(Tabela1[Fase atual],"Recebido",Tabela1[Mês],Tabela1[[#This Row],[Mês]],Tabela1[Ano],Tabela1[[#This Row],[Ano]])/COUNTIF(Tabela1[Mês],Tabela1[[#This Row],[Mês]])</f>
        <v>0.74879227053140096</v>
      </c>
      <c r="AK1296" s="20">
        <f>100%</f>
        <v>1</v>
      </c>
    </row>
    <row r="1297" spans="1:37" ht="18" customHeight="1" x14ac:dyDescent="0.25">
      <c r="A1297">
        <v>1227027438</v>
      </c>
      <c r="B1297" t="s">
        <v>1965</v>
      </c>
      <c r="C1297" t="s">
        <v>1966</v>
      </c>
      <c r="D1297" t="s">
        <v>40</v>
      </c>
      <c r="E1297" t="s">
        <v>31</v>
      </c>
      <c r="F1297" s="2">
        <v>45933.850140775467</v>
      </c>
      <c r="AC1297" s="24">
        <f t="shared" ca="1" si="41"/>
        <v>200.14985922453343</v>
      </c>
      <c r="AD1297" s="25" t="str">
        <f t="shared" ca="1" si="42"/>
        <v>&gt;60 dias</v>
      </c>
      <c r="AE1297" s="25">
        <f>MONTH(Tabela1[[#This Row],[Criado em]])</f>
        <v>10</v>
      </c>
      <c r="AF1297" s="25">
        <f>YEAR(Tabela1[[#This Row],[Criado em]])</f>
        <v>2025</v>
      </c>
      <c r="AG1297" s="25">
        <f>COUNTIFS(Tabela1[Mês],Tabela1[[#This Row],[Mês]])</f>
        <v>196</v>
      </c>
      <c r="AH1297" s="25">
        <f>COUNTIFS(Tabela1[Mês],Tabela1[[#This Row],[Mês]],Tabela1[Fase atual],"Recebido")</f>
        <v>138</v>
      </c>
      <c r="AI1297" s="26">
        <f>Tabela1[[#This Row],[Recebido_ Mes]]/Tabela1[[#This Row],[Total_Mes]]</f>
        <v>0.70408163265306123</v>
      </c>
      <c r="AJ1297" s="19">
        <f>COUNTIFS(Tabela1[Fase atual],"Recebido",Tabela1[Mês],Tabela1[[#This Row],[Mês]],Tabela1[Ano],Tabela1[[#This Row],[Ano]])/COUNTIF(Tabela1[Mês],Tabela1[[#This Row],[Mês]])</f>
        <v>0.70408163265306123</v>
      </c>
      <c r="AK1297" s="20">
        <f>100%</f>
        <v>1</v>
      </c>
    </row>
    <row r="1298" spans="1:37" ht="18" customHeight="1" x14ac:dyDescent="0.25">
      <c r="A1298">
        <v>1231461264</v>
      </c>
      <c r="B1298" t="s">
        <v>1963</v>
      </c>
      <c r="C1298" t="s">
        <v>1967</v>
      </c>
      <c r="D1298" t="s">
        <v>784</v>
      </c>
      <c r="E1298" t="s">
        <v>31</v>
      </c>
      <c r="F1298" s="2">
        <v>45939.850968530103</v>
      </c>
      <c r="AC1298" s="24">
        <f t="shared" ca="1" si="41"/>
        <v>194.14903146989673</v>
      </c>
      <c r="AD1298" s="25" t="str">
        <f t="shared" ca="1" si="42"/>
        <v>&gt;60 dias</v>
      </c>
      <c r="AE1298" s="25">
        <f>MONTH(Tabela1[[#This Row],[Criado em]])</f>
        <v>10</v>
      </c>
      <c r="AF1298" s="25">
        <f>YEAR(Tabela1[[#This Row],[Criado em]])</f>
        <v>2025</v>
      </c>
      <c r="AG1298" s="25">
        <f>COUNTIFS(Tabela1[Mês],Tabela1[[#This Row],[Mês]])</f>
        <v>196</v>
      </c>
      <c r="AH1298" s="25">
        <f>COUNTIFS(Tabela1[Mês],Tabela1[[#This Row],[Mês]],Tabela1[Fase atual],"Recebido")</f>
        <v>138</v>
      </c>
      <c r="AI1298" s="26">
        <f>Tabela1[[#This Row],[Recebido_ Mes]]/Tabela1[[#This Row],[Total_Mes]]</f>
        <v>0.70408163265306123</v>
      </c>
      <c r="AJ1298" s="19">
        <f>COUNTIFS(Tabela1[Fase atual],"Recebido",Tabela1[Mês],Tabela1[[#This Row],[Mês]],Tabela1[Ano],Tabela1[[#This Row],[Ano]])/COUNTIF(Tabela1[Mês],Tabela1[[#This Row],[Mês]])</f>
        <v>0.70408163265306123</v>
      </c>
      <c r="AK1298" s="20">
        <f>100%</f>
        <v>1</v>
      </c>
    </row>
    <row r="1299" spans="1:37" ht="18" customHeight="1" x14ac:dyDescent="0.25">
      <c r="A1299">
        <v>1181276184</v>
      </c>
      <c r="B1299" t="s">
        <v>1968</v>
      </c>
      <c r="C1299" t="s">
        <v>1969</v>
      </c>
      <c r="D1299" t="s">
        <v>37</v>
      </c>
      <c r="E1299" t="s">
        <v>31</v>
      </c>
      <c r="F1299" s="2">
        <v>45860.851780277779</v>
      </c>
      <c r="AC1299" s="24">
        <f t="shared" ca="1" si="41"/>
        <v>273.14821972222126</v>
      </c>
      <c r="AD1299" s="25" t="str">
        <f t="shared" ca="1" si="42"/>
        <v>&gt;60 dias</v>
      </c>
      <c r="AE1299" s="25">
        <f>MONTH(Tabela1[[#This Row],[Criado em]])</f>
        <v>7</v>
      </c>
      <c r="AF1299" s="25">
        <f>YEAR(Tabela1[[#This Row],[Criado em]])</f>
        <v>2025</v>
      </c>
      <c r="AG1299" s="25">
        <f>COUNTIFS(Tabela1[Mês],Tabela1[[#This Row],[Mês]])</f>
        <v>177</v>
      </c>
      <c r="AH1299" s="25">
        <f>COUNTIFS(Tabela1[Mês],Tabela1[[#This Row],[Mês]],Tabela1[Fase atual],"Recebido")</f>
        <v>130</v>
      </c>
      <c r="AI1299" s="26">
        <f>Tabela1[[#This Row],[Recebido_ Mes]]/Tabela1[[#This Row],[Total_Mes]]</f>
        <v>0.7344632768361582</v>
      </c>
      <c r="AJ1299" s="19">
        <f>COUNTIFS(Tabela1[Fase atual],"Recebido",Tabela1[Mês],Tabela1[[#This Row],[Mês]],Tabela1[Ano],Tabela1[[#This Row],[Ano]])/COUNTIF(Tabela1[Mês],Tabela1[[#This Row],[Mês]])</f>
        <v>0.7344632768361582</v>
      </c>
      <c r="AK1299" s="20">
        <f>100%</f>
        <v>1</v>
      </c>
    </row>
    <row r="1300" spans="1:37" ht="18" customHeight="1" x14ac:dyDescent="0.25">
      <c r="A1300">
        <v>1266707058</v>
      </c>
      <c r="B1300" t="s">
        <v>1970</v>
      </c>
      <c r="C1300" t="s">
        <v>1971</v>
      </c>
      <c r="D1300" t="s">
        <v>37</v>
      </c>
      <c r="E1300" t="s">
        <v>31</v>
      </c>
      <c r="F1300" s="2">
        <v>46001.799247337964</v>
      </c>
      <c r="AC1300" s="24">
        <f t="shared" ca="1" si="41"/>
        <v>132.20075266203639</v>
      </c>
      <c r="AD1300" s="25" t="str">
        <f t="shared" ca="1" si="42"/>
        <v>&gt;60 dias</v>
      </c>
      <c r="AE1300" s="25">
        <f>MONTH(Tabela1[[#This Row],[Criado em]])</f>
        <v>12</v>
      </c>
      <c r="AF1300" s="25">
        <f>YEAR(Tabela1[[#This Row],[Criado em]])</f>
        <v>2025</v>
      </c>
      <c r="AG1300" s="25">
        <f>COUNTIFS(Tabela1[Mês],Tabela1[[#This Row],[Mês]])</f>
        <v>207</v>
      </c>
      <c r="AH1300" s="25">
        <f>COUNTIFS(Tabela1[Mês],Tabela1[[#This Row],[Mês]],Tabela1[Fase atual],"Recebido")</f>
        <v>155</v>
      </c>
      <c r="AI1300" s="26">
        <f>Tabela1[[#This Row],[Recebido_ Mes]]/Tabela1[[#This Row],[Total_Mes]]</f>
        <v>0.74879227053140096</v>
      </c>
      <c r="AJ1300" s="19">
        <f>COUNTIFS(Tabela1[Fase atual],"Recebido",Tabela1[Mês],Tabela1[[#This Row],[Mês]],Tabela1[Ano],Tabela1[[#This Row],[Ano]])/COUNTIF(Tabela1[Mês],Tabela1[[#This Row],[Mês]])</f>
        <v>0.74879227053140096</v>
      </c>
      <c r="AK1300" s="20">
        <f>100%</f>
        <v>1</v>
      </c>
    </row>
    <row r="1301" spans="1:37" ht="18" customHeight="1" x14ac:dyDescent="0.25">
      <c r="A1301">
        <v>1308578781</v>
      </c>
      <c r="B1301" t="s">
        <v>2273</v>
      </c>
      <c r="C1301" t="s">
        <v>2274</v>
      </c>
      <c r="D1301" t="s">
        <v>2179</v>
      </c>
      <c r="E1301" t="s">
        <v>31</v>
      </c>
      <c r="F1301" s="2">
        <v>46084.918988229168</v>
      </c>
      <c r="AC1301" s="24">
        <f t="shared" ca="1" si="41"/>
        <v>49.081011770831537</v>
      </c>
      <c r="AD1301" s="25" t="str">
        <f t="shared" ca="1" si="42"/>
        <v>31-60 dias</v>
      </c>
      <c r="AE1301" s="25">
        <f>MONTH(Tabela1[[#This Row],[Criado em]])</f>
        <v>3</v>
      </c>
      <c r="AF1301" s="25">
        <f>YEAR(Tabela1[[#This Row],[Criado em]])</f>
        <v>2026</v>
      </c>
      <c r="AG1301" s="25">
        <f>COUNTIFS(Tabela1[Mês],Tabela1[[#This Row],[Mês]])</f>
        <v>62</v>
      </c>
      <c r="AH1301" s="25">
        <f>COUNTIFS(Tabela1[Mês],Tabela1[[#This Row],[Mês]],Tabela1[Fase atual],"Recebido")</f>
        <v>13</v>
      </c>
      <c r="AI1301" s="26">
        <f>Tabela1[[#This Row],[Recebido_ Mes]]/Tabela1[[#This Row],[Total_Mes]]</f>
        <v>0.20967741935483872</v>
      </c>
      <c r="AJ1301" s="19">
        <f>COUNTIFS(Tabela1[Fase atual],"Recebido",Tabela1[Mês],Tabela1[[#This Row],[Mês]],Tabela1[Ano],Tabela1[[#This Row],[Ano]])/COUNTIF(Tabela1[Mês],Tabela1[[#This Row],[Mês]])</f>
        <v>0.20967741935483872</v>
      </c>
      <c r="AK1301" s="20">
        <f>100%</f>
        <v>1</v>
      </c>
    </row>
    <row r="1302" spans="1:37" ht="18" customHeight="1" x14ac:dyDescent="0.25">
      <c r="A1302">
        <v>1172560754</v>
      </c>
      <c r="B1302" t="s">
        <v>1972</v>
      </c>
      <c r="C1302" t="s">
        <v>1973</v>
      </c>
      <c r="D1302" t="s">
        <v>37</v>
      </c>
      <c r="E1302" t="s">
        <v>31</v>
      </c>
      <c r="F1302" s="2">
        <v>45845.643490335642</v>
      </c>
      <c r="AC1302" s="24">
        <f t="shared" ca="1" si="41"/>
        <v>288.35650966435787</v>
      </c>
      <c r="AD1302" s="25" t="str">
        <f t="shared" ca="1" si="42"/>
        <v>&gt;60 dias</v>
      </c>
      <c r="AE1302" s="25">
        <f>MONTH(Tabela1[[#This Row],[Criado em]])</f>
        <v>7</v>
      </c>
      <c r="AF1302" s="25">
        <f>YEAR(Tabela1[[#This Row],[Criado em]])</f>
        <v>2025</v>
      </c>
      <c r="AG1302" s="25">
        <f>COUNTIFS(Tabela1[Mês],Tabela1[[#This Row],[Mês]])</f>
        <v>177</v>
      </c>
      <c r="AH1302" s="25">
        <f>COUNTIFS(Tabela1[Mês],Tabela1[[#This Row],[Mês]],Tabela1[Fase atual],"Recebido")</f>
        <v>130</v>
      </c>
      <c r="AI1302" s="26">
        <f>Tabela1[[#This Row],[Recebido_ Mes]]/Tabela1[[#This Row],[Total_Mes]]</f>
        <v>0.7344632768361582</v>
      </c>
      <c r="AJ1302" s="19">
        <f>COUNTIFS(Tabela1[Fase atual],"Recebido",Tabela1[Mês],Tabela1[[#This Row],[Mês]],Tabela1[Ano],Tabela1[[#This Row],[Ano]])/COUNTIF(Tabela1[Mês],Tabela1[[#This Row],[Mês]])</f>
        <v>0.7344632768361582</v>
      </c>
      <c r="AK1302" s="20">
        <f>100%</f>
        <v>1</v>
      </c>
    </row>
    <row r="1303" spans="1:37" ht="18" customHeight="1" x14ac:dyDescent="0.25">
      <c r="A1303">
        <v>1259942442</v>
      </c>
      <c r="B1303" t="s">
        <v>1974</v>
      </c>
      <c r="C1303" t="s">
        <v>1975</v>
      </c>
      <c r="D1303" t="s">
        <v>37</v>
      </c>
      <c r="E1303" t="s">
        <v>31</v>
      </c>
      <c r="F1303" s="2">
        <v>45987.807626782407</v>
      </c>
      <c r="AC1303" s="24">
        <f t="shared" ca="1" si="41"/>
        <v>146.19237321759283</v>
      </c>
      <c r="AD1303" s="25" t="str">
        <f t="shared" ca="1" si="42"/>
        <v>&gt;60 dias</v>
      </c>
      <c r="AE1303" s="25">
        <f>MONTH(Tabela1[[#This Row],[Criado em]])</f>
        <v>11</v>
      </c>
      <c r="AF1303" s="25">
        <f>YEAR(Tabela1[[#This Row],[Criado em]])</f>
        <v>2025</v>
      </c>
      <c r="AG1303" s="25">
        <f>COUNTIFS(Tabela1[Mês],Tabela1[[#This Row],[Mês]])</f>
        <v>130</v>
      </c>
      <c r="AH1303" s="25">
        <f>COUNTIFS(Tabela1[Mês],Tabela1[[#This Row],[Mês]],Tabela1[Fase atual],"Recebido")</f>
        <v>100</v>
      </c>
      <c r="AI1303" s="26">
        <f>Tabela1[[#This Row],[Recebido_ Mes]]/Tabela1[[#This Row],[Total_Mes]]</f>
        <v>0.76923076923076927</v>
      </c>
      <c r="AJ1303" s="19">
        <f>COUNTIFS(Tabela1[Fase atual],"Recebido",Tabela1[Mês],Tabela1[[#This Row],[Mês]],Tabela1[Ano],Tabela1[[#This Row],[Ano]])/COUNTIF(Tabela1[Mês],Tabela1[[#This Row],[Mês]])</f>
        <v>0.76923076923076927</v>
      </c>
      <c r="AK1303" s="20">
        <f>100%</f>
        <v>1</v>
      </c>
    </row>
    <row r="1304" spans="1:37" ht="18" customHeight="1" x14ac:dyDescent="0.25">
      <c r="A1304">
        <v>1257102499</v>
      </c>
      <c r="B1304" t="s">
        <v>1974</v>
      </c>
      <c r="C1304" t="s">
        <v>1975</v>
      </c>
      <c r="D1304" t="s">
        <v>37</v>
      </c>
      <c r="E1304" t="s">
        <v>31</v>
      </c>
      <c r="F1304" s="2">
        <v>45980.795488969903</v>
      </c>
      <c r="AC1304" s="24">
        <f t="shared" ca="1" si="41"/>
        <v>153.20451103009691</v>
      </c>
      <c r="AD1304" s="25" t="str">
        <f t="shared" ca="1" si="42"/>
        <v>&gt;60 dias</v>
      </c>
      <c r="AE1304" s="25">
        <f>MONTH(Tabela1[[#This Row],[Criado em]])</f>
        <v>11</v>
      </c>
      <c r="AF1304" s="25">
        <f>YEAR(Tabela1[[#This Row],[Criado em]])</f>
        <v>2025</v>
      </c>
      <c r="AG1304" s="25">
        <f>COUNTIFS(Tabela1[Mês],Tabela1[[#This Row],[Mês]])</f>
        <v>130</v>
      </c>
      <c r="AH1304" s="25">
        <f>COUNTIFS(Tabela1[Mês],Tabela1[[#This Row],[Mês]],Tabela1[Fase atual],"Recebido")</f>
        <v>100</v>
      </c>
      <c r="AI1304" s="26">
        <f>Tabela1[[#This Row],[Recebido_ Mes]]/Tabela1[[#This Row],[Total_Mes]]</f>
        <v>0.76923076923076927</v>
      </c>
      <c r="AJ1304" s="19">
        <f>COUNTIFS(Tabela1[Fase atual],"Recebido",Tabela1[Mês],Tabela1[[#This Row],[Mês]],Tabela1[Ano],Tabela1[[#This Row],[Ano]])/COUNTIF(Tabela1[Mês],Tabela1[[#This Row],[Mês]])</f>
        <v>0.76923076923076927</v>
      </c>
      <c r="AK1304" s="20">
        <f>100%</f>
        <v>1</v>
      </c>
    </row>
    <row r="1305" spans="1:37" ht="18" customHeight="1" x14ac:dyDescent="0.25">
      <c r="A1305">
        <v>1269143265</v>
      </c>
      <c r="B1305" t="s">
        <v>1974</v>
      </c>
      <c r="C1305" t="s">
        <v>1975</v>
      </c>
      <c r="D1305" t="s">
        <v>202</v>
      </c>
      <c r="E1305" t="s">
        <v>31</v>
      </c>
      <c r="F1305" s="2">
        <v>46007.797481782407</v>
      </c>
      <c r="AC1305" s="24">
        <f t="shared" ca="1" si="41"/>
        <v>126.20251821759302</v>
      </c>
      <c r="AD1305" s="25" t="str">
        <f t="shared" ca="1" si="42"/>
        <v>&gt;60 dias</v>
      </c>
      <c r="AE1305" s="25">
        <f>MONTH(Tabela1[[#This Row],[Criado em]])</f>
        <v>12</v>
      </c>
      <c r="AF1305" s="25">
        <f>YEAR(Tabela1[[#This Row],[Criado em]])</f>
        <v>2025</v>
      </c>
      <c r="AG1305" s="25">
        <f>COUNTIFS(Tabela1[Mês],Tabela1[[#This Row],[Mês]])</f>
        <v>207</v>
      </c>
      <c r="AH1305" s="25">
        <f>COUNTIFS(Tabela1[Mês],Tabela1[[#This Row],[Mês]],Tabela1[Fase atual],"Recebido")</f>
        <v>155</v>
      </c>
      <c r="AI1305" s="26">
        <f>Tabela1[[#This Row],[Recebido_ Mes]]/Tabela1[[#This Row],[Total_Mes]]</f>
        <v>0.74879227053140096</v>
      </c>
      <c r="AJ1305" s="19">
        <f>COUNTIFS(Tabela1[Fase atual],"Recebido",Tabela1[Mês],Tabela1[[#This Row],[Mês]],Tabela1[Ano],Tabela1[[#This Row],[Ano]])/COUNTIF(Tabela1[Mês],Tabela1[[#This Row],[Mês]])</f>
        <v>0.74879227053140096</v>
      </c>
      <c r="AK1305" s="20">
        <f>100%</f>
        <v>1</v>
      </c>
    </row>
    <row r="1306" spans="1:37" ht="18" customHeight="1" x14ac:dyDescent="0.25">
      <c r="A1306">
        <v>1235452070</v>
      </c>
      <c r="B1306" t="s">
        <v>1974</v>
      </c>
      <c r="C1306" t="s">
        <v>1976</v>
      </c>
      <c r="D1306" t="s">
        <v>37</v>
      </c>
      <c r="E1306" t="s">
        <v>31</v>
      </c>
      <c r="F1306" s="2">
        <v>45944.795464467592</v>
      </c>
      <c r="AC1306" s="24">
        <f t="shared" ca="1" si="41"/>
        <v>189.20453553240804</v>
      </c>
      <c r="AD1306" s="25" t="str">
        <f t="shared" ca="1" si="42"/>
        <v>&gt;60 dias</v>
      </c>
      <c r="AE1306" s="25">
        <f>MONTH(Tabela1[[#This Row],[Criado em]])</f>
        <v>10</v>
      </c>
      <c r="AF1306" s="25">
        <f>YEAR(Tabela1[[#This Row],[Criado em]])</f>
        <v>2025</v>
      </c>
      <c r="AG1306" s="25">
        <f>COUNTIFS(Tabela1[Mês],Tabela1[[#This Row],[Mês]])</f>
        <v>196</v>
      </c>
      <c r="AH1306" s="25">
        <f>COUNTIFS(Tabela1[Mês],Tabela1[[#This Row],[Mês]],Tabela1[Fase atual],"Recebido")</f>
        <v>138</v>
      </c>
      <c r="AI1306" s="26">
        <f>Tabela1[[#This Row],[Recebido_ Mes]]/Tabela1[[#This Row],[Total_Mes]]</f>
        <v>0.70408163265306123</v>
      </c>
      <c r="AJ1306" s="19">
        <f>COUNTIFS(Tabela1[Fase atual],"Recebido",Tabela1[Mês],Tabela1[[#This Row],[Mês]],Tabela1[Ano],Tabela1[[#This Row],[Ano]])/COUNTIF(Tabela1[Mês],Tabela1[[#This Row],[Mês]])</f>
        <v>0.70408163265306123</v>
      </c>
      <c r="AK1306" s="20">
        <f>100%</f>
        <v>1</v>
      </c>
    </row>
    <row r="1307" spans="1:37" ht="18" customHeight="1" x14ac:dyDescent="0.25">
      <c r="A1307">
        <v>1282982273</v>
      </c>
      <c r="B1307" t="s">
        <v>552</v>
      </c>
      <c r="C1307" t="s">
        <v>553</v>
      </c>
      <c r="D1307" t="s">
        <v>37</v>
      </c>
      <c r="E1307" t="s">
        <v>31</v>
      </c>
      <c r="F1307" s="2">
        <v>46038.79493452546</v>
      </c>
      <c r="AC1307" s="24">
        <f t="shared" ca="1" si="41"/>
        <v>95.205065474539879</v>
      </c>
      <c r="AD1307" s="25" t="str">
        <f t="shared" ca="1" si="42"/>
        <v>&gt;60 dias</v>
      </c>
      <c r="AE1307" s="25">
        <f>MONTH(Tabela1[[#This Row],[Criado em]])</f>
        <v>1</v>
      </c>
      <c r="AF1307" s="25">
        <f>YEAR(Tabela1[[#This Row],[Criado em]])</f>
        <v>2026</v>
      </c>
      <c r="AG1307" s="25">
        <f>COUNTIFS(Tabela1[Mês],Tabela1[[#This Row],[Mês]])</f>
        <v>222</v>
      </c>
      <c r="AH1307" s="25">
        <f>COUNTIFS(Tabela1[Mês],Tabela1[[#This Row],[Mês]],Tabela1[Fase atual],"Recebido")</f>
        <v>174</v>
      </c>
      <c r="AI1307" s="26">
        <f>Tabela1[[#This Row],[Recebido_ Mes]]/Tabela1[[#This Row],[Total_Mes]]</f>
        <v>0.78378378378378377</v>
      </c>
      <c r="AJ1307" s="19">
        <f>COUNTIFS(Tabela1[Fase atual],"Recebido",Tabela1[Mês],Tabela1[[#This Row],[Mês]],Tabela1[Ano],Tabela1[[#This Row],[Ano]])/COUNTIF(Tabela1[Mês],Tabela1[[#This Row],[Mês]])</f>
        <v>0.78378378378378377</v>
      </c>
      <c r="AK1307" s="20">
        <f>100%</f>
        <v>1</v>
      </c>
    </row>
    <row r="1308" spans="1:37" ht="18" customHeight="1" x14ac:dyDescent="0.25">
      <c r="A1308">
        <v>1240711790</v>
      </c>
      <c r="B1308" t="s">
        <v>552</v>
      </c>
      <c r="C1308" t="s">
        <v>1977</v>
      </c>
      <c r="D1308" t="s">
        <v>784</v>
      </c>
      <c r="E1308" t="s">
        <v>31</v>
      </c>
      <c r="F1308" s="2">
        <v>45951.795910763889</v>
      </c>
      <c r="AC1308" s="24">
        <f t="shared" ca="1" si="41"/>
        <v>182.20408923611103</v>
      </c>
      <c r="AD1308" s="25" t="str">
        <f t="shared" ca="1" si="42"/>
        <v>&gt;60 dias</v>
      </c>
      <c r="AE1308" s="25">
        <f>MONTH(Tabela1[[#This Row],[Criado em]])</f>
        <v>10</v>
      </c>
      <c r="AF1308" s="25">
        <f>YEAR(Tabela1[[#This Row],[Criado em]])</f>
        <v>2025</v>
      </c>
      <c r="AG1308" s="25">
        <f>COUNTIFS(Tabela1[Mês],Tabela1[[#This Row],[Mês]])</f>
        <v>196</v>
      </c>
      <c r="AH1308" s="25">
        <f>COUNTIFS(Tabela1[Mês],Tabela1[[#This Row],[Mês]],Tabela1[Fase atual],"Recebido")</f>
        <v>138</v>
      </c>
      <c r="AI1308" s="26">
        <f>Tabela1[[#This Row],[Recebido_ Mes]]/Tabela1[[#This Row],[Total_Mes]]</f>
        <v>0.70408163265306123</v>
      </c>
      <c r="AJ1308" s="19">
        <f>COUNTIFS(Tabela1[Fase atual],"Recebido",Tabela1[Mês],Tabela1[[#This Row],[Mês]],Tabela1[Ano],Tabela1[[#This Row],[Ano]])/COUNTIF(Tabela1[Mês],Tabela1[[#This Row],[Mês]])</f>
        <v>0.70408163265306123</v>
      </c>
      <c r="AK1308" s="20">
        <f>100%</f>
        <v>1</v>
      </c>
    </row>
    <row r="1309" spans="1:37" ht="18" customHeight="1" x14ac:dyDescent="0.25">
      <c r="A1309">
        <v>1208413089</v>
      </c>
      <c r="B1309" t="s">
        <v>1978</v>
      </c>
      <c r="C1309" t="s">
        <v>1979</v>
      </c>
      <c r="D1309" t="s">
        <v>40</v>
      </c>
      <c r="E1309" t="s">
        <v>31</v>
      </c>
      <c r="F1309" s="2">
        <v>45904.84292599537</v>
      </c>
      <c r="AC1309" s="24">
        <f t="shared" ca="1" si="41"/>
        <v>229.15707400462998</v>
      </c>
      <c r="AD1309" s="25" t="str">
        <f t="shared" ca="1" si="42"/>
        <v>&gt;60 dias</v>
      </c>
      <c r="AE1309" s="25">
        <f>MONTH(Tabela1[[#This Row],[Criado em]])</f>
        <v>9</v>
      </c>
      <c r="AF1309" s="25">
        <f>YEAR(Tabela1[[#This Row],[Criado em]])</f>
        <v>2025</v>
      </c>
      <c r="AG1309" s="25">
        <f>COUNTIFS(Tabela1[Mês],Tabela1[[#This Row],[Mês]])</f>
        <v>197</v>
      </c>
      <c r="AH1309" s="25">
        <f>COUNTIFS(Tabela1[Mês],Tabela1[[#This Row],[Mês]],Tabela1[Fase atual],"Recebido")</f>
        <v>152</v>
      </c>
      <c r="AI1309" s="26">
        <f>Tabela1[[#This Row],[Recebido_ Mes]]/Tabela1[[#This Row],[Total_Mes]]</f>
        <v>0.77157360406091369</v>
      </c>
      <c r="AJ1309" s="19">
        <f>COUNTIFS(Tabela1[Fase atual],"Recebido",Tabela1[Mês],Tabela1[[#This Row],[Mês]],Tabela1[Ano],Tabela1[[#This Row],[Ano]])/COUNTIF(Tabela1[Mês],Tabela1[[#This Row],[Mês]])</f>
        <v>0.77157360406091369</v>
      </c>
      <c r="AK1309" s="20">
        <f>100%</f>
        <v>1</v>
      </c>
    </row>
    <row r="1310" spans="1:37" ht="18" customHeight="1" x14ac:dyDescent="0.25">
      <c r="A1310">
        <v>1182801975</v>
      </c>
      <c r="B1310" t="s">
        <v>1980</v>
      </c>
      <c r="C1310" t="s">
        <v>1981</v>
      </c>
      <c r="D1310" t="s">
        <v>37</v>
      </c>
      <c r="E1310" t="s">
        <v>31</v>
      </c>
      <c r="F1310" s="2">
        <v>45862.852683750003</v>
      </c>
      <c r="AC1310" s="24">
        <f t="shared" ca="1" si="41"/>
        <v>271.14731624999695</v>
      </c>
      <c r="AD1310" s="25" t="str">
        <f t="shared" ca="1" si="42"/>
        <v>&gt;60 dias</v>
      </c>
      <c r="AE1310" s="25">
        <f>MONTH(Tabela1[[#This Row],[Criado em]])</f>
        <v>7</v>
      </c>
      <c r="AF1310" s="25">
        <f>YEAR(Tabela1[[#This Row],[Criado em]])</f>
        <v>2025</v>
      </c>
      <c r="AG1310" s="25">
        <f>COUNTIFS(Tabela1[Mês],Tabela1[[#This Row],[Mês]])</f>
        <v>177</v>
      </c>
      <c r="AH1310" s="25">
        <f>COUNTIFS(Tabela1[Mês],Tabela1[[#This Row],[Mês]],Tabela1[Fase atual],"Recebido")</f>
        <v>130</v>
      </c>
      <c r="AI1310" s="26">
        <f>Tabela1[[#This Row],[Recebido_ Mes]]/Tabela1[[#This Row],[Total_Mes]]</f>
        <v>0.7344632768361582</v>
      </c>
      <c r="AJ1310" s="19">
        <f>COUNTIFS(Tabela1[Fase atual],"Recebido",Tabela1[Mês],Tabela1[[#This Row],[Mês]],Tabela1[Ano],Tabela1[[#This Row],[Ano]])/COUNTIF(Tabela1[Mês],Tabela1[[#This Row],[Mês]])</f>
        <v>0.7344632768361582</v>
      </c>
      <c r="AK1310" s="20">
        <f>100%</f>
        <v>1</v>
      </c>
    </row>
    <row r="1311" spans="1:37" ht="18" customHeight="1" x14ac:dyDescent="0.25">
      <c r="A1311">
        <v>1169645504</v>
      </c>
      <c r="B1311" t="s">
        <v>1982</v>
      </c>
      <c r="C1311" t="s">
        <v>1983</v>
      </c>
      <c r="D1311" t="s">
        <v>37</v>
      </c>
      <c r="E1311" t="s">
        <v>31</v>
      </c>
      <c r="F1311" s="2">
        <v>45839.678734618057</v>
      </c>
      <c r="AC1311" s="24">
        <f t="shared" ca="1" si="41"/>
        <v>294.32126538194279</v>
      </c>
      <c r="AD1311" s="25" t="str">
        <f t="shared" ca="1" si="42"/>
        <v>&gt;60 dias</v>
      </c>
      <c r="AE1311" s="25">
        <f>MONTH(Tabela1[[#This Row],[Criado em]])</f>
        <v>7</v>
      </c>
      <c r="AF1311" s="25">
        <f>YEAR(Tabela1[[#This Row],[Criado em]])</f>
        <v>2025</v>
      </c>
      <c r="AG1311" s="25">
        <f>COUNTIFS(Tabela1[Mês],Tabela1[[#This Row],[Mês]])</f>
        <v>177</v>
      </c>
      <c r="AH1311" s="25">
        <f>COUNTIFS(Tabela1[Mês],Tabela1[[#This Row],[Mês]],Tabela1[Fase atual],"Recebido")</f>
        <v>130</v>
      </c>
      <c r="AI1311" s="26">
        <f>Tabela1[[#This Row],[Recebido_ Mes]]/Tabela1[[#This Row],[Total_Mes]]</f>
        <v>0.7344632768361582</v>
      </c>
      <c r="AJ1311" s="19">
        <f>COUNTIFS(Tabela1[Fase atual],"Recebido",Tabela1[Mês],Tabela1[[#This Row],[Mês]],Tabela1[Ano],Tabela1[[#This Row],[Ano]])/COUNTIF(Tabela1[Mês],Tabela1[[#This Row],[Mês]])</f>
        <v>0.7344632768361582</v>
      </c>
      <c r="AK1311" s="20">
        <f>100%</f>
        <v>1</v>
      </c>
    </row>
    <row r="1312" spans="1:37" ht="18" customHeight="1" x14ac:dyDescent="0.25">
      <c r="A1312">
        <v>1200308442</v>
      </c>
      <c r="B1312" t="s">
        <v>1984</v>
      </c>
      <c r="C1312" t="s">
        <v>1985</v>
      </c>
      <c r="D1312" t="s">
        <v>37</v>
      </c>
      <c r="E1312" t="s">
        <v>31</v>
      </c>
      <c r="F1312" s="2">
        <v>45891.850080208329</v>
      </c>
      <c r="AC1312" s="24">
        <f t="shared" ca="1" si="41"/>
        <v>242.14991979167098</v>
      </c>
      <c r="AD1312" s="25" t="str">
        <f t="shared" ca="1" si="42"/>
        <v>&gt;60 dias</v>
      </c>
      <c r="AE1312" s="25">
        <f>MONTH(Tabela1[[#This Row],[Criado em]])</f>
        <v>8</v>
      </c>
      <c r="AF1312" s="25">
        <f>YEAR(Tabela1[[#This Row],[Criado em]])</f>
        <v>2025</v>
      </c>
      <c r="AG1312" s="25">
        <f>COUNTIFS(Tabela1[Mês],Tabela1[[#This Row],[Mês]])</f>
        <v>146</v>
      </c>
      <c r="AH1312" s="25">
        <f>COUNTIFS(Tabela1[Mês],Tabela1[[#This Row],[Mês]],Tabela1[Fase atual],"Recebido")</f>
        <v>115</v>
      </c>
      <c r="AI1312" s="26">
        <f>Tabela1[[#This Row],[Recebido_ Mes]]/Tabela1[[#This Row],[Total_Mes]]</f>
        <v>0.78767123287671237</v>
      </c>
      <c r="AJ1312" s="19">
        <f>COUNTIFS(Tabela1[Fase atual],"Recebido",Tabela1[Mês],Tabela1[[#This Row],[Mês]],Tabela1[Ano],Tabela1[[#This Row],[Ano]])/COUNTIF(Tabela1[Mês],Tabela1[[#This Row],[Mês]])</f>
        <v>0.78767123287671237</v>
      </c>
      <c r="AK1312" s="20">
        <f>100%</f>
        <v>1</v>
      </c>
    </row>
    <row r="1313" spans="1:37" ht="18" customHeight="1" x14ac:dyDescent="0.25">
      <c r="A1313">
        <v>1174080041</v>
      </c>
      <c r="B1313" t="s">
        <v>1984</v>
      </c>
      <c r="C1313" t="s">
        <v>1985</v>
      </c>
      <c r="D1313" t="s">
        <v>37</v>
      </c>
      <c r="E1313" t="s">
        <v>31</v>
      </c>
      <c r="F1313" s="2">
        <v>45848.643006724538</v>
      </c>
      <c r="AC1313" s="24">
        <f t="shared" ca="1" si="41"/>
        <v>285.35699327546172</v>
      </c>
      <c r="AD1313" s="25" t="str">
        <f t="shared" ca="1" si="42"/>
        <v>&gt;60 dias</v>
      </c>
      <c r="AE1313" s="25">
        <f>MONTH(Tabela1[[#This Row],[Criado em]])</f>
        <v>7</v>
      </c>
      <c r="AF1313" s="25">
        <f>YEAR(Tabela1[[#This Row],[Criado em]])</f>
        <v>2025</v>
      </c>
      <c r="AG1313" s="25">
        <f>COUNTIFS(Tabela1[Mês],Tabela1[[#This Row],[Mês]])</f>
        <v>177</v>
      </c>
      <c r="AH1313" s="25">
        <f>COUNTIFS(Tabela1[Mês],Tabela1[[#This Row],[Mês]],Tabela1[Fase atual],"Recebido")</f>
        <v>130</v>
      </c>
      <c r="AI1313" s="26">
        <f>Tabela1[[#This Row],[Recebido_ Mes]]/Tabela1[[#This Row],[Total_Mes]]</f>
        <v>0.7344632768361582</v>
      </c>
      <c r="AJ1313" s="19">
        <f>COUNTIFS(Tabela1[Fase atual],"Recebido",Tabela1[Mês],Tabela1[[#This Row],[Mês]],Tabela1[Ano],Tabela1[[#This Row],[Ano]])/COUNTIF(Tabela1[Mês],Tabela1[[#This Row],[Mês]])</f>
        <v>0.7344632768361582</v>
      </c>
      <c r="AK1313" s="20">
        <f>100%</f>
        <v>1</v>
      </c>
    </row>
    <row r="1314" spans="1:37" ht="18" customHeight="1" x14ac:dyDescent="0.25">
      <c r="A1314">
        <v>1295384441</v>
      </c>
      <c r="B1314" t="s">
        <v>554</v>
      </c>
      <c r="C1314" t="s">
        <v>555</v>
      </c>
      <c r="D1314" t="s">
        <v>37</v>
      </c>
      <c r="E1314" t="s">
        <v>31</v>
      </c>
      <c r="F1314" s="2">
        <v>46062.796130775459</v>
      </c>
      <c r="AC1314" s="24">
        <f t="shared" ca="1" si="41"/>
        <v>71.20386922454054</v>
      </c>
      <c r="AD1314" s="25" t="str">
        <f t="shared" ca="1" si="42"/>
        <v>&gt;60 dias</v>
      </c>
      <c r="AE1314" s="25">
        <f>MONTH(Tabela1[[#This Row],[Criado em]])</f>
        <v>2</v>
      </c>
      <c r="AF1314" s="25">
        <f>YEAR(Tabela1[[#This Row],[Criado em]])</f>
        <v>2026</v>
      </c>
      <c r="AG1314" s="25">
        <f>COUNTIFS(Tabela1[Mês],Tabela1[[#This Row],[Mês]])</f>
        <v>197</v>
      </c>
      <c r="AH1314" s="25">
        <f>COUNTIFS(Tabela1[Mês],Tabela1[[#This Row],[Mês]],Tabela1[Fase atual],"Recebido")</f>
        <v>124</v>
      </c>
      <c r="AI1314" s="26">
        <f>Tabela1[[#This Row],[Recebido_ Mes]]/Tabela1[[#This Row],[Total_Mes]]</f>
        <v>0.62944162436548223</v>
      </c>
      <c r="AJ1314" s="19">
        <f>COUNTIFS(Tabela1[Fase atual],"Recebido",Tabela1[Mês],Tabela1[[#This Row],[Mês]],Tabela1[Ano],Tabela1[[#This Row],[Ano]])/COUNTIF(Tabela1[Mês],Tabela1[[#This Row],[Mês]])</f>
        <v>0.62944162436548223</v>
      </c>
      <c r="AK1314" s="20">
        <f>100%</f>
        <v>1</v>
      </c>
    </row>
    <row r="1315" spans="1:37" ht="18" customHeight="1" x14ac:dyDescent="0.25">
      <c r="A1315">
        <v>1279124995</v>
      </c>
      <c r="B1315" t="s">
        <v>554</v>
      </c>
      <c r="C1315" t="s">
        <v>556</v>
      </c>
      <c r="D1315" t="s">
        <v>37</v>
      </c>
      <c r="E1315" t="s">
        <v>31</v>
      </c>
      <c r="F1315" s="2">
        <v>46030.920558981481</v>
      </c>
      <c r="AC1315" s="24">
        <f t="shared" ca="1" si="41"/>
        <v>103.07944101851899</v>
      </c>
      <c r="AD1315" s="25" t="str">
        <f t="shared" ca="1" si="42"/>
        <v>&gt;60 dias</v>
      </c>
      <c r="AE1315" s="25">
        <f>MONTH(Tabela1[[#This Row],[Criado em]])</f>
        <v>1</v>
      </c>
      <c r="AF1315" s="25">
        <f>YEAR(Tabela1[[#This Row],[Criado em]])</f>
        <v>2026</v>
      </c>
      <c r="AG1315" s="25">
        <f>COUNTIFS(Tabela1[Mês],Tabela1[[#This Row],[Mês]])</f>
        <v>222</v>
      </c>
      <c r="AH1315" s="25">
        <f>COUNTIFS(Tabela1[Mês],Tabela1[[#This Row],[Mês]],Tabela1[Fase atual],"Recebido")</f>
        <v>174</v>
      </c>
      <c r="AI1315" s="26">
        <f>Tabela1[[#This Row],[Recebido_ Mes]]/Tabela1[[#This Row],[Total_Mes]]</f>
        <v>0.78378378378378377</v>
      </c>
      <c r="AJ1315" s="19">
        <f>COUNTIFS(Tabela1[Fase atual],"Recebido",Tabela1[Mês],Tabela1[[#This Row],[Mês]],Tabela1[Ano],Tabela1[[#This Row],[Ano]])/COUNTIF(Tabela1[Mês],Tabela1[[#This Row],[Mês]])</f>
        <v>0.78378378378378377</v>
      </c>
      <c r="AK1315" s="20">
        <f>100%</f>
        <v>1</v>
      </c>
    </row>
    <row r="1316" spans="1:37" ht="18" customHeight="1" x14ac:dyDescent="0.25">
      <c r="A1316">
        <v>1307302591</v>
      </c>
      <c r="B1316" t="s">
        <v>554</v>
      </c>
      <c r="C1316" t="s">
        <v>556</v>
      </c>
      <c r="D1316" t="s">
        <v>2179</v>
      </c>
      <c r="E1316" t="s">
        <v>31</v>
      </c>
      <c r="F1316" s="2">
        <v>46083.795699768518</v>
      </c>
      <c r="AC1316" s="24">
        <f t="shared" ca="1" si="41"/>
        <v>50.204300231482193</v>
      </c>
      <c r="AD1316" s="25" t="str">
        <f t="shared" ca="1" si="42"/>
        <v>31-60 dias</v>
      </c>
      <c r="AE1316" s="25">
        <f>MONTH(Tabela1[[#This Row],[Criado em]])</f>
        <v>3</v>
      </c>
      <c r="AF1316" s="25">
        <f>YEAR(Tabela1[[#This Row],[Criado em]])</f>
        <v>2026</v>
      </c>
      <c r="AG1316" s="25">
        <f>COUNTIFS(Tabela1[Mês],Tabela1[[#This Row],[Mês]])</f>
        <v>62</v>
      </c>
      <c r="AH1316" s="25">
        <f>COUNTIFS(Tabela1[Mês],Tabela1[[#This Row],[Mês]],Tabela1[Fase atual],"Recebido")</f>
        <v>13</v>
      </c>
      <c r="AI1316" s="26">
        <f>Tabela1[[#This Row],[Recebido_ Mes]]/Tabela1[[#This Row],[Total_Mes]]</f>
        <v>0.20967741935483872</v>
      </c>
      <c r="AJ1316" s="19">
        <f>COUNTIFS(Tabela1[Fase atual],"Recebido",Tabela1[Mês],Tabela1[[#This Row],[Mês]],Tabela1[Ano],Tabela1[[#This Row],[Ano]])/COUNTIF(Tabela1[Mês],Tabela1[[#This Row],[Mês]])</f>
        <v>0.20967741935483872</v>
      </c>
      <c r="AK1316" s="20">
        <f>100%</f>
        <v>1</v>
      </c>
    </row>
    <row r="1317" spans="1:37" ht="18" customHeight="1" x14ac:dyDescent="0.25">
      <c r="A1317">
        <v>1266706387</v>
      </c>
      <c r="B1317" t="s">
        <v>554</v>
      </c>
      <c r="C1317" t="s">
        <v>1986</v>
      </c>
      <c r="D1317" t="s">
        <v>37</v>
      </c>
      <c r="E1317" t="s">
        <v>31</v>
      </c>
      <c r="F1317" s="2">
        <v>46001.798453923613</v>
      </c>
      <c r="AC1317" s="24">
        <f t="shared" ca="1" si="41"/>
        <v>132.20154607638688</v>
      </c>
      <c r="AD1317" s="25" t="str">
        <f t="shared" ca="1" si="42"/>
        <v>&gt;60 dias</v>
      </c>
      <c r="AE1317" s="25">
        <f>MONTH(Tabela1[[#This Row],[Criado em]])</f>
        <v>12</v>
      </c>
      <c r="AF1317" s="25">
        <f>YEAR(Tabela1[[#This Row],[Criado em]])</f>
        <v>2025</v>
      </c>
      <c r="AG1317" s="25">
        <f>COUNTIFS(Tabela1[Mês],Tabela1[[#This Row],[Mês]])</f>
        <v>207</v>
      </c>
      <c r="AH1317" s="25">
        <f>COUNTIFS(Tabela1[Mês],Tabela1[[#This Row],[Mês]],Tabela1[Fase atual],"Recebido")</f>
        <v>155</v>
      </c>
      <c r="AI1317" s="26">
        <f>Tabela1[[#This Row],[Recebido_ Mes]]/Tabela1[[#This Row],[Total_Mes]]</f>
        <v>0.74879227053140096</v>
      </c>
      <c r="AJ1317" s="19">
        <f>COUNTIFS(Tabela1[Fase atual],"Recebido",Tabela1[Mês],Tabela1[[#This Row],[Mês]],Tabela1[Ano],Tabela1[[#This Row],[Ano]])/COUNTIF(Tabela1[Mês],Tabela1[[#This Row],[Mês]])</f>
        <v>0.74879227053140096</v>
      </c>
      <c r="AK1317" s="20">
        <f>100%</f>
        <v>1</v>
      </c>
    </row>
    <row r="1318" spans="1:37" ht="18" customHeight="1" x14ac:dyDescent="0.25">
      <c r="A1318">
        <v>1206573965</v>
      </c>
      <c r="B1318" t="s">
        <v>1987</v>
      </c>
      <c r="C1318" t="s">
        <v>1988</v>
      </c>
      <c r="D1318" t="s">
        <v>37</v>
      </c>
      <c r="E1318" t="s">
        <v>31</v>
      </c>
      <c r="F1318" s="2">
        <v>45902.642555682884</v>
      </c>
      <c r="AC1318" s="24">
        <f t="shared" ca="1" si="41"/>
        <v>231.35744431711646</v>
      </c>
      <c r="AD1318" s="25" t="str">
        <f t="shared" ca="1" si="42"/>
        <v>&gt;60 dias</v>
      </c>
      <c r="AE1318" s="25">
        <f>MONTH(Tabela1[[#This Row],[Criado em]])</f>
        <v>9</v>
      </c>
      <c r="AF1318" s="25">
        <f>YEAR(Tabela1[[#This Row],[Criado em]])</f>
        <v>2025</v>
      </c>
      <c r="AG1318" s="25">
        <f>COUNTIFS(Tabela1[Mês],Tabela1[[#This Row],[Mês]])</f>
        <v>197</v>
      </c>
      <c r="AH1318" s="25">
        <f>COUNTIFS(Tabela1[Mês],Tabela1[[#This Row],[Mês]],Tabela1[Fase atual],"Recebido")</f>
        <v>152</v>
      </c>
      <c r="AI1318" s="26">
        <f>Tabela1[[#This Row],[Recebido_ Mes]]/Tabela1[[#This Row],[Total_Mes]]</f>
        <v>0.77157360406091369</v>
      </c>
      <c r="AJ1318" s="19">
        <f>COUNTIFS(Tabela1[Fase atual],"Recebido",Tabela1[Mês],Tabela1[[#This Row],[Mês]],Tabela1[Ano],Tabela1[[#This Row],[Ano]])/COUNTIF(Tabela1[Mês],Tabela1[[#This Row],[Mês]])</f>
        <v>0.77157360406091369</v>
      </c>
      <c r="AK1318" s="20">
        <f>100%</f>
        <v>1</v>
      </c>
    </row>
    <row r="1319" spans="1:37" ht="18" customHeight="1" x14ac:dyDescent="0.25">
      <c r="A1319">
        <v>1290573292</v>
      </c>
      <c r="B1319" t="s">
        <v>489</v>
      </c>
      <c r="C1319" t="s">
        <v>557</v>
      </c>
      <c r="D1319" t="s">
        <v>37</v>
      </c>
      <c r="E1319" t="s">
        <v>31</v>
      </c>
      <c r="F1319" s="2">
        <v>46051.796523784717</v>
      </c>
      <c r="AC1319" s="24">
        <f t="shared" ca="1" si="41"/>
        <v>82.203476215283445</v>
      </c>
      <c r="AD1319" s="25" t="str">
        <f t="shared" ca="1" si="42"/>
        <v>&gt;60 dias</v>
      </c>
      <c r="AE1319" s="25">
        <f>MONTH(Tabela1[[#This Row],[Criado em]])</f>
        <v>1</v>
      </c>
      <c r="AF1319" s="25">
        <f>YEAR(Tabela1[[#This Row],[Criado em]])</f>
        <v>2026</v>
      </c>
      <c r="AG1319" s="25">
        <f>COUNTIFS(Tabela1[Mês],Tabela1[[#This Row],[Mês]])</f>
        <v>222</v>
      </c>
      <c r="AH1319" s="25">
        <f>COUNTIFS(Tabela1[Mês],Tabela1[[#This Row],[Mês]],Tabela1[Fase atual],"Recebido")</f>
        <v>174</v>
      </c>
      <c r="AI1319" s="26">
        <f>Tabela1[[#This Row],[Recebido_ Mes]]/Tabela1[[#This Row],[Total_Mes]]</f>
        <v>0.78378378378378377</v>
      </c>
      <c r="AJ1319" s="19">
        <f>COUNTIFS(Tabela1[Fase atual],"Recebido",Tabela1[Mês],Tabela1[[#This Row],[Mês]],Tabela1[Ano],Tabela1[[#This Row],[Ano]])/COUNTIF(Tabela1[Mês],Tabela1[[#This Row],[Mês]])</f>
        <v>0.78378378378378377</v>
      </c>
      <c r="AK1319" s="20">
        <f>100%</f>
        <v>1</v>
      </c>
    </row>
    <row r="1320" spans="1:37" ht="18" customHeight="1" x14ac:dyDescent="0.25">
      <c r="A1320">
        <v>1303238162</v>
      </c>
      <c r="B1320" t="s">
        <v>558</v>
      </c>
      <c r="C1320" t="s">
        <v>559</v>
      </c>
      <c r="D1320" t="s">
        <v>37</v>
      </c>
      <c r="E1320" t="s">
        <v>31</v>
      </c>
      <c r="F1320" s="2">
        <v>46077.795564907407</v>
      </c>
      <c r="AC1320" s="24">
        <f t="shared" ca="1" si="41"/>
        <v>56.204435092593485</v>
      </c>
      <c r="AD1320" s="25" t="str">
        <f t="shared" ca="1" si="42"/>
        <v>31-60 dias</v>
      </c>
      <c r="AE1320" s="25">
        <f>MONTH(Tabela1[[#This Row],[Criado em]])</f>
        <v>2</v>
      </c>
      <c r="AF1320" s="25">
        <f>YEAR(Tabela1[[#This Row],[Criado em]])</f>
        <v>2026</v>
      </c>
      <c r="AG1320" s="25">
        <f>COUNTIFS(Tabela1[Mês],Tabela1[[#This Row],[Mês]])</f>
        <v>197</v>
      </c>
      <c r="AH1320" s="25">
        <f>COUNTIFS(Tabela1[Mês],Tabela1[[#This Row],[Mês]],Tabela1[Fase atual],"Recebido")</f>
        <v>124</v>
      </c>
      <c r="AI1320" s="26">
        <f>Tabela1[[#This Row],[Recebido_ Mes]]/Tabela1[[#This Row],[Total_Mes]]</f>
        <v>0.62944162436548223</v>
      </c>
      <c r="AJ1320" s="19">
        <f>COUNTIFS(Tabela1[Fase atual],"Recebido",Tabela1[Mês],Tabela1[[#This Row],[Mês]],Tabela1[Ano],Tabela1[[#This Row],[Ano]])/COUNTIF(Tabela1[Mês],Tabela1[[#This Row],[Mês]])</f>
        <v>0.62944162436548223</v>
      </c>
      <c r="AK1320" s="20">
        <f>100%</f>
        <v>1</v>
      </c>
    </row>
    <row r="1321" spans="1:37" ht="18" customHeight="1" x14ac:dyDescent="0.25">
      <c r="A1321">
        <v>1205062258</v>
      </c>
      <c r="B1321" t="s">
        <v>1889</v>
      </c>
      <c r="C1321" t="s">
        <v>1989</v>
      </c>
      <c r="D1321" t="s">
        <v>37</v>
      </c>
      <c r="E1321" t="s">
        <v>31</v>
      </c>
      <c r="F1321" s="2">
        <v>45899.64279179398</v>
      </c>
      <c r="AC1321" s="24">
        <f t="shared" ca="1" si="41"/>
        <v>234.35720820602</v>
      </c>
      <c r="AD1321" s="25" t="str">
        <f t="shared" ca="1" si="42"/>
        <v>&gt;60 dias</v>
      </c>
      <c r="AE1321" s="25">
        <f>MONTH(Tabela1[[#This Row],[Criado em]])</f>
        <v>8</v>
      </c>
      <c r="AF1321" s="25">
        <f>YEAR(Tabela1[[#This Row],[Criado em]])</f>
        <v>2025</v>
      </c>
      <c r="AG1321" s="25">
        <f>COUNTIFS(Tabela1[Mês],Tabela1[[#This Row],[Mês]])</f>
        <v>146</v>
      </c>
      <c r="AH1321" s="25">
        <f>COUNTIFS(Tabela1[Mês],Tabela1[[#This Row],[Mês]],Tabela1[Fase atual],"Recebido")</f>
        <v>115</v>
      </c>
      <c r="AI1321" s="26">
        <f>Tabela1[[#This Row],[Recebido_ Mes]]/Tabela1[[#This Row],[Total_Mes]]</f>
        <v>0.78767123287671237</v>
      </c>
      <c r="AJ1321" s="19">
        <f>COUNTIFS(Tabela1[Fase atual],"Recebido",Tabela1[Mês],Tabela1[[#This Row],[Mês]],Tabela1[Ano],Tabela1[[#This Row],[Ano]])/COUNTIF(Tabela1[Mês],Tabela1[[#This Row],[Mês]])</f>
        <v>0.78767123287671237</v>
      </c>
      <c r="AK1321" s="20">
        <f>100%</f>
        <v>1</v>
      </c>
    </row>
    <row r="1322" spans="1:37" ht="18" customHeight="1" x14ac:dyDescent="0.25">
      <c r="A1322">
        <v>1308389346</v>
      </c>
      <c r="B1322" t="s">
        <v>1744</v>
      </c>
      <c r="C1322" t="s">
        <v>1990</v>
      </c>
      <c r="D1322" t="s">
        <v>2179</v>
      </c>
      <c r="E1322" t="s">
        <v>31</v>
      </c>
      <c r="F1322" s="2">
        <v>46084.794144837957</v>
      </c>
      <c r="AC1322" s="24">
        <f t="shared" ca="1" si="41"/>
        <v>49.205855162043008</v>
      </c>
      <c r="AD1322" s="25" t="str">
        <f t="shared" ca="1" si="42"/>
        <v>31-60 dias</v>
      </c>
      <c r="AE1322" s="25">
        <f>MONTH(Tabela1[[#This Row],[Criado em]])</f>
        <v>3</v>
      </c>
      <c r="AF1322" s="25">
        <f>YEAR(Tabela1[[#This Row],[Criado em]])</f>
        <v>2026</v>
      </c>
      <c r="AG1322" s="25">
        <f>COUNTIFS(Tabela1[Mês],Tabela1[[#This Row],[Mês]])</f>
        <v>62</v>
      </c>
      <c r="AH1322" s="25">
        <f>COUNTIFS(Tabela1[Mês],Tabela1[[#This Row],[Mês]],Tabela1[Fase atual],"Recebido")</f>
        <v>13</v>
      </c>
      <c r="AI1322" s="26">
        <f>Tabela1[[#This Row],[Recebido_ Mes]]/Tabela1[[#This Row],[Total_Mes]]</f>
        <v>0.20967741935483872</v>
      </c>
      <c r="AJ1322" s="19">
        <f>COUNTIFS(Tabela1[Fase atual],"Recebido",Tabela1[Mês],Tabela1[[#This Row],[Mês]],Tabela1[Ano],Tabela1[[#This Row],[Ano]])/COUNTIF(Tabela1[Mês],Tabela1[[#This Row],[Mês]])</f>
        <v>0.20967741935483872</v>
      </c>
      <c r="AK1322" s="20">
        <f>100%</f>
        <v>1</v>
      </c>
    </row>
    <row r="1323" spans="1:37" ht="18" customHeight="1" x14ac:dyDescent="0.25">
      <c r="A1323">
        <v>1248230413</v>
      </c>
      <c r="B1323" t="s">
        <v>1744</v>
      </c>
      <c r="C1323" t="s">
        <v>1990</v>
      </c>
      <c r="D1323" t="s">
        <v>37</v>
      </c>
      <c r="E1323" t="s">
        <v>31</v>
      </c>
      <c r="F1323" s="2">
        <v>45961.795572974537</v>
      </c>
      <c r="AC1323" s="24">
        <f t="shared" ca="1" si="41"/>
        <v>172.20442702546279</v>
      </c>
      <c r="AD1323" s="25" t="str">
        <f t="shared" ca="1" si="42"/>
        <v>&gt;60 dias</v>
      </c>
      <c r="AE1323" s="25">
        <f>MONTH(Tabela1[[#This Row],[Criado em]])</f>
        <v>10</v>
      </c>
      <c r="AF1323" s="25">
        <f>YEAR(Tabela1[[#This Row],[Criado em]])</f>
        <v>2025</v>
      </c>
      <c r="AG1323" s="25">
        <f>COUNTIFS(Tabela1[Mês],Tabela1[[#This Row],[Mês]])</f>
        <v>196</v>
      </c>
      <c r="AH1323" s="25">
        <f>COUNTIFS(Tabela1[Mês],Tabela1[[#This Row],[Mês]],Tabela1[Fase atual],"Recebido")</f>
        <v>138</v>
      </c>
      <c r="AI1323" s="26">
        <f>Tabela1[[#This Row],[Recebido_ Mes]]/Tabela1[[#This Row],[Total_Mes]]</f>
        <v>0.70408163265306123</v>
      </c>
      <c r="AJ1323" s="19">
        <f>COUNTIFS(Tabela1[Fase atual],"Recebido",Tabela1[Mês],Tabela1[[#This Row],[Mês]],Tabela1[Ano],Tabela1[[#This Row],[Ano]])/COUNTIF(Tabela1[Mês],Tabela1[[#This Row],[Mês]])</f>
        <v>0.70408163265306123</v>
      </c>
      <c r="AK1323" s="20">
        <f>100%</f>
        <v>1</v>
      </c>
    </row>
    <row r="1324" spans="1:37" ht="18" customHeight="1" x14ac:dyDescent="0.25">
      <c r="A1324">
        <v>1258997850</v>
      </c>
      <c r="B1324" t="s">
        <v>738</v>
      </c>
      <c r="C1324" t="s">
        <v>1991</v>
      </c>
      <c r="D1324" t="s">
        <v>37</v>
      </c>
      <c r="E1324" t="s">
        <v>31</v>
      </c>
      <c r="F1324" s="2">
        <v>45985.920596979173</v>
      </c>
      <c r="AC1324" s="24">
        <f t="shared" ca="1" si="41"/>
        <v>148.07940302082716</v>
      </c>
      <c r="AD1324" s="25" t="str">
        <f t="shared" ca="1" si="42"/>
        <v>&gt;60 dias</v>
      </c>
      <c r="AE1324" s="25">
        <f>MONTH(Tabela1[[#This Row],[Criado em]])</f>
        <v>11</v>
      </c>
      <c r="AF1324" s="25">
        <f>YEAR(Tabela1[[#This Row],[Criado em]])</f>
        <v>2025</v>
      </c>
      <c r="AG1324" s="25">
        <f>COUNTIFS(Tabela1[Mês],Tabela1[[#This Row],[Mês]])</f>
        <v>130</v>
      </c>
      <c r="AH1324" s="25">
        <f>COUNTIFS(Tabela1[Mês],Tabela1[[#This Row],[Mês]],Tabela1[Fase atual],"Recebido")</f>
        <v>100</v>
      </c>
      <c r="AI1324" s="26">
        <f>Tabela1[[#This Row],[Recebido_ Mes]]/Tabela1[[#This Row],[Total_Mes]]</f>
        <v>0.76923076923076927</v>
      </c>
      <c r="AJ1324" s="19">
        <f>COUNTIFS(Tabela1[Fase atual],"Recebido",Tabela1[Mês],Tabela1[[#This Row],[Mês]],Tabela1[Ano],Tabela1[[#This Row],[Ano]])/COUNTIF(Tabela1[Mês],Tabela1[[#This Row],[Mês]])</f>
        <v>0.76923076923076927</v>
      </c>
      <c r="AK1324" s="20">
        <f>100%</f>
        <v>1</v>
      </c>
    </row>
    <row r="1325" spans="1:37" ht="18" customHeight="1" x14ac:dyDescent="0.25">
      <c r="A1325">
        <v>1210538877</v>
      </c>
      <c r="B1325" t="s">
        <v>560</v>
      </c>
      <c r="C1325" t="s">
        <v>1992</v>
      </c>
      <c r="D1325" t="s">
        <v>37</v>
      </c>
      <c r="E1325" t="s">
        <v>31</v>
      </c>
      <c r="F1325" s="2">
        <v>45908.850622106489</v>
      </c>
      <c r="AC1325" s="24">
        <f t="shared" ca="1" si="41"/>
        <v>225.14937789351097</v>
      </c>
      <c r="AD1325" s="25" t="str">
        <f t="shared" ca="1" si="42"/>
        <v>&gt;60 dias</v>
      </c>
      <c r="AE1325" s="25">
        <f>MONTH(Tabela1[[#This Row],[Criado em]])</f>
        <v>9</v>
      </c>
      <c r="AF1325" s="25">
        <f>YEAR(Tabela1[[#This Row],[Criado em]])</f>
        <v>2025</v>
      </c>
      <c r="AG1325" s="25">
        <f>COUNTIFS(Tabela1[Mês],Tabela1[[#This Row],[Mês]])</f>
        <v>197</v>
      </c>
      <c r="AH1325" s="25">
        <f>COUNTIFS(Tabela1[Mês],Tabela1[[#This Row],[Mês]],Tabela1[Fase atual],"Recebido")</f>
        <v>152</v>
      </c>
      <c r="AI1325" s="26">
        <f>Tabela1[[#This Row],[Recebido_ Mes]]/Tabela1[[#This Row],[Total_Mes]]</f>
        <v>0.77157360406091369</v>
      </c>
      <c r="AJ1325" s="19">
        <f>COUNTIFS(Tabela1[Fase atual],"Recebido",Tabela1[Mês],Tabela1[[#This Row],[Mês]],Tabela1[Ano],Tabela1[[#This Row],[Ano]])/COUNTIF(Tabela1[Mês],Tabela1[[#This Row],[Mês]])</f>
        <v>0.77157360406091369</v>
      </c>
      <c r="AK1325" s="20">
        <f>100%</f>
        <v>1</v>
      </c>
    </row>
    <row r="1326" spans="1:37" ht="18" customHeight="1" x14ac:dyDescent="0.25">
      <c r="A1326">
        <v>1281257637</v>
      </c>
      <c r="B1326" t="s">
        <v>560</v>
      </c>
      <c r="C1326" t="s">
        <v>561</v>
      </c>
      <c r="D1326" t="s">
        <v>37</v>
      </c>
      <c r="E1326" t="s">
        <v>31</v>
      </c>
      <c r="F1326" s="2">
        <v>46035.797095104157</v>
      </c>
      <c r="AC1326" s="24">
        <f t="shared" ca="1" si="41"/>
        <v>98.202904895842948</v>
      </c>
      <c r="AD1326" s="25" t="str">
        <f t="shared" ca="1" si="42"/>
        <v>&gt;60 dias</v>
      </c>
      <c r="AE1326" s="25">
        <f>MONTH(Tabela1[[#This Row],[Criado em]])</f>
        <v>1</v>
      </c>
      <c r="AF1326" s="25">
        <f>YEAR(Tabela1[[#This Row],[Criado em]])</f>
        <v>2026</v>
      </c>
      <c r="AG1326" s="25">
        <f>COUNTIFS(Tabela1[Mês],Tabela1[[#This Row],[Mês]])</f>
        <v>222</v>
      </c>
      <c r="AH1326" s="25">
        <f>COUNTIFS(Tabela1[Mês],Tabela1[[#This Row],[Mês]],Tabela1[Fase atual],"Recebido")</f>
        <v>174</v>
      </c>
      <c r="AI1326" s="26">
        <f>Tabela1[[#This Row],[Recebido_ Mes]]/Tabela1[[#This Row],[Total_Mes]]</f>
        <v>0.78378378378378377</v>
      </c>
      <c r="AJ1326" s="19">
        <f>COUNTIFS(Tabela1[Fase atual],"Recebido",Tabela1[Mês],Tabela1[[#This Row],[Mês]],Tabela1[Ano],Tabela1[[#This Row],[Ano]])/COUNTIF(Tabela1[Mês],Tabela1[[#This Row],[Mês]])</f>
        <v>0.78378378378378377</v>
      </c>
      <c r="AK1326" s="20">
        <f>100%</f>
        <v>1</v>
      </c>
    </row>
    <row r="1327" spans="1:37" ht="18" customHeight="1" x14ac:dyDescent="0.25">
      <c r="A1327">
        <v>1254680227</v>
      </c>
      <c r="B1327" t="s">
        <v>116</v>
      </c>
      <c r="C1327" t="s">
        <v>562</v>
      </c>
      <c r="D1327" t="s">
        <v>37</v>
      </c>
      <c r="E1327" t="s">
        <v>31</v>
      </c>
      <c r="F1327" s="2">
        <v>45974.92007925926</v>
      </c>
      <c r="AC1327" s="24">
        <f t="shared" ca="1" si="41"/>
        <v>159.07992074073991</v>
      </c>
      <c r="AD1327" s="25" t="str">
        <f t="shared" ca="1" si="42"/>
        <v>&gt;60 dias</v>
      </c>
      <c r="AE1327" s="25">
        <f>MONTH(Tabela1[[#This Row],[Criado em]])</f>
        <v>11</v>
      </c>
      <c r="AF1327" s="25">
        <f>YEAR(Tabela1[[#This Row],[Criado em]])</f>
        <v>2025</v>
      </c>
      <c r="AG1327" s="25">
        <f>COUNTIFS(Tabela1[Mês],Tabela1[[#This Row],[Mês]])</f>
        <v>130</v>
      </c>
      <c r="AH1327" s="25">
        <f>COUNTIFS(Tabela1[Mês],Tabela1[[#This Row],[Mês]],Tabela1[Fase atual],"Recebido")</f>
        <v>100</v>
      </c>
      <c r="AI1327" s="26">
        <f>Tabela1[[#This Row],[Recebido_ Mes]]/Tabela1[[#This Row],[Total_Mes]]</f>
        <v>0.76923076923076927</v>
      </c>
      <c r="AJ1327" s="19">
        <f>COUNTIFS(Tabela1[Fase atual],"Recebido",Tabela1[Mês],Tabela1[[#This Row],[Mês]],Tabela1[Ano],Tabela1[[#This Row],[Ano]])/COUNTIF(Tabela1[Mês],Tabela1[[#This Row],[Mês]])</f>
        <v>0.76923076923076927</v>
      </c>
      <c r="AK1327" s="20">
        <f>100%</f>
        <v>1</v>
      </c>
    </row>
    <row r="1328" spans="1:37" ht="18" customHeight="1" x14ac:dyDescent="0.25">
      <c r="A1328">
        <v>1229141477</v>
      </c>
      <c r="B1328" t="s">
        <v>116</v>
      </c>
      <c r="C1328" t="s">
        <v>1993</v>
      </c>
      <c r="D1328" t="s">
        <v>784</v>
      </c>
      <c r="E1328" t="s">
        <v>31</v>
      </c>
      <c r="F1328" s="2">
        <v>45936.851151099538</v>
      </c>
      <c r="AC1328" s="24">
        <f t="shared" ca="1" si="41"/>
        <v>197.14884890046233</v>
      </c>
      <c r="AD1328" s="25" t="str">
        <f t="shared" ca="1" si="42"/>
        <v>&gt;60 dias</v>
      </c>
      <c r="AE1328" s="25">
        <f>MONTH(Tabela1[[#This Row],[Criado em]])</f>
        <v>10</v>
      </c>
      <c r="AF1328" s="25">
        <f>YEAR(Tabela1[[#This Row],[Criado em]])</f>
        <v>2025</v>
      </c>
      <c r="AG1328" s="25">
        <f>COUNTIFS(Tabela1[Mês],Tabela1[[#This Row],[Mês]])</f>
        <v>196</v>
      </c>
      <c r="AH1328" s="25">
        <f>COUNTIFS(Tabela1[Mês],Tabela1[[#This Row],[Mês]],Tabela1[Fase atual],"Recebido")</f>
        <v>138</v>
      </c>
      <c r="AI1328" s="26">
        <f>Tabela1[[#This Row],[Recebido_ Mes]]/Tabela1[[#This Row],[Total_Mes]]</f>
        <v>0.70408163265306123</v>
      </c>
      <c r="AJ1328" s="19">
        <f>COUNTIFS(Tabela1[Fase atual],"Recebido",Tabela1[Mês],Tabela1[[#This Row],[Mês]],Tabela1[Ano],Tabela1[[#This Row],[Ano]])/COUNTIF(Tabela1[Mês],Tabela1[[#This Row],[Mês]])</f>
        <v>0.70408163265306123</v>
      </c>
      <c r="AK1328" s="20">
        <f>100%</f>
        <v>1</v>
      </c>
    </row>
    <row r="1329" spans="1:37" ht="18" customHeight="1" x14ac:dyDescent="0.25">
      <c r="A1329">
        <v>1264757416</v>
      </c>
      <c r="B1329" t="s">
        <v>116</v>
      </c>
      <c r="C1329" t="s">
        <v>562</v>
      </c>
      <c r="D1329" t="s">
        <v>37</v>
      </c>
      <c r="E1329" t="s">
        <v>31</v>
      </c>
      <c r="F1329" s="2">
        <v>45996.797475254629</v>
      </c>
      <c r="AC1329" s="24">
        <f t="shared" ca="1" si="41"/>
        <v>137.20252474537119</v>
      </c>
      <c r="AD1329" s="25" t="str">
        <f t="shared" ca="1" si="42"/>
        <v>&gt;60 dias</v>
      </c>
      <c r="AE1329" s="25">
        <f>MONTH(Tabela1[[#This Row],[Criado em]])</f>
        <v>12</v>
      </c>
      <c r="AF1329" s="25">
        <f>YEAR(Tabela1[[#This Row],[Criado em]])</f>
        <v>2025</v>
      </c>
      <c r="AG1329" s="25">
        <f>COUNTIFS(Tabela1[Mês],Tabela1[[#This Row],[Mês]])</f>
        <v>207</v>
      </c>
      <c r="AH1329" s="25">
        <f>COUNTIFS(Tabela1[Mês],Tabela1[[#This Row],[Mês]],Tabela1[Fase atual],"Recebido")</f>
        <v>155</v>
      </c>
      <c r="AI1329" s="26">
        <f>Tabela1[[#This Row],[Recebido_ Mes]]/Tabela1[[#This Row],[Total_Mes]]</f>
        <v>0.74879227053140096</v>
      </c>
      <c r="AJ1329" s="19">
        <f>COUNTIFS(Tabela1[Fase atual],"Recebido",Tabela1[Mês],Tabela1[[#This Row],[Mês]],Tabela1[Ano],Tabela1[[#This Row],[Ano]])/COUNTIF(Tabela1[Mês],Tabela1[[#This Row],[Mês]])</f>
        <v>0.74879227053140096</v>
      </c>
      <c r="AK1329" s="20">
        <f>100%</f>
        <v>1</v>
      </c>
    </row>
    <row r="1330" spans="1:37" ht="18" customHeight="1" x14ac:dyDescent="0.25">
      <c r="A1330">
        <v>1254000794</v>
      </c>
      <c r="B1330" t="s">
        <v>116</v>
      </c>
      <c r="C1330" t="s">
        <v>562</v>
      </c>
      <c r="D1330" t="s">
        <v>37</v>
      </c>
      <c r="E1330" t="s">
        <v>31</v>
      </c>
      <c r="F1330" s="2">
        <v>45973.795794120371</v>
      </c>
      <c r="AC1330" s="24">
        <f t="shared" ca="1" si="41"/>
        <v>160.20420587962872</v>
      </c>
      <c r="AD1330" s="25" t="str">
        <f t="shared" ca="1" si="42"/>
        <v>&gt;60 dias</v>
      </c>
      <c r="AE1330" s="25">
        <f>MONTH(Tabela1[[#This Row],[Criado em]])</f>
        <v>11</v>
      </c>
      <c r="AF1330" s="25">
        <f>YEAR(Tabela1[[#This Row],[Criado em]])</f>
        <v>2025</v>
      </c>
      <c r="AG1330" s="25">
        <f>COUNTIFS(Tabela1[Mês],Tabela1[[#This Row],[Mês]])</f>
        <v>130</v>
      </c>
      <c r="AH1330" s="25">
        <f>COUNTIFS(Tabela1[Mês],Tabela1[[#This Row],[Mês]],Tabela1[Fase atual],"Recebido")</f>
        <v>100</v>
      </c>
      <c r="AI1330" s="26">
        <f>Tabela1[[#This Row],[Recebido_ Mes]]/Tabela1[[#This Row],[Total_Mes]]</f>
        <v>0.76923076923076927</v>
      </c>
      <c r="AJ1330" s="19">
        <f>COUNTIFS(Tabela1[Fase atual],"Recebido",Tabela1[Mês],Tabela1[[#This Row],[Mês]],Tabela1[Ano],Tabela1[[#This Row],[Ano]])/COUNTIF(Tabela1[Mês],Tabela1[[#This Row],[Mês]])</f>
        <v>0.76923076923076927</v>
      </c>
      <c r="AK1330" s="20">
        <f>100%</f>
        <v>1</v>
      </c>
    </row>
    <row r="1331" spans="1:37" ht="18" customHeight="1" x14ac:dyDescent="0.25">
      <c r="A1331">
        <v>1298847528</v>
      </c>
      <c r="B1331" t="s">
        <v>116</v>
      </c>
      <c r="C1331" t="s">
        <v>562</v>
      </c>
      <c r="D1331" t="s">
        <v>2184</v>
      </c>
      <c r="E1331" t="s">
        <v>31</v>
      </c>
      <c r="F1331" s="2">
        <v>46071.628931180559</v>
      </c>
      <c r="AC1331" s="24">
        <f t="shared" ca="1" si="41"/>
        <v>62.371068819440552</v>
      </c>
      <c r="AD1331" s="25" t="str">
        <f t="shared" ca="1" si="42"/>
        <v>&gt;60 dias</v>
      </c>
      <c r="AE1331" s="25">
        <f>MONTH(Tabela1[[#This Row],[Criado em]])</f>
        <v>2</v>
      </c>
      <c r="AF1331" s="25">
        <f>YEAR(Tabela1[[#This Row],[Criado em]])</f>
        <v>2026</v>
      </c>
      <c r="AG1331" s="25">
        <f>COUNTIFS(Tabela1[Mês],Tabela1[[#This Row],[Mês]])</f>
        <v>197</v>
      </c>
      <c r="AH1331" s="25">
        <f>COUNTIFS(Tabela1[Mês],Tabela1[[#This Row],[Mês]],Tabela1[Fase atual],"Recebido")</f>
        <v>124</v>
      </c>
      <c r="AI1331" s="26">
        <f>Tabela1[[#This Row],[Recebido_ Mes]]/Tabela1[[#This Row],[Total_Mes]]</f>
        <v>0.62944162436548223</v>
      </c>
      <c r="AJ1331" s="19">
        <f>COUNTIFS(Tabela1[Fase atual],"Recebido",Tabela1[Mês],Tabela1[[#This Row],[Mês]],Tabela1[Ano],Tabela1[[#This Row],[Ano]])/COUNTIF(Tabela1[Mês],Tabela1[[#This Row],[Mês]])</f>
        <v>0.62944162436548223</v>
      </c>
      <c r="AK1331" s="20">
        <f>100%</f>
        <v>1</v>
      </c>
    </row>
    <row r="1332" spans="1:37" ht="18" customHeight="1" x14ac:dyDescent="0.25">
      <c r="A1332">
        <v>1278699369</v>
      </c>
      <c r="B1332" t="s">
        <v>116</v>
      </c>
      <c r="C1332" t="s">
        <v>563</v>
      </c>
      <c r="D1332" t="s">
        <v>40</v>
      </c>
      <c r="E1332" t="s">
        <v>31</v>
      </c>
      <c r="F1332" s="2">
        <v>46030.555641655097</v>
      </c>
      <c r="AC1332" s="24">
        <f t="shared" ca="1" si="41"/>
        <v>103.44435834490287</v>
      </c>
      <c r="AD1332" s="25" t="str">
        <f t="shared" ca="1" si="42"/>
        <v>&gt;60 dias</v>
      </c>
      <c r="AE1332" s="25">
        <f>MONTH(Tabela1[[#This Row],[Criado em]])</f>
        <v>1</v>
      </c>
      <c r="AF1332" s="25">
        <f>YEAR(Tabela1[[#This Row],[Criado em]])</f>
        <v>2026</v>
      </c>
      <c r="AG1332" s="25">
        <f>COUNTIFS(Tabela1[Mês],Tabela1[[#This Row],[Mês]])</f>
        <v>222</v>
      </c>
      <c r="AH1332" s="25">
        <f>COUNTIFS(Tabela1[Mês],Tabela1[[#This Row],[Mês]],Tabela1[Fase atual],"Recebido")</f>
        <v>174</v>
      </c>
      <c r="AI1332" s="26">
        <f>Tabela1[[#This Row],[Recebido_ Mes]]/Tabela1[[#This Row],[Total_Mes]]</f>
        <v>0.78378378378378377</v>
      </c>
      <c r="AJ1332" s="19">
        <f>COUNTIFS(Tabela1[Fase atual],"Recebido",Tabela1[Mês],Tabela1[[#This Row],[Mês]],Tabela1[Ano],Tabela1[[#This Row],[Ano]])/COUNTIF(Tabela1[Mês],Tabela1[[#This Row],[Mês]])</f>
        <v>0.78378378378378377</v>
      </c>
      <c r="AK1332" s="20">
        <f>100%</f>
        <v>1</v>
      </c>
    </row>
    <row r="1333" spans="1:37" ht="18" customHeight="1" x14ac:dyDescent="0.25">
      <c r="A1333">
        <v>1284620539</v>
      </c>
      <c r="B1333" t="s">
        <v>564</v>
      </c>
      <c r="C1333" t="s">
        <v>565</v>
      </c>
      <c r="D1333" t="s">
        <v>37</v>
      </c>
      <c r="E1333" t="s">
        <v>31</v>
      </c>
      <c r="F1333" s="2">
        <v>46042.795229409719</v>
      </c>
      <c r="AC1333" s="24">
        <f t="shared" ca="1" si="41"/>
        <v>91.204770590280532</v>
      </c>
      <c r="AD1333" s="25" t="str">
        <f t="shared" ca="1" si="42"/>
        <v>&gt;60 dias</v>
      </c>
      <c r="AE1333" s="25">
        <f>MONTH(Tabela1[[#This Row],[Criado em]])</f>
        <v>1</v>
      </c>
      <c r="AF1333" s="25">
        <f>YEAR(Tabela1[[#This Row],[Criado em]])</f>
        <v>2026</v>
      </c>
      <c r="AG1333" s="25">
        <f>COUNTIFS(Tabela1[Mês],Tabela1[[#This Row],[Mês]])</f>
        <v>222</v>
      </c>
      <c r="AH1333" s="25">
        <f>COUNTIFS(Tabela1[Mês],Tabela1[[#This Row],[Mês]],Tabela1[Fase atual],"Recebido")</f>
        <v>174</v>
      </c>
      <c r="AI1333" s="26">
        <f>Tabela1[[#This Row],[Recebido_ Mes]]/Tabela1[[#This Row],[Total_Mes]]</f>
        <v>0.78378378378378377</v>
      </c>
      <c r="AJ1333" s="19">
        <f>COUNTIFS(Tabela1[Fase atual],"Recebido",Tabela1[Mês],Tabela1[[#This Row],[Mês]],Tabela1[Ano],Tabela1[[#This Row],[Ano]])/COUNTIF(Tabela1[Mês],Tabela1[[#This Row],[Mês]])</f>
        <v>0.78378378378378377</v>
      </c>
      <c r="AK1333" s="20">
        <f>100%</f>
        <v>1</v>
      </c>
    </row>
    <row r="1334" spans="1:37" ht="18" customHeight="1" x14ac:dyDescent="0.25">
      <c r="A1334">
        <v>1232074880</v>
      </c>
      <c r="B1334" t="s">
        <v>1994</v>
      </c>
      <c r="C1334" t="s">
        <v>1995</v>
      </c>
      <c r="D1334" t="s">
        <v>40</v>
      </c>
      <c r="E1334" t="s">
        <v>31</v>
      </c>
      <c r="F1334" s="2">
        <v>45940.642591724543</v>
      </c>
      <c r="AC1334" s="24">
        <f t="shared" ca="1" si="41"/>
        <v>193.35740827545669</v>
      </c>
      <c r="AD1334" s="25" t="str">
        <f t="shared" ca="1" si="42"/>
        <v>&gt;60 dias</v>
      </c>
      <c r="AE1334" s="25">
        <f>MONTH(Tabela1[[#This Row],[Criado em]])</f>
        <v>10</v>
      </c>
      <c r="AF1334" s="25">
        <f>YEAR(Tabela1[[#This Row],[Criado em]])</f>
        <v>2025</v>
      </c>
      <c r="AG1334" s="25">
        <f>COUNTIFS(Tabela1[Mês],Tabela1[[#This Row],[Mês]])</f>
        <v>196</v>
      </c>
      <c r="AH1334" s="25">
        <f>COUNTIFS(Tabela1[Mês],Tabela1[[#This Row],[Mês]],Tabela1[Fase atual],"Recebido")</f>
        <v>138</v>
      </c>
      <c r="AI1334" s="26">
        <f>Tabela1[[#This Row],[Recebido_ Mes]]/Tabela1[[#This Row],[Total_Mes]]</f>
        <v>0.70408163265306123</v>
      </c>
      <c r="AJ1334" s="19">
        <f>COUNTIFS(Tabela1[Fase atual],"Recebido",Tabela1[Mês],Tabela1[[#This Row],[Mês]],Tabela1[Ano],Tabela1[[#This Row],[Ano]])/COUNTIF(Tabela1[Mês],Tabela1[[#This Row],[Mês]])</f>
        <v>0.70408163265306123</v>
      </c>
      <c r="AK1334" s="20">
        <f>100%</f>
        <v>1</v>
      </c>
    </row>
    <row r="1335" spans="1:37" ht="18" customHeight="1" x14ac:dyDescent="0.25">
      <c r="A1335">
        <v>1289704191</v>
      </c>
      <c r="B1335" t="s">
        <v>566</v>
      </c>
      <c r="C1335" t="s">
        <v>567</v>
      </c>
      <c r="D1335" t="s">
        <v>37</v>
      </c>
      <c r="E1335" t="s">
        <v>31</v>
      </c>
      <c r="F1335" s="2">
        <v>46050.794905000002</v>
      </c>
      <c r="AC1335" s="24">
        <f t="shared" ca="1" si="41"/>
        <v>83.205094999997527</v>
      </c>
      <c r="AD1335" s="25" t="str">
        <f t="shared" ca="1" si="42"/>
        <v>&gt;60 dias</v>
      </c>
      <c r="AE1335" s="25">
        <f>MONTH(Tabela1[[#This Row],[Criado em]])</f>
        <v>1</v>
      </c>
      <c r="AF1335" s="25">
        <f>YEAR(Tabela1[[#This Row],[Criado em]])</f>
        <v>2026</v>
      </c>
      <c r="AG1335" s="25">
        <f>COUNTIFS(Tabela1[Mês],Tabela1[[#This Row],[Mês]])</f>
        <v>222</v>
      </c>
      <c r="AH1335" s="25">
        <f>COUNTIFS(Tabela1[Mês],Tabela1[[#This Row],[Mês]],Tabela1[Fase atual],"Recebido")</f>
        <v>174</v>
      </c>
      <c r="AI1335" s="26">
        <f>Tabela1[[#This Row],[Recebido_ Mes]]/Tabela1[[#This Row],[Total_Mes]]</f>
        <v>0.78378378378378377</v>
      </c>
      <c r="AJ1335" s="19">
        <f>COUNTIFS(Tabela1[Fase atual],"Recebido",Tabela1[Mês],Tabela1[[#This Row],[Mês]],Tabela1[Ano],Tabela1[[#This Row],[Ano]])/COUNTIF(Tabela1[Mês],Tabela1[[#This Row],[Mês]])</f>
        <v>0.78378378378378377</v>
      </c>
      <c r="AK1335" s="20">
        <f>100%</f>
        <v>1</v>
      </c>
    </row>
    <row r="1336" spans="1:37" ht="18" customHeight="1" x14ac:dyDescent="0.25">
      <c r="A1336">
        <v>1289298804</v>
      </c>
      <c r="B1336" t="s">
        <v>568</v>
      </c>
      <c r="C1336" t="s">
        <v>569</v>
      </c>
      <c r="D1336" t="s">
        <v>37</v>
      </c>
      <c r="E1336" t="s">
        <v>31</v>
      </c>
      <c r="F1336" s="2">
        <v>46050.544567604171</v>
      </c>
      <c r="AC1336" s="24">
        <f t="shared" ca="1" si="41"/>
        <v>83.455432395829121</v>
      </c>
      <c r="AD1336" s="25" t="str">
        <f t="shared" ca="1" si="42"/>
        <v>&gt;60 dias</v>
      </c>
      <c r="AE1336" s="25">
        <f>MONTH(Tabela1[[#This Row],[Criado em]])</f>
        <v>1</v>
      </c>
      <c r="AF1336" s="25">
        <f>YEAR(Tabela1[[#This Row],[Criado em]])</f>
        <v>2026</v>
      </c>
      <c r="AG1336" s="25">
        <f>COUNTIFS(Tabela1[Mês],Tabela1[[#This Row],[Mês]])</f>
        <v>222</v>
      </c>
      <c r="AH1336" s="25">
        <f>COUNTIFS(Tabela1[Mês],Tabela1[[#This Row],[Mês]],Tabela1[Fase atual],"Recebido")</f>
        <v>174</v>
      </c>
      <c r="AI1336" s="26">
        <f>Tabela1[[#This Row],[Recebido_ Mes]]/Tabela1[[#This Row],[Total_Mes]]</f>
        <v>0.78378378378378377</v>
      </c>
      <c r="AJ1336" s="19">
        <f>COUNTIFS(Tabela1[Fase atual],"Recebido",Tabela1[Mês],Tabela1[[#This Row],[Mês]],Tabela1[Ano],Tabela1[[#This Row],[Ano]])/COUNTIF(Tabela1[Mês],Tabela1[[#This Row],[Mês]])</f>
        <v>0.78378378378378377</v>
      </c>
      <c r="AK1336" s="20">
        <f>100%</f>
        <v>1</v>
      </c>
    </row>
    <row r="1337" spans="1:37" ht="18" customHeight="1" x14ac:dyDescent="0.25">
      <c r="A1337">
        <v>1295384230</v>
      </c>
      <c r="B1337" t="s">
        <v>570</v>
      </c>
      <c r="C1337" t="s">
        <v>571</v>
      </c>
      <c r="D1337" t="s">
        <v>37</v>
      </c>
      <c r="E1337" t="s">
        <v>31</v>
      </c>
      <c r="F1337" s="2">
        <v>46062.795957395843</v>
      </c>
      <c r="AC1337" s="24">
        <f t="shared" ca="1" si="41"/>
        <v>71.204042604156712</v>
      </c>
      <c r="AD1337" s="25" t="str">
        <f t="shared" ca="1" si="42"/>
        <v>&gt;60 dias</v>
      </c>
      <c r="AE1337" s="25">
        <f>MONTH(Tabela1[[#This Row],[Criado em]])</f>
        <v>2</v>
      </c>
      <c r="AF1337" s="25">
        <f>YEAR(Tabela1[[#This Row],[Criado em]])</f>
        <v>2026</v>
      </c>
      <c r="AG1337" s="25">
        <f>COUNTIFS(Tabela1[Mês],Tabela1[[#This Row],[Mês]])</f>
        <v>197</v>
      </c>
      <c r="AH1337" s="25">
        <f>COUNTIFS(Tabela1[Mês],Tabela1[[#This Row],[Mês]],Tabela1[Fase atual],"Recebido")</f>
        <v>124</v>
      </c>
      <c r="AI1337" s="26">
        <f>Tabela1[[#This Row],[Recebido_ Mes]]/Tabela1[[#This Row],[Total_Mes]]</f>
        <v>0.62944162436548223</v>
      </c>
      <c r="AJ1337" s="19">
        <f>COUNTIFS(Tabela1[Fase atual],"Recebido",Tabela1[Mês],Tabela1[[#This Row],[Mês]],Tabela1[Ano],Tabela1[[#This Row],[Ano]])/COUNTIF(Tabela1[Mês],Tabela1[[#This Row],[Mês]])</f>
        <v>0.62944162436548223</v>
      </c>
      <c r="AK1337" s="20">
        <f>100%</f>
        <v>1</v>
      </c>
    </row>
    <row r="1338" spans="1:37" ht="18" customHeight="1" x14ac:dyDescent="0.25">
      <c r="A1338">
        <v>1183425390</v>
      </c>
      <c r="B1338" t="s">
        <v>1996</v>
      </c>
      <c r="C1338" t="s">
        <v>1997</v>
      </c>
      <c r="D1338" t="s">
        <v>40</v>
      </c>
      <c r="E1338" t="s">
        <v>31</v>
      </c>
      <c r="F1338" s="2">
        <v>45863.852986192127</v>
      </c>
      <c r="AC1338" s="24">
        <f t="shared" ca="1" si="41"/>
        <v>270.14701380787301</v>
      </c>
      <c r="AD1338" s="25" t="str">
        <f t="shared" ca="1" si="42"/>
        <v>&gt;60 dias</v>
      </c>
      <c r="AE1338" s="25">
        <f>MONTH(Tabela1[[#This Row],[Criado em]])</f>
        <v>7</v>
      </c>
      <c r="AF1338" s="25">
        <f>YEAR(Tabela1[[#This Row],[Criado em]])</f>
        <v>2025</v>
      </c>
      <c r="AG1338" s="25">
        <f>COUNTIFS(Tabela1[Mês],Tabela1[[#This Row],[Mês]])</f>
        <v>177</v>
      </c>
      <c r="AH1338" s="25">
        <f>COUNTIFS(Tabela1[Mês],Tabela1[[#This Row],[Mês]],Tabela1[Fase atual],"Recebido")</f>
        <v>130</v>
      </c>
      <c r="AI1338" s="26">
        <f>Tabela1[[#This Row],[Recebido_ Mes]]/Tabela1[[#This Row],[Total_Mes]]</f>
        <v>0.7344632768361582</v>
      </c>
      <c r="AJ1338" s="19">
        <f>COUNTIFS(Tabela1[Fase atual],"Recebido",Tabela1[Mês],Tabela1[[#This Row],[Mês]],Tabela1[Ano],Tabela1[[#This Row],[Ano]])/COUNTIF(Tabela1[Mês],Tabela1[[#This Row],[Mês]])</f>
        <v>0.7344632768361582</v>
      </c>
      <c r="AK1338" s="20">
        <f>100%</f>
        <v>1</v>
      </c>
    </row>
    <row r="1339" spans="1:37" ht="18" customHeight="1" x14ac:dyDescent="0.25">
      <c r="A1339">
        <v>1254442107</v>
      </c>
      <c r="B1339" t="s">
        <v>558</v>
      </c>
      <c r="C1339" t="s">
        <v>1998</v>
      </c>
      <c r="D1339" t="s">
        <v>37</v>
      </c>
      <c r="E1339" t="s">
        <v>31</v>
      </c>
      <c r="F1339" s="2">
        <v>45974.628197384263</v>
      </c>
      <c r="AC1339" s="24">
        <f t="shared" ca="1" si="41"/>
        <v>159.37180261573667</v>
      </c>
      <c r="AD1339" s="25" t="str">
        <f t="shared" ca="1" si="42"/>
        <v>&gt;60 dias</v>
      </c>
      <c r="AE1339" s="25">
        <f>MONTH(Tabela1[[#This Row],[Criado em]])</f>
        <v>11</v>
      </c>
      <c r="AF1339" s="25">
        <f>YEAR(Tabela1[[#This Row],[Criado em]])</f>
        <v>2025</v>
      </c>
      <c r="AG1339" s="25">
        <f>COUNTIFS(Tabela1[Mês],Tabela1[[#This Row],[Mês]])</f>
        <v>130</v>
      </c>
      <c r="AH1339" s="25">
        <f>COUNTIFS(Tabela1[Mês],Tabela1[[#This Row],[Mês]],Tabela1[Fase atual],"Recebido")</f>
        <v>100</v>
      </c>
      <c r="AI1339" s="26">
        <f>Tabela1[[#This Row],[Recebido_ Mes]]/Tabela1[[#This Row],[Total_Mes]]</f>
        <v>0.76923076923076927</v>
      </c>
      <c r="AJ1339" s="19">
        <f>COUNTIFS(Tabela1[Fase atual],"Recebido",Tabela1[Mês],Tabela1[[#This Row],[Mês]],Tabela1[Ano],Tabela1[[#This Row],[Ano]])/COUNTIF(Tabela1[Mês],Tabela1[[#This Row],[Mês]])</f>
        <v>0.76923076923076927</v>
      </c>
      <c r="AK1339" s="20">
        <f>100%</f>
        <v>1</v>
      </c>
    </row>
    <row r="1340" spans="1:37" ht="18" customHeight="1" x14ac:dyDescent="0.25">
      <c r="A1340">
        <v>1249085260</v>
      </c>
      <c r="B1340" t="s">
        <v>824</v>
      </c>
      <c r="C1340" t="s">
        <v>1999</v>
      </c>
      <c r="D1340" t="s">
        <v>40</v>
      </c>
      <c r="E1340" t="s">
        <v>31</v>
      </c>
      <c r="F1340" s="2">
        <v>45964.794027094897</v>
      </c>
      <c r="AC1340" s="24">
        <f t="shared" ca="1" si="41"/>
        <v>169.20597290510341</v>
      </c>
      <c r="AD1340" s="25" t="str">
        <f t="shared" ca="1" si="42"/>
        <v>&gt;60 dias</v>
      </c>
      <c r="AE1340" s="25">
        <f>MONTH(Tabela1[[#This Row],[Criado em]])</f>
        <v>11</v>
      </c>
      <c r="AF1340" s="25">
        <f>YEAR(Tabela1[[#This Row],[Criado em]])</f>
        <v>2025</v>
      </c>
      <c r="AG1340" s="25">
        <f>COUNTIFS(Tabela1[Mês],Tabela1[[#This Row],[Mês]])</f>
        <v>130</v>
      </c>
      <c r="AH1340" s="25">
        <f>COUNTIFS(Tabela1[Mês],Tabela1[[#This Row],[Mês]],Tabela1[Fase atual],"Recebido")</f>
        <v>100</v>
      </c>
      <c r="AI1340" s="26">
        <f>Tabela1[[#This Row],[Recebido_ Mes]]/Tabela1[[#This Row],[Total_Mes]]</f>
        <v>0.76923076923076927</v>
      </c>
      <c r="AJ1340" s="19">
        <f>COUNTIFS(Tabela1[Fase atual],"Recebido",Tabela1[Mês],Tabela1[[#This Row],[Mês]],Tabela1[Ano],Tabela1[[#This Row],[Ano]])/COUNTIF(Tabela1[Mês],Tabela1[[#This Row],[Mês]])</f>
        <v>0.76923076923076927</v>
      </c>
      <c r="AK1340" s="20">
        <f>100%</f>
        <v>1</v>
      </c>
    </row>
    <row r="1341" spans="1:37" ht="18" customHeight="1" x14ac:dyDescent="0.25">
      <c r="A1341">
        <v>1286721527</v>
      </c>
      <c r="B1341" t="s">
        <v>162</v>
      </c>
      <c r="C1341" t="s">
        <v>572</v>
      </c>
      <c r="D1341" t="s">
        <v>37</v>
      </c>
      <c r="E1341" t="s">
        <v>31</v>
      </c>
      <c r="F1341" s="2">
        <v>46045.796550370367</v>
      </c>
      <c r="AC1341" s="24">
        <f t="shared" ca="1" si="41"/>
        <v>88.203449629632814</v>
      </c>
      <c r="AD1341" s="25" t="str">
        <f t="shared" ca="1" si="42"/>
        <v>&gt;60 dias</v>
      </c>
      <c r="AE1341" s="25">
        <f>MONTH(Tabela1[[#This Row],[Criado em]])</f>
        <v>1</v>
      </c>
      <c r="AF1341" s="25">
        <f>YEAR(Tabela1[[#This Row],[Criado em]])</f>
        <v>2026</v>
      </c>
      <c r="AG1341" s="25">
        <f>COUNTIFS(Tabela1[Mês],Tabela1[[#This Row],[Mês]])</f>
        <v>222</v>
      </c>
      <c r="AH1341" s="25">
        <f>COUNTIFS(Tabela1[Mês],Tabela1[[#This Row],[Mês]],Tabela1[Fase atual],"Recebido")</f>
        <v>174</v>
      </c>
      <c r="AI1341" s="26">
        <f>Tabela1[[#This Row],[Recebido_ Mes]]/Tabela1[[#This Row],[Total_Mes]]</f>
        <v>0.78378378378378377</v>
      </c>
      <c r="AJ1341" s="19">
        <f>COUNTIFS(Tabela1[Fase atual],"Recebido",Tabela1[Mês],Tabela1[[#This Row],[Mês]],Tabela1[Ano],Tabela1[[#This Row],[Ano]])/COUNTIF(Tabela1[Mês],Tabela1[[#This Row],[Mês]])</f>
        <v>0.78378378378378377</v>
      </c>
      <c r="AK1341" s="20">
        <f>100%</f>
        <v>1</v>
      </c>
    </row>
    <row r="1342" spans="1:37" ht="18" customHeight="1" x14ac:dyDescent="0.25">
      <c r="A1342">
        <v>1225193099</v>
      </c>
      <c r="B1342" t="s">
        <v>2000</v>
      </c>
      <c r="C1342" t="s">
        <v>2001</v>
      </c>
      <c r="D1342" t="s">
        <v>37</v>
      </c>
      <c r="E1342" t="s">
        <v>31</v>
      </c>
      <c r="F1342" s="2">
        <v>45931.64269335648</v>
      </c>
      <c r="AC1342" s="24">
        <f t="shared" ca="1" si="41"/>
        <v>202.35730664352013</v>
      </c>
      <c r="AD1342" s="25" t="str">
        <f t="shared" ca="1" si="42"/>
        <v>&gt;60 dias</v>
      </c>
      <c r="AE1342" s="25">
        <f>MONTH(Tabela1[[#This Row],[Criado em]])</f>
        <v>10</v>
      </c>
      <c r="AF1342" s="25">
        <f>YEAR(Tabela1[[#This Row],[Criado em]])</f>
        <v>2025</v>
      </c>
      <c r="AG1342" s="25">
        <f>COUNTIFS(Tabela1[Mês],Tabela1[[#This Row],[Mês]])</f>
        <v>196</v>
      </c>
      <c r="AH1342" s="25">
        <f>COUNTIFS(Tabela1[Mês],Tabela1[[#This Row],[Mês]],Tabela1[Fase atual],"Recebido")</f>
        <v>138</v>
      </c>
      <c r="AI1342" s="26">
        <f>Tabela1[[#This Row],[Recebido_ Mes]]/Tabela1[[#This Row],[Total_Mes]]</f>
        <v>0.70408163265306123</v>
      </c>
      <c r="AJ1342" s="19">
        <f>COUNTIFS(Tabela1[Fase atual],"Recebido",Tabela1[Mês],Tabela1[[#This Row],[Mês]],Tabela1[Ano],Tabela1[[#This Row],[Ano]])/COUNTIF(Tabela1[Mês],Tabela1[[#This Row],[Mês]])</f>
        <v>0.70408163265306123</v>
      </c>
      <c r="AK1342" s="20">
        <f>100%</f>
        <v>1</v>
      </c>
    </row>
    <row r="1343" spans="1:37" ht="18" customHeight="1" x14ac:dyDescent="0.25">
      <c r="A1343">
        <v>1185104679</v>
      </c>
      <c r="B1343" t="s">
        <v>2002</v>
      </c>
      <c r="C1343" t="s">
        <v>2003</v>
      </c>
      <c r="D1343" t="s">
        <v>37</v>
      </c>
      <c r="E1343" t="s">
        <v>441</v>
      </c>
      <c r="F1343" s="2">
        <v>45867.596679201393</v>
      </c>
      <c r="AC1343" s="24">
        <f t="shared" ca="1" si="41"/>
        <v>266.40332079860673</v>
      </c>
      <c r="AD1343" s="25" t="str">
        <f t="shared" ca="1" si="42"/>
        <v>&gt;60 dias</v>
      </c>
      <c r="AE1343" s="25">
        <f>MONTH(Tabela1[[#This Row],[Criado em]])</f>
        <v>7</v>
      </c>
      <c r="AF1343" s="25">
        <f>YEAR(Tabela1[[#This Row],[Criado em]])</f>
        <v>2025</v>
      </c>
      <c r="AG1343" s="25">
        <f>COUNTIFS(Tabela1[Mês],Tabela1[[#This Row],[Mês]])</f>
        <v>177</v>
      </c>
      <c r="AH1343" s="25">
        <f>COUNTIFS(Tabela1[Mês],Tabela1[[#This Row],[Mês]],Tabela1[Fase atual],"Recebido")</f>
        <v>130</v>
      </c>
      <c r="AI1343" s="26">
        <f>Tabela1[[#This Row],[Recebido_ Mes]]/Tabela1[[#This Row],[Total_Mes]]</f>
        <v>0.7344632768361582</v>
      </c>
      <c r="AJ1343" s="19">
        <f>COUNTIFS(Tabela1[Fase atual],"Recebido",Tabela1[Mês],Tabela1[[#This Row],[Mês]],Tabela1[Ano],Tabela1[[#This Row],[Ano]])/COUNTIF(Tabela1[Mês],Tabela1[[#This Row],[Mês]])</f>
        <v>0.7344632768361582</v>
      </c>
      <c r="AK1343" s="20">
        <f>100%</f>
        <v>1</v>
      </c>
    </row>
    <row r="1344" spans="1:37" ht="18" customHeight="1" x14ac:dyDescent="0.25">
      <c r="A1344">
        <v>1298260941</v>
      </c>
      <c r="B1344" t="s">
        <v>573</v>
      </c>
      <c r="C1344" t="s">
        <v>574</v>
      </c>
      <c r="D1344" t="s">
        <v>37</v>
      </c>
      <c r="E1344" t="s">
        <v>524</v>
      </c>
      <c r="F1344" s="2">
        <v>46069.572819756941</v>
      </c>
      <c r="AC1344" s="24">
        <f t="shared" ca="1" si="41"/>
        <v>64.427180243059411</v>
      </c>
      <c r="AD1344" s="25" t="str">
        <f t="shared" ca="1" si="42"/>
        <v>&gt;60 dias</v>
      </c>
      <c r="AE1344" s="25">
        <f>MONTH(Tabela1[[#This Row],[Criado em]])</f>
        <v>2</v>
      </c>
      <c r="AF1344" s="25">
        <f>YEAR(Tabela1[[#This Row],[Criado em]])</f>
        <v>2026</v>
      </c>
      <c r="AG1344" s="25">
        <f>COUNTIFS(Tabela1[Mês],Tabela1[[#This Row],[Mês]])</f>
        <v>197</v>
      </c>
      <c r="AH1344" s="25">
        <f>COUNTIFS(Tabela1[Mês],Tabela1[[#This Row],[Mês]],Tabela1[Fase atual],"Recebido")</f>
        <v>124</v>
      </c>
      <c r="AI1344" s="26">
        <f>Tabela1[[#This Row],[Recebido_ Mes]]/Tabela1[[#This Row],[Total_Mes]]</f>
        <v>0.62944162436548223</v>
      </c>
      <c r="AJ1344" s="19">
        <f>COUNTIFS(Tabela1[Fase atual],"Recebido",Tabela1[Mês],Tabela1[[#This Row],[Mês]],Tabela1[Ano],Tabela1[[#This Row],[Ano]])/COUNTIF(Tabela1[Mês],Tabela1[[#This Row],[Mês]])</f>
        <v>0.62944162436548223</v>
      </c>
      <c r="AK1344" s="20">
        <f>100%</f>
        <v>1</v>
      </c>
    </row>
    <row r="1345" spans="1:37" ht="18" customHeight="1" x14ac:dyDescent="0.25">
      <c r="A1345">
        <v>1186589348</v>
      </c>
      <c r="B1345" t="s">
        <v>1766</v>
      </c>
      <c r="C1345" t="s">
        <v>2004</v>
      </c>
      <c r="D1345" t="s">
        <v>784</v>
      </c>
      <c r="E1345" t="s">
        <v>31</v>
      </c>
      <c r="F1345" s="2">
        <v>45869.851729305563</v>
      </c>
      <c r="AC1345" s="24">
        <f t="shared" ca="1" si="41"/>
        <v>264.14827069443709</v>
      </c>
      <c r="AD1345" s="25" t="str">
        <f t="shared" ca="1" si="42"/>
        <v>&gt;60 dias</v>
      </c>
      <c r="AE1345" s="25">
        <f>MONTH(Tabela1[[#This Row],[Criado em]])</f>
        <v>7</v>
      </c>
      <c r="AF1345" s="25">
        <f>YEAR(Tabela1[[#This Row],[Criado em]])</f>
        <v>2025</v>
      </c>
      <c r="AG1345" s="25">
        <f>COUNTIFS(Tabela1[Mês],Tabela1[[#This Row],[Mês]])</f>
        <v>177</v>
      </c>
      <c r="AH1345" s="25">
        <f>COUNTIFS(Tabela1[Mês],Tabela1[[#This Row],[Mês]],Tabela1[Fase atual],"Recebido")</f>
        <v>130</v>
      </c>
      <c r="AI1345" s="26">
        <f>Tabela1[[#This Row],[Recebido_ Mes]]/Tabela1[[#This Row],[Total_Mes]]</f>
        <v>0.7344632768361582</v>
      </c>
      <c r="AJ1345" s="19">
        <f>COUNTIFS(Tabela1[Fase atual],"Recebido",Tabela1[Mês],Tabela1[[#This Row],[Mês]],Tabela1[Ano],Tabela1[[#This Row],[Ano]])/COUNTIF(Tabela1[Mês],Tabela1[[#This Row],[Mês]])</f>
        <v>0.7344632768361582</v>
      </c>
      <c r="AK1345" s="20">
        <f>100%</f>
        <v>1</v>
      </c>
    </row>
    <row r="1346" spans="1:37" ht="18" customHeight="1" x14ac:dyDescent="0.25">
      <c r="A1346">
        <v>1189844829</v>
      </c>
      <c r="B1346" t="s">
        <v>2005</v>
      </c>
      <c r="C1346" t="s">
        <v>2006</v>
      </c>
      <c r="D1346" t="s">
        <v>37</v>
      </c>
      <c r="E1346" t="s">
        <v>31</v>
      </c>
      <c r="F1346" s="2">
        <v>45875.850422534721</v>
      </c>
      <c r="AC1346" s="24">
        <f t="shared" ca="1" si="41"/>
        <v>258.14957746527944</v>
      </c>
      <c r="AD1346" s="25" t="str">
        <f t="shared" ca="1" si="42"/>
        <v>&gt;60 dias</v>
      </c>
      <c r="AE1346" s="25">
        <f>MONTH(Tabela1[[#This Row],[Criado em]])</f>
        <v>8</v>
      </c>
      <c r="AF1346" s="25">
        <f>YEAR(Tabela1[[#This Row],[Criado em]])</f>
        <v>2025</v>
      </c>
      <c r="AG1346" s="25">
        <f>COUNTIFS(Tabela1[Mês],Tabela1[[#This Row],[Mês]])</f>
        <v>146</v>
      </c>
      <c r="AH1346" s="25">
        <f>COUNTIFS(Tabela1[Mês],Tabela1[[#This Row],[Mês]],Tabela1[Fase atual],"Recebido")</f>
        <v>115</v>
      </c>
      <c r="AI1346" s="26">
        <f>Tabela1[[#This Row],[Recebido_ Mes]]/Tabela1[[#This Row],[Total_Mes]]</f>
        <v>0.78767123287671237</v>
      </c>
      <c r="AJ1346" s="19">
        <f>COUNTIFS(Tabela1[Fase atual],"Recebido",Tabela1[Mês],Tabela1[[#This Row],[Mês]],Tabela1[Ano],Tabela1[[#This Row],[Ano]])/COUNTIF(Tabela1[Mês],Tabela1[[#This Row],[Mês]])</f>
        <v>0.78767123287671237</v>
      </c>
      <c r="AK1346" s="20">
        <f>100%</f>
        <v>1</v>
      </c>
    </row>
    <row r="1347" spans="1:37" ht="18" customHeight="1" x14ac:dyDescent="0.25">
      <c r="A1347">
        <v>1185129593</v>
      </c>
      <c r="B1347" t="s">
        <v>2005</v>
      </c>
      <c r="C1347" t="s">
        <v>2006</v>
      </c>
      <c r="D1347" t="s">
        <v>40</v>
      </c>
      <c r="E1347" t="s">
        <v>31</v>
      </c>
      <c r="F1347" s="2">
        <v>45867.620197731478</v>
      </c>
      <c r="AC1347" s="24">
        <f t="shared" ref="AC1347:AC1410" ca="1" si="43">TODAY() - F1347</f>
        <v>266.37980226852233</v>
      </c>
      <c r="AD1347" s="25" t="str">
        <f t="shared" ref="AD1347:AD1410" ca="1" si="44">IF(AC1347&lt;=14,"0-14 dias",
IF(AC1347&lt;=19,"15-19 dias",
IF(AC1347&lt;=24,"20-24 dias",
IF(AC1347&lt;=30,"25-30 dias",
IF(AC1347&lt;=60,"31-60 dias",
"&gt;60 dias")))))</f>
        <v>&gt;60 dias</v>
      </c>
      <c r="AE1347" s="25">
        <f>MONTH(Tabela1[[#This Row],[Criado em]])</f>
        <v>7</v>
      </c>
      <c r="AF1347" s="25">
        <f>YEAR(Tabela1[[#This Row],[Criado em]])</f>
        <v>2025</v>
      </c>
      <c r="AG1347" s="25">
        <f>COUNTIFS(Tabela1[Mês],Tabela1[[#This Row],[Mês]])</f>
        <v>177</v>
      </c>
      <c r="AH1347" s="25">
        <f>COUNTIFS(Tabela1[Mês],Tabela1[[#This Row],[Mês]],Tabela1[Fase atual],"Recebido")</f>
        <v>130</v>
      </c>
      <c r="AI1347" s="26">
        <f>Tabela1[[#This Row],[Recebido_ Mes]]/Tabela1[[#This Row],[Total_Mes]]</f>
        <v>0.7344632768361582</v>
      </c>
      <c r="AJ1347" s="19">
        <f>COUNTIFS(Tabela1[Fase atual],"Recebido",Tabela1[Mês],Tabela1[[#This Row],[Mês]],Tabela1[Ano],Tabela1[[#This Row],[Ano]])/COUNTIF(Tabela1[Mês],Tabela1[[#This Row],[Mês]])</f>
        <v>0.7344632768361582</v>
      </c>
      <c r="AK1347" s="20">
        <f>100%</f>
        <v>1</v>
      </c>
    </row>
    <row r="1348" spans="1:37" ht="18" customHeight="1" x14ac:dyDescent="0.25">
      <c r="A1348">
        <v>1188128637</v>
      </c>
      <c r="B1348" t="s">
        <v>505</v>
      </c>
      <c r="C1348" t="s">
        <v>2007</v>
      </c>
      <c r="D1348" t="s">
        <v>37</v>
      </c>
      <c r="E1348" t="s">
        <v>31</v>
      </c>
      <c r="F1348" s="2">
        <v>45873.642287106493</v>
      </c>
      <c r="AC1348" s="24">
        <f t="shared" ca="1" si="43"/>
        <v>260.35771289350669</v>
      </c>
      <c r="AD1348" s="25" t="str">
        <f t="shared" ca="1" si="44"/>
        <v>&gt;60 dias</v>
      </c>
      <c r="AE1348" s="25">
        <f>MONTH(Tabela1[[#This Row],[Criado em]])</f>
        <v>8</v>
      </c>
      <c r="AF1348" s="25">
        <f>YEAR(Tabela1[[#This Row],[Criado em]])</f>
        <v>2025</v>
      </c>
      <c r="AG1348" s="25">
        <f>COUNTIFS(Tabela1[Mês],Tabela1[[#This Row],[Mês]])</f>
        <v>146</v>
      </c>
      <c r="AH1348" s="25">
        <f>COUNTIFS(Tabela1[Mês],Tabela1[[#This Row],[Mês]],Tabela1[Fase atual],"Recebido")</f>
        <v>115</v>
      </c>
      <c r="AI1348" s="26">
        <f>Tabela1[[#This Row],[Recebido_ Mes]]/Tabela1[[#This Row],[Total_Mes]]</f>
        <v>0.78767123287671237</v>
      </c>
      <c r="AJ1348" s="19">
        <f>COUNTIFS(Tabela1[Fase atual],"Recebido",Tabela1[Mês],Tabela1[[#This Row],[Mês]],Tabela1[Ano],Tabela1[[#This Row],[Ano]])/COUNTIF(Tabela1[Mês],Tabela1[[#This Row],[Mês]])</f>
        <v>0.78767123287671237</v>
      </c>
      <c r="AK1348" s="20">
        <f>100%</f>
        <v>1</v>
      </c>
    </row>
    <row r="1349" spans="1:37" ht="18" customHeight="1" x14ac:dyDescent="0.25">
      <c r="A1349">
        <v>1284983897</v>
      </c>
      <c r="B1349" t="s">
        <v>575</v>
      </c>
      <c r="C1349" t="s">
        <v>576</v>
      </c>
      <c r="D1349" t="s">
        <v>40</v>
      </c>
      <c r="E1349" t="s">
        <v>31</v>
      </c>
      <c r="F1349" s="2">
        <v>46043.544000231479</v>
      </c>
      <c r="AC1349" s="24">
        <f t="shared" ca="1" si="43"/>
        <v>90.455999768520996</v>
      </c>
      <c r="AD1349" s="25" t="str">
        <f t="shared" ca="1" si="44"/>
        <v>&gt;60 dias</v>
      </c>
      <c r="AE1349" s="25">
        <f>MONTH(Tabela1[[#This Row],[Criado em]])</f>
        <v>1</v>
      </c>
      <c r="AF1349" s="25">
        <f>YEAR(Tabela1[[#This Row],[Criado em]])</f>
        <v>2026</v>
      </c>
      <c r="AG1349" s="25">
        <f>COUNTIFS(Tabela1[Mês],Tabela1[[#This Row],[Mês]])</f>
        <v>222</v>
      </c>
      <c r="AH1349" s="25">
        <f>COUNTIFS(Tabela1[Mês],Tabela1[[#This Row],[Mês]],Tabela1[Fase atual],"Recebido")</f>
        <v>174</v>
      </c>
      <c r="AI1349" s="26">
        <f>Tabela1[[#This Row],[Recebido_ Mes]]/Tabela1[[#This Row],[Total_Mes]]</f>
        <v>0.78378378378378377</v>
      </c>
      <c r="AJ1349" s="19">
        <f>COUNTIFS(Tabela1[Fase atual],"Recebido",Tabela1[Mês],Tabela1[[#This Row],[Mês]],Tabela1[Ano],Tabela1[[#This Row],[Ano]])/COUNTIF(Tabela1[Mês],Tabela1[[#This Row],[Mês]])</f>
        <v>0.78378378378378377</v>
      </c>
      <c r="AK1349" s="20">
        <f>100%</f>
        <v>1</v>
      </c>
    </row>
    <row r="1350" spans="1:37" ht="18" customHeight="1" x14ac:dyDescent="0.25">
      <c r="A1350">
        <v>1187232109</v>
      </c>
      <c r="B1350" t="s">
        <v>2008</v>
      </c>
      <c r="C1350" t="s">
        <v>2009</v>
      </c>
      <c r="D1350" t="s">
        <v>37</v>
      </c>
      <c r="E1350" t="s">
        <v>31</v>
      </c>
      <c r="F1350" s="2">
        <v>45870.851177210643</v>
      </c>
      <c r="AC1350" s="24">
        <f t="shared" ca="1" si="43"/>
        <v>263.14882278935693</v>
      </c>
      <c r="AD1350" s="25" t="str">
        <f t="shared" ca="1" si="44"/>
        <v>&gt;60 dias</v>
      </c>
      <c r="AE1350" s="25">
        <f>MONTH(Tabela1[[#This Row],[Criado em]])</f>
        <v>8</v>
      </c>
      <c r="AF1350" s="25">
        <f>YEAR(Tabela1[[#This Row],[Criado em]])</f>
        <v>2025</v>
      </c>
      <c r="AG1350" s="25">
        <f>COUNTIFS(Tabela1[Mês],Tabela1[[#This Row],[Mês]])</f>
        <v>146</v>
      </c>
      <c r="AH1350" s="25">
        <f>COUNTIFS(Tabela1[Mês],Tabela1[[#This Row],[Mês]],Tabela1[Fase atual],"Recebido")</f>
        <v>115</v>
      </c>
      <c r="AI1350" s="26">
        <f>Tabela1[[#This Row],[Recebido_ Mes]]/Tabela1[[#This Row],[Total_Mes]]</f>
        <v>0.78767123287671237</v>
      </c>
      <c r="AJ1350" s="19">
        <f>COUNTIFS(Tabela1[Fase atual],"Recebido",Tabela1[Mês],Tabela1[[#This Row],[Mês]],Tabela1[Ano],Tabela1[[#This Row],[Ano]])/COUNTIF(Tabela1[Mês],Tabela1[[#This Row],[Mês]])</f>
        <v>0.78767123287671237</v>
      </c>
      <c r="AK1350" s="20">
        <f>100%</f>
        <v>1</v>
      </c>
    </row>
    <row r="1351" spans="1:37" ht="18" customHeight="1" x14ac:dyDescent="0.25">
      <c r="A1351">
        <v>1266706929</v>
      </c>
      <c r="B1351" t="s">
        <v>46</v>
      </c>
      <c r="C1351" t="s">
        <v>2010</v>
      </c>
      <c r="D1351" t="s">
        <v>37</v>
      </c>
      <c r="E1351" t="s">
        <v>31</v>
      </c>
      <c r="F1351" s="2">
        <v>46001.799088726853</v>
      </c>
      <c r="AC1351" s="24">
        <f t="shared" ca="1" si="43"/>
        <v>132.20091127314663</v>
      </c>
      <c r="AD1351" s="25" t="str">
        <f t="shared" ca="1" si="44"/>
        <v>&gt;60 dias</v>
      </c>
      <c r="AE1351" s="25">
        <f>MONTH(Tabela1[[#This Row],[Criado em]])</f>
        <v>12</v>
      </c>
      <c r="AF1351" s="25">
        <f>YEAR(Tabela1[[#This Row],[Criado em]])</f>
        <v>2025</v>
      </c>
      <c r="AG1351" s="25">
        <f>COUNTIFS(Tabela1[Mês],Tabela1[[#This Row],[Mês]])</f>
        <v>207</v>
      </c>
      <c r="AH1351" s="25">
        <f>COUNTIFS(Tabela1[Mês],Tabela1[[#This Row],[Mês]],Tabela1[Fase atual],"Recebido")</f>
        <v>155</v>
      </c>
      <c r="AI1351" s="26">
        <f>Tabela1[[#This Row],[Recebido_ Mes]]/Tabela1[[#This Row],[Total_Mes]]</f>
        <v>0.74879227053140096</v>
      </c>
      <c r="AJ1351" s="19">
        <f>COUNTIFS(Tabela1[Fase atual],"Recebido",Tabela1[Mês],Tabela1[[#This Row],[Mês]],Tabela1[Ano],Tabela1[[#This Row],[Ano]])/COUNTIF(Tabela1[Mês],Tabela1[[#This Row],[Mês]])</f>
        <v>0.74879227053140096</v>
      </c>
      <c r="AK1351" s="20">
        <f>100%</f>
        <v>1</v>
      </c>
    </row>
    <row r="1352" spans="1:37" ht="18" customHeight="1" x14ac:dyDescent="0.25">
      <c r="A1352">
        <v>1217449674</v>
      </c>
      <c r="B1352" t="s">
        <v>2011</v>
      </c>
      <c r="C1352" t="s">
        <v>2012</v>
      </c>
      <c r="D1352" t="s">
        <v>37</v>
      </c>
      <c r="E1352" t="s">
        <v>31</v>
      </c>
      <c r="F1352" s="2">
        <v>45919.850318993049</v>
      </c>
      <c r="AC1352" s="24">
        <f t="shared" ca="1" si="43"/>
        <v>214.14968100695114</v>
      </c>
      <c r="AD1352" s="25" t="str">
        <f t="shared" ca="1" si="44"/>
        <v>&gt;60 dias</v>
      </c>
      <c r="AE1352" s="25">
        <f>MONTH(Tabela1[[#This Row],[Criado em]])</f>
        <v>9</v>
      </c>
      <c r="AF1352" s="25">
        <f>YEAR(Tabela1[[#This Row],[Criado em]])</f>
        <v>2025</v>
      </c>
      <c r="AG1352" s="25">
        <f>COUNTIFS(Tabela1[Mês],Tabela1[[#This Row],[Mês]])</f>
        <v>197</v>
      </c>
      <c r="AH1352" s="25">
        <f>COUNTIFS(Tabela1[Mês],Tabela1[[#This Row],[Mês]],Tabela1[Fase atual],"Recebido")</f>
        <v>152</v>
      </c>
      <c r="AI1352" s="26">
        <f>Tabela1[[#This Row],[Recebido_ Mes]]/Tabela1[[#This Row],[Total_Mes]]</f>
        <v>0.77157360406091369</v>
      </c>
      <c r="AJ1352" s="19">
        <f>COUNTIFS(Tabela1[Fase atual],"Recebido",Tabela1[Mês],Tabela1[[#This Row],[Mês]],Tabela1[Ano],Tabela1[[#This Row],[Ano]])/COUNTIF(Tabela1[Mês],Tabela1[[#This Row],[Mês]])</f>
        <v>0.77157360406091369</v>
      </c>
      <c r="AK1352" s="20">
        <f>100%</f>
        <v>1</v>
      </c>
    </row>
    <row r="1353" spans="1:37" ht="18" customHeight="1" x14ac:dyDescent="0.25">
      <c r="A1353">
        <v>1173790727</v>
      </c>
      <c r="B1353" t="s">
        <v>2013</v>
      </c>
      <c r="C1353" t="s">
        <v>2014</v>
      </c>
      <c r="D1353" t="s">
        <v>37</v>
      </c>
      <c r="E1353" t="s">
        <v>31</v>
      </c>
      <c r="F1353" s="2">
        <v>45847.851035347223</v>
      </c>
      <c r="AC1353" s="24">
        <f t="shared" ca="1" si="43"/>
        <v>286.14896465277707</v>
      </c>
      <c r="AD1353" s="25" t="str">
        <f t="shared" ca="1" si="44"/>
        <v>&gt;60 dias</v>
      </c>
      <c r="AE1353" s="25">
        <f>MONTH(Tabela1[[#This Row],[Criado em]])</f>
        <v>7</v>
      </c>
      <c r="AF1353" s="25">
        <f>YEAR(Tabela1[[#This Row],[Criado em]])</f>
        <v>2025</v>
      </c>
      <c r="AG1353" s="25">
        <f>COUNTIFS(Tabela1[Mês],Tabela1[[#This Row],[Mês]])</f>
        <v>177</v>
      </c>
      <c r="AH1353" s="25">
        <f>COUNTIFS(Tabela1[Mês],Tabela1[[#This Row],[Mês]],Tabela1[Fase atual],"Recebido")</f>
        <v>130</v>
      </c>
      <c r="AI1353" s="26">
        <f>Tabela1[[#This Row],[Recebido_ Mes]]/Tabela1[[#This Row],[Total_Mes]]</f>
        <v>0.7344632768361582</v>
      </c>
      <c r="AJ1353" s="19">
        <f>COUNTIFS(Tabela1[Fase atual],"Recebido",Tabela1[Mês],Tabela1[[#This Row],[Mês]],Tabela1[Ano],Tabela1[[#This Row],[Ano]])/COUNTIF(Tabela1[Mês],Tabela1[[#This Row],[Mês]])</f>
        <v>0.7344632768361582</v>
      </c>
      <c r="AK1353" s="20">
        <f>100%</f>
        <v>1</v>
      </c>
    </row>
    <row r="1354" spans="1:37" ht="18" customHeight="1" x14ac:dyDescent="0.25">
      <c r="A1354">
        <v>1270228261</v>
      </c>
      <c r="B1354" t="s">
        <v>2015</v>
      </c>
      <c r="C1354" t="s">
        <v>2016</v>
      </c>
      <c r="D1354" t="s">
        <v>37</v>
      </c>
      <c r="E1354" t="s">
        <v>31</v>
      </c>
      <c r="F1354" s="2">
        <v>46009.844313437497</v>
      </c>
      <c r="AC1354" s="24">
        <f t="shared" ca="1" si="43"/>
        <v>124.15568656250252</v>
      </c>
      <c r="AD1354" s="25" t="str">
        <f t="shared" ca="1" si="44"/>
        <v>&gt;60 dias</v>
      </c>
      <c r="AE1354" s="25">
        <f>MONTH(Tabela1[[#This Row],[Criado em]])</f>
        <v>12</v>
      </c>
      <c r="AF1354" s="25">
        <f>YEAR(Tabela1[[#This Row],[Criado em]])</f>
        <v>2025</v>
      </c>
      <c r="AG1354" s="25">
        <f>COUNTIFS(Tabela1[Mês],Tabela1[[#This Row],[Mês]])</f>
        <v>207</v>
      </c>
      <c r="AH1354" s="25">
        <f>COUNTIFS(Tabela1[Mês],Tabela1[[#This Row],[Mês]],Tabela1[Fase atual],"Recebido")</f>
        <v>155</v>
      </c>
      <c r="AI1354" s="26">
        <f>Tabela1[[#This Row],[Recebido_ Mes]]/Tabela1[[#This Row],[Total_Mes]]</f>
        <v>0.74879227053140096</v>
      </c>
      <c r="AJ1354" s="19">
        <f>COUNTIFS(Tabela1[Fase atual],"Recebido",Tabela1[Mês],Tabela1[[#This Row],[Mês]],Tabela1[Ano],Tabela1[[#This Row],[Ano]])/COUNTIF(Tabela1[Mês],Tabela1[[#This Row],[Mês]])</f>
        <v>0.74879227053140096</v>
      </c>
      <c r="AK1354" s="20">
        <f>100%</f>
        <v>1</v>
      </c>
    </row>
    <row r="1355" spans="1:37" ht="18" customHeight="1" x14ac:dyDescent="0.25">
      <c r="A1355">
        <v>1213257243</v>
      </c>
      <c r="B1355" t="s">
        <v>2011</v>
      </c>
      <c r="C1355" t="s">
        <v>2017</v>
      </c>
      <c r="D1355" t="s">
        <v>37</v>
      </c>
      <c r="E1355" t="s">
        <v>31</v>
      </c>
      <c r="F1355" s="2">
        <v>45912.641230671303</v>
      </c>
      <c r="AC1355" s="24">
        <f t="shared" ca="1" si="43"/>
        <v>221.35876932869724</v>
      </c>
      <c r="AD1355" s="25" t="str">
        <f t="shared" ca="1" si="44"/>
        <v>&gt;60 dias</v>
      </c>
      <c r="AE1355" s="25">
        <f>MONTH(Tabela1[[#This Row],[Criado em]])</f>
        <v>9</v>
      </c>
      <c r="AF1355" s="25">
        <f>YEAR(Tabela1[[#This Row],[Criado em]])</f>
        <v>2025</v>
      </c>
      <c r="AG1355" s="25">
        <f>COUNTIFS(Tabela1[Mês],Tabela1[[#This Row],[Mês]])</f>
        <v>197</v>
      </c>
      <c r="AH1355" s="25">
        <f>COUNTIFS(Tabela1[Mês],Tabela1[[#This Row],[Mês]],Tabela1[Fase atual],"Recebido")</f>
        <v>152</v>
      </c>
      <c r="AI1355" s="26">
        <f>Tabela1[[#This Row],[Recebido_ Mes]]/Tabela1[[#This Row],[Total_Mes]]</f>
        <v>0.77157360406091369</v>
      </c>
      <c r="AJ1355" s="19">
        <f>COUNTIFS(Tabela1[Fase atual],"Recebido",Tabela1[Mês],Tabela1[[#This Row],[Mês]],Tabela1[Ano],Tabela1[[#This Row],[Ano]])/COUNTIF(Tabela1[Mês],Tabela1[[#This Row],[Mês]])</f>
        <v>0.77157360406091369</v>
      </c>
      <c r="AK1355" s="20">
        <f>100%</f>
        <v>1</v>
      </c>
    </row>
    <row r="1356" spans="1:37" ht="18" customHeight="1" x14ac:dyDescent="0.25">
      <c r="A1356">
        <v>1300140751</v>
      </c>
      <c r="B1356" t="s">
        <v>577</v>
      </c>
      <c r="C1356" t="s">
        <v>578</v>
      </c>
      <c r="D1356" t="s">
        <v>40</v>
      </c>
      <c r="E1356" t="s">
        <v>31</v>
      </c>
      <c r="F1356" s="2">
        <v>46073.545555578698</v>
      </c>
      <c r="AC1356" s="24">
        <f t="shared" ca="1" si="43"/>
        <v>60.454444421302469</v>
      </c>
      <c r="AD1356" s="25" t="str">
        <f t="shared" ca="1" si="44"/>
        <v>&gt;60 dias</v>
      </c>
      <c r="AE1356" s="25">
        <f>MONTH(Tabela1[[#This Row],[Criado em]])</f>
        <v>2</v>
      </c>
      <c r="AF1356" s="25">
        <f>YEAR(Tabela1[[#This Row],[Criado em]])</f>
        <v>2026</v>
      </c>
      <c r="AG1356" s="25">
        <f>COUNTIFS(Tabela1[Mês],Tabela1[[#This Row],[Mês]])</f>
        <v>197</v>
      </c>
      <c r="AH1356" s="25">
        <f>COUNTIFS(Tabela1[Mês],Tabela1[[#This Row],[Mês]],Tabela1[Fase atual],"Recebido")</f>
        <v>124</v>
      </c>
      <c r="AI1356" s="26">
        <f>Tabela1[[#This Row],[Recebido_ Mes]]/Tabela1[[#This Row],[Total_Mes]]</f>
        <v>0.62944162436548223</v>
      </c>
      <c r="AJ1356" s="19">
        <f>COUNTIFS(Tabela1[Fase atual],"Recebido",Tabela1[Mês],Tabela1[[#This Row],[Mês]],Tabela1[Ano],Tabela1[[#This Row],[Ano]])/COUNTIF(Tabela1[Mês],Tabela1[[#This Row],[Mês]])</f>
        <v>0.62944162436548223</v>
      </c>
      <c r="AK1356" s="20">
        <f>100%</f>
        <v>1</v>
      </c>
    </row>
    <row r="1357" spans="1:37" ht="18" customHeight="1" x14ac:dyDescent="0.25">
      <c r="A1357">
        <v>1210539024</v>
      </c>
      <c r="B1357" t="s">
        <v>48</v>
      </c>
      <c r="C1357" t="s">
        <v>579</v>
      </c>
      <c r="D1357" t="s">
        <v>202</v>
      </c>
      <c r="E1357" t="s">
        <v>31</v>
      </c>
      <c r="F1357" s="2">
        <v>45908.850724918979</v>
      </c>
      <c r="AC1357" s="24">
        <f t="shared" ca="1" si="43"/>
        <v>225.14927508102119</v>
      </c>
      <c r="AD1357" s="25" t="str">
        <f t="shared" ca="1" si="44"/>
        <v>&gt;60 dias</v>
      </c>
      <c r="AE1357" s="25">
        <f>MONTH(Tabela1[[#This Row],[Criado em]])</f>
        <v>9</v>
      </c>
      <c r="AF1357" s="25">
        <f>YEAR(Tabela1[[#This Row],[Criado em]])</f>
        <v>2025</v>
      </c>
      <c r="AG1357" s="25">
        <f>COUNTIFS(Tabela1[Mês],Tabela1[[#This Row],[Mês]])</f>
        <v>197</v>
      </c>
      <c r="AH1357" s="25">
        <f>COUNTIFS(Tabela1[Mês],Tabela1[[#This Row],[Mês]],Tabela1[Fase atual],"Recebido")</f>
        <v>152</v>
      </c>
      <c r="AI1357" s="26">
        <f>Tabela1[[#This Row],[Recebido_ Mes]]/Tabela1[[#This Row],[Total_Mes]]</f>
        <v>0.77157360406091369</v>
      </c>
      <c r="AJ1357" s="19">
        <f>COUNTIFS(Tabela1[Fase atual],"Recebido",Tabela1[Mês],Tabela1[[#This Row],[Mês]],Tabela1[Ano],Tabela1[[#This Row],[Ano]])/COUNTIF(Tabela1[Mês],Tabela1[[#This Row],[Mês]])</f>
        <v>0.77157360406091369</v>
      </c>
      <c r="AK1357" s="20">
        <f>100%</f>
        <v>1</v>
      </c>
    </row>
    <row r="1358" spans="1:37" ht="18" customHeight="1" x14ac:dyDescent="0.25">
      <c r="A1358">
        <v>1298847601</v>
      </c>
      <c r="B1358" t="s">
        <v>48</v>
      </c>
      <c r="C1358" t="s">
        <v>579</v>
      </c>
      <c r="D1358" t="s">
        <v>40</v>
      </c>
      <c r="E1358" t="s">
        <v>31</v>
      </c>
      <c r="F1358" s="2">
        <v>46071.62906663194</v>
      </c>
      <c r="AC1358" s="24">
        <f t="shared" ca="1" si="43"/>
        <v>62.370933368059923</v>
      </c>
      <c r="AD1358" s="25" t="str">
        <f t="shared" ca="1" si="44"/>
        <v>&gt;60 dias</v>
      </c>
      <c r="AE1358" s="25">
        <f>MONTH(Tabela1[[#This Row],[Criado em]])</f>
        <v>2</v>
      </c>
      <c r="AF1358" s="25">
        <f>YEAR(Tabela1[[#This Row],[Criado em]])</f>
        <v>2026</v>
      </c>
      <c r="AG1358" s="25">
        <f>COUNTIFS(Tabela1[Mês],Tabela1[[#This Row],[Mês]])</f>
        <v>197</v>
      </c>
      <c r="AH1358" s="25">
        <f>COUNTIFS(Tabela1[Mês],Tabela1[[#This Row],[Mês]],Tabela1[Fase atual],"Recebido")</f>
        <v>124</v>
      </c>
      <c r="AI1358" s="26">
        <f>Tabela1[[#This Row],[Recebido_ Mes]]/Tabela1[[#This Row],[Total_Mes]]</f>
        <v>0.62944162436548223</v>
      </c>
      <c r="AJ1358" s="19">
        <f>COUNTIFS(Tabela1[Fase atual],"Recebido",Tabela1[Mês],Tabela1[[#This Row],[Mês]],Tabela1[Ano],Tabela1[[#This Row],[Ano]])/COUNTIF(Tabela1[Mês],Tabela1[[#This Row],[Mês]])</f>
        <v>0.62944162436548223</v>
      </c>
      <c r="AK1358" s="20">
        <f>100%</f>
        <v>1</v>
      </c>
    </row>
    <row r="1359" spans="1:37" ht="18" customHeight="1" x14ac:dyDescent="0.25">
      <c r="A1359">
        <v>1219402519</v>
      </c>
      <c r="B1359" t="s">
        <v>2018</v>
      </c>
      <c r="C1359" t="s">
        <v>2019</v>
      </c>
      <c r="D1359" t="s">
        <v>37</v>
      </c>
      <c r="E1359" t="s">
        <v>31</v>
      </c>
      <c r="F1359" s="2">
        <v>45922.851740462967</v>
      </c>
      <c r="AC1359" s="24">
        <f t="shared" ca="1" si="43"/>
        <v>211.14825953703257</v>
      </c>
      <c r="AD1359" s="25" t="str">
        <f t="shared" ca="1" si="44"/>
        <v>&gt;60 dias</v>
      </c>
      <c r="AE1359" s="25">
        <f>MONTH(Tabela1[[#This Row],[Criado em]])</f>
        <v>9</v>
      </c>
      <c r="AF1359" s="25">
        <f>YEAR(Tabela1[[#This Row],[Criado em]])</f>
        <v>2025</v>
      </c>
      <c r="AG1359" s="25">
        <f>COUNTIFS(Tabela1[Mês],Tabela1[[#This Row],[Mês]])</f>
        <v>197</v>
      </c>
      <c r="AH1359" s="25">
        <f>COUNTIFS(Tabela1[Mês],Tabela1[[#This Row],[Mês]],Tabela1[Fase atual],"Recebido")</f>
        <v>152</v>
      </c>
      <c r="AI1359" s="26">
        <f>Tabela1[[#This Row],[Recebido_ Mes]]/Tabela1[[#This Row],[Total_Mes]]</f>
        <v>0.77157360406091369</v>
      </c>
      <c r="AJ1359" s="19">
        <f>COUNTIFS(Tabela1[Fase atual],"Recebido",Tabela1[Mês],Tabela1[[#This Row],[Mês]],Tabela1[Ano],Tabela1[[#This Row],[Ano]])/COUNTIF(Tabela1[Mês],Tabela1[[#This Row],[Mês]])</f>
        <v>0.77157360406091369</v>
      </c>
      <c r="AK1359" s="20">
        <f>100%</f>
        <v>1</v>
      </c>
    </row>
    <row r="1360" spans="1:37" ht="18" customHeight="1" x14ac:dyDescent="0.25">
      <c r="A1360">
        <v>1219402031</v>
      </c>
      <c r="B1360" t="s">
        <v>2018</v>
      </c>
      <c r="C1360" t="s">
        <v>2019</v>
      </c>
      <c r="D1360" t="s">
        <v>37</v>
      </c>
      <c r="E1360" t="s">
        <v>31</v>
      </c>
      <c r="F1360" s="2">
        <v>45922.851294189808</v>
      </c>
      <c r="AC1360" s="24">
        <f t="shared" ca="1" si="43"/>
        <v>211.14870581019204</v>
      </c>
      <c r="AD1360" s="25" t="str">
        <f t="shared" ca="1" si="44"/>
        <v>&gt;60 dias</v>
      </c>
      <c r="AE1360" s="25">
        <f>MONTH(Tabela1[[#This Row],[Criado em]])</f>
        <v>9</v>
      </c>
      <c r="AF1360" s="25">
        <f>YEAR(Tabela1[[#This Row],[Criado em]])</f>
        <v>2025</v>
      </c>
      <c r="AG1360" s="25">
        <f>COUNTIFS(Tabela1[Mês],Tabela1[[#This Row],[Mês]])</f>
        <v>197</v>
      </c>
      <c r="AH1360" s="25">
        <f>COUNTIFS(Tabela1[Mês],Tabela1[[#This Row],[Mês]],Tabela1[Fase atual],"Recebido")</f>
        <v>152</v>
      </c>
      <c r="AI1360" s="26">
        <f>Tabela1[[#This Row],[Recebido_ Mes]]/Tabela1[[#This Row],[Total_Mes]]</f>
        <v>0.77157360406091369</v>
      </c>
      <c r="AJ1360" s="19">
        <f>COUNTIFS(Tabela1[Fase atual],"Recebido",Tabela1[Mês],Tabela1[[#This Row],[Mês]],Tabela1[Ano],Tabela1[[#This Row],[Ano]])/COUNTIF(Tabela1[Mês],Tabela1[[#This Row],[Mês]])</f>
        <v>0.77157360406091369</v>
      </c>
      <c r="AK1360" s="20">
        <f>100%</f>
        <v>1</v>
      </c>
    </row>
    <row r="1361" spans="1:37" ht="18" customHeight="1" x14ac:dyDescent="0.25">
      <c r="A1361">
        <v>1270720601</v>
      </c>
      <c r="B1361" t="s">
        <v>2020</v>
      </c>
      <c r="C1361" t="s">
        <v>2021</v>
      </c>
      <c r="D1361" t="s">
        <v>37</v>
      </c>
      <c r="E1361" t="s">
        <v>31</v>
      </c>
      <c r="F1361" s="2">
        <v>46010.757620925928</v>
      </c>
      <c r="AC1361" s="24">
        <f t="shared" ca="1" si="43"/>
        <v>123.24237907407223</v>
      </c>
      <c r="AD1361" s="25" t="str">
        <f t="shared" ca="1" si="44"/>
        <v>&gt;60 dias</v>
      </c>
      <c r="AE1361" s="25">
        <f>MONTH(Tabela1[[#This Row],[Criado em]])</f>
        <v>12</v>
      </c>
      <c r="AF1361" s="25">
        <f>YEAR(Tabela1[[#This Row],[Criado em]])</f>
        <v>2025</v>
      </c>
      <c r="AG1361" s="25">
        <f>COUNTIFS(Tabela1[Mês],Tabela1[[#This Row],[Mês]])</f>
        <v>207</v>
      </c>
      <c r="AH1361" s="25">
        <f>COUNTIFS(Tabela1[Mês],Tabela1[[#This Row],[Mês]],Tabela1[Fase atual],"Recebido")</f>
        <v>155</v>
      </c>
      <c r="AI1361" s="26">
        <f>Tabela1[[#This Row],[Recebido_ Mes]]/Tabela1[[#This Row],[Total_Mes]]</f>
        <v>0.74879227053140096</v>
      </c>
      <c r="AJ1361" s="19">
        <f>COUNTIFS(Tabela1[Fase atual],"Recebido",Tabela1[Mês],Tabela1[[#This Row],[Mês]],Tabela1[Ano],Tabela1[[#This Row],[Ano]])/COUNTIF(Tabela1[Mês],Tabela1[[#This Row],[Mês]])</f>
        <v>0.74879227053140096</v>
      </c>
      <c r="AK1361" s="20">
        <f>100%</f>
        <v>1</v>
      </c>
    </row>
    <row r="1362" spans="1:37" ht="18" customHeight="1" x14ac:dyDescent="0.25">
      <c r="A1362">
        <v>1220715079</v>
      </c>
      <c r="B1362" t="s">
        <v>2020</v>
      </c>
      <c r="C1362" t="s">
        <v>2022</v>
      </c>
      <c r="D1362" t="s">
        <v>37</v>
      </c>
      <c r="E1362" t="s">
        <v>31</v>
      </c>
      <c r="F1362" s="2">
        <v>45924.743451909722</v>
      </c>
      <c r="AC1362" s="24">
        <f t="shared" ca="1" si="43"/>
        <v>209.25654809027765</v>
      </c>
      <c r="AD1362" s="25" t="str">
        <f t="shared" ca="1" si="44"/>
        <v>&gt;60 dias</v>
      </c>
      <c r="AE1362" s="25">
        <f>MONTH(Tabela1[[#This Row],[Criado em]])</f>
        <v>9</v>
      </c>
      <c r="AF1362" s="25">
        <f>YEAR(Tabela1[[#This Row],[Criado em]])</f>
        <v>2025</v>
      </c>
      <c r="AG1362" s="25">
        <f>COUNTIFS(Tabela1[Mês],Tabela1[[#This Row],[Mês]])</f>
        <v>197</v>
      </c>
      <c r="AH1362" s="25">
        <f>COUNTIFS(Tabela1[Mês],Tabela1[[#This Row],[Mês]],Tabela1[Fase atual],"Recebido")</f>
        <v>152</v>
      </c>
      <c r="AI1362" s="26">
        <f>Tabela1[[#This Row],[Recebido_ Mes]]/Tabela1[[#This Row],[Total_Mes]]</f>
        <v>0.77157360406091369</v>
      </c>
      <c r="AJ1362" s="19">
        <f>COUNTIFS(Tabela1[Fase atual],"Recebido",Tabela1[Mês],Tabela1[[#This Row],[Mês]],Tabela1[Ano],Tabela1[[#This Row],[Ano]])/COUNTIF(Tabela1[Mês],Tabela1[[#This Row],[Mês]])</f>
        <v>0.77157360406091369</v>
      </c>
      <c r="AK1362" s="20">
        <f>100%</f>
        <v>1</v>
      </c>
    </row>
    <row r="1363" spans="1:37" ht="18" customHeight="1" x14ac:dyDescent="0.25">
      <c r="A1363">
        <v>1291012636</v>
      </c>
      <c r="B1363" t="s">
        <v>580</v>
      </c>
      <c r="C1363" t="s">
        <v>581</v>
      </c>
      <c r="D1363" t="s">
        <v>37</v>
      </c>
      <c r="E1363" t="s">
        <v>31</v>
      </c>
      <c r="F1363" s="2">
        <v>46052.704436631953</v>
      </c>
      <c r="AC1363" s="24">
        <f t="shared" ca="1" si="43"/>
        <v>81.295563368046714</v>
      </c>
      <c r="AD1363" s="25" t="str">
        <f t="shared" ca="1" si="44"/>
        <v>&gt;60 dias</v>
      </c>
      <c r="AE1363" s="25">
        <f>MONTH(Tabela1[[#This Row],[Criado em]])</f>
        <v>1</v>
      </c>
      <c r="AF1363" s="25">
        <f>YEAR(Tabela1[[#This Row],[Criado em]])</f>
        <v>2026</v>
      </c>
      <c r="AG1363" s="25">
        <f>COUNTIFS(Tabela1[Mês],Tabela1[[#This Row],[Mês]])</f>
        <v>222</v>
      </c>
      <c r="AH1363" s="25">
        <f>COUNTIFS(Tabela1[Mês],Tabela1[[#This Row],[Mês]],Tabela1[Fase atual],"Recebido")</f>
        <v>174</v>
      </c>
      <c r="AI1363" s="26">
        <f>Tabela1[[#This Row],[Recebido_ Mes]]/Tabela1[[#This Row],[Total_Mes]]</f>
        <v>0.78378378378378377</v>
      </c>
      <c r="AJ1363" s="19">
        <f>COUNTIFS(Tabela1[Fase atual],"Recebido",Tabela1[Mês],Tabela1[[#This Row],[Mês]],Tabela1[Ano],Tabela1[[#This Row],[Ano]])/COUNTIF(Tabela1[Mês],Tabela1[[#This Row],[Mês]])</f>
        <v>0.78378378378378377</v>
      </c>
      <c r="AK1363" s="20">
        <f>100%</f>
        <v>1</v>
      </c>
    </row>
    <row r="1364" spans="1:37" ht="18" customHeight="1" x14ac:dyDescent="0.25">
      <c r="A1364">
        <v>1270510614</v>
      </c>
      <c r="B1364" t="s">
        <v>2023</v>
      </c>
      <c r="C1364" t="s">
        <v>2024</v>
      </c>
      <c r="D1364" t="s">
        <v>37</v>
      </c>
      <c r="E1364" t="s">
        <v>31</v>
      </c>
      <c r="F1364" s="2">
        <v>46010.582415949073</v>
      </c>
      <c r="AC1364" s="24">
        <f t="shared" ca="1" si="43"/>
        <v>123.41758405092696</v>
      </c>
      <c r="AD1364" s="25" t="str">
        <f t="shared" ca="1" si="44"/>
        <v>&gt;60 dias</v>
      </c>
      <c r="AE1364" s="25">
        <f>MONTH(Tabela1[[#This Row],[Criado em]])</f>
        <v>12</v>
      </c>
      <c r="AF1364" s="25">
        <f>YEAR(Tabela1[[#This Row],[Criado em]])</f>
        <v>2025</v>
      </c>
      <c r="AG1364" s="25">
        <f>COUNTIFS(Tabela1[Mês],Tabela1[[#This Row],[Mês]])</f>
        <v>207</v>
      </c>
      <c r="AH1364" s="25">
        <f>COUNTIFS(Tabela1[Mês],Tabela1[[#This Row],[Mês]],Tabela1[Fase atual],"Recebido")</f>
        <v>155</v>
      </c>
      <c r="AI1364" s="26">
        <f>Tabela1[[#This Row],[Recebido_ Mes]]/Tabela1[[#This Row],[Total_Mes]]</f>
        <v>0.74879227053140096</v>
      </c>
      <c r="AJ1364" s="19">
        <f>COUNTIFS(Tabela1[Fase atual],"Recebido",Tabela1[Mês],Tabela1[[#This Row],[Mês]],Tabela1[Ano],Tabela1[[#This Row],[Ano]])/COUNTIF(Tabela1[Mês],Tabela1[[#This Row],[Mês]])</f>
        <v>0.74879227053140096</v>
      </c>
      <c r="AK1364" s="20">
        <f>100%</f>
        <v>1</v>
      </c>
    </row>
    <row r="1365" spans="1:37" ht="18" customHeight="1" x14ac:dyDescent="0.25">
      <c r="A1365">
        <v>1264758557</v>
      </c>
      <c r="B1365" t="s">
        <v>2025</v>
      </c>
      <c r="C1365" t="s">
        <v>2026</v>
      </c>
      <c r="D1365" t="s">
        <v>37</v>
      </c>
      <c r="E1365" t="s">
        <v>31</v>
      </c>
      <c r="F1365" s="2">
        <v>45996.798817523137</v>
      </c>
      <c r="AC1365" s="24">
        <f t="shared" ca="1" si="43"/>
        <v>137.20118247686332</v>
      </c>
      <c r="AD1365" s="25" t="str">
        <f t="shared" ca="1" si="44"/>
        <v>&gt;60 dias</v>
      </c>
      <c r="AE1365" s="25">
        <f>MONTH(Tabela1[[#This Row],[Criado em]])</f>
        <v>12</v>
      </c>
      <c r="AF1365" s="25">
        <f>YEAR(Tabela1[[#This Row],[Criado em]])</f>
        <v>2025</v>
      </c>
      <c r="AG1365" s="25">
        <f>COUNTIFS(Tabela1[Mês],Tabela1[[#This Row],[Mês]])</f>
        <v>207</v>
      </c>
      <c r="AH1365" s="25">
        <f>COUNTIFS(Tabela1[Mês],Tabela1[[#This Row],[Mês]],Tabela1[Fase atual],"Recebido")</f>
        <v>155</v>
      </c>
      <c r="AI1365" s="26">
        <f>Tabela1[[#This Row],[Recebido_ Mes]]/Tabela1[[#This Row],[Total_Mes]]</f>
        <v>0.74879227053140096</v>
      </c>
      <c r="AJ1365" s="19">
        <f>COUNTIFS(Tabela1[Fase atual],"Recebido",Tabela1[Mês],Tabela1[[#This Row],[Mês]],Tabela1[Ano],Tabela1[[#This Row],[Ano]])/COUNTIF(Tabela1[Mês],Tabela1[[#This Row],[Mês]])</f>
        <v>0.74879227053140096</v>
      </c>
      <c r="AK1365" s="20">
        <f>100%</f>
        <v>1</v>
      </c>
    </row>
    <row r="1366" spans="1:37" ht="18" customHeight="1" x14ac:dyDescent="0.25">
      <c r="A1366">
        <v>1198103599</v>
      </c>
      <c r="B1366" t="s">
        <v>180</v>
      </c>
      <c r="C1366" t="s">
        <v>2027</v>
      </c>
      <c r="D1366" t="s">
        <v>37</v>
      </c>
      <c r="E1366" t="s">
        <v>31</v>
      </c>
      <c r="F1366" s="2">
        <v>45888.855679930552</v>
      </c>
      <c r="AC1366" s="24">
        <f t="shared" ca="1" si="43"/>
        <v>245.14432006944844</v>
      </c>
      <c r="AD1366" s="25" t="str">
        <f t="shared" ca="1" si="44"/>
        <v>&gt;60 dias</v>
      </c>
      <c r="AE1366" s="25">
        <f>MONTH(Tabela1[[#This Row],[Criado em]])</f>
        <v>8</v>
      </c>
      <c r="AF1366" s="25">
        <f>YEAR(Tabela1[[#This Row],[Criado em]])</f>
        <v>2025</v>
      </c>
      <c r="AG1366" s="25">
        <f>COUNTIFS(Tabela1[Mês],Tabela1[[#This Row],[Mês]])</f>
        <v>146</v>
      </c>
      <c r="AH1366" s="25">
        <f>COUNTIFS(Tabela1[Mês],Tabela1[[#This Row],[Mês]],Tabela1[Fase atual],"Recebido")</f>
        <v>115</v>
      </c>
      <c r="AI1366" s="26">
        <f>Tabela1[[#This Row],[Recebido_ Mes]]/Tabela1[[#This Row],[Total_Mes]]</f>
        <v>0.78767123287671237</v>
      </c>
      <c r="AJ1366" s="19">
        <f>COUNTIFS(Tabela1[Fase atual],"Recebido",Tabela1[Mês],Tabela1[[#This Row],[Mês]],Tabela1[Ano],Tabela1[[#This Row],[Ano]])/COUNTIF(Tabela1[Mês],Tabela1[[#This Row],[Mês]])</f>
        <v>0.78767123287671237</v>
      </c>
      <c r="AK1366" s="20">
        <f>100%</f>
        <v>1</v>
      </c>
    </row>
    <row r="1367" spans="1:37" ht="18" customHeight="1" x14ac:dyDescent="0.25">
      <c r="A1367">
        <v>1203232261</v>
      </c>
      <c r="B1367" t="s">
        <v>2028</v>
      </c>
      <c r="C1367" t="s">
        <v>2029</v>
      </c>
      <c r="D1367" t="s">
        <v>37</v>
      </c>
      <c r="E1367" t="s">
        <v>31</v>
      </c>
      <c r="F1367" s="2">
        <v>45896.851365694441</v>
      </c>
      <c r="AC1367" s="24">
        <f t="shared" ca="1" si="43"/>
        <v>237.14863430555852</v>
      </c>
      <c r="AD1367" s="25" t="str">
        <f t="shared" ca="1" si="44"/>
        <v>&gt;60 dias</v>
      </c>
      <c r="AE1367" s="25">
        <f>MONTH(Tabela1[[#This Row],[Criado em]])</f>
        <v>8</v>
      </c>
      <c r="AF1367" s="25">
        <f>YEAR(Tabela1[[#This Row],[Criado em]])</f>
        <v>2025</v>
      </c>
      <c r="AG1367" s="25">
        <f>COUNTIFS(Tabela1[Mês],Tabela1[[#This Row],[Mês]])</f>
        <v>146</v>
      </c>
      <c r="AH1367" s="25">
        <f>COUNTIFS(Tabela1[Mês],Tabela1[[#This Row],[Mês]],Tabela1[Fase atual],"Recebido")</f>
        <v>115</v>
      </c>
      <c r="AI1367" s="26">
        <f>Tabela1[[#This Row],[Recebido_ Mes]]/Tabela1[[#This Row],[Total_Mes]]</f>
        <v>0.78767123287671237</v>
      </c>
      <c r="AJ1367" s="19">
        <f>COUNTIFS(Tabela1[Fase atual],"Recebido",Tabela1[Mês],Tabela1[[#This Row],[Mês]],Tabela1[Ano],Tabela1[[#This Row],[Ano]])/COUNTIF(Tabela1[Mês],Tabela1[[#This Row],[Mês]])</f>
        <v>0.78767123287671237</v>
      </c>
      <c r="AK1367" s="20">
        <f>100%</f>
        <v>1</v>
      </c>
    </row>
    <row r="1368" spans="1:37" ht="18" customHeight="1" x14ac:dyDescent="0.25">
      <c r="A1368">
        <v>1214799637</v>
      </c>
      <c r="B1368" t="s">
        <v>434</v>
      </c>
      <c r="C1368" t="s">
        <v>2030</v>
      </c>
      <c r="D1368" t="s">
        <v>40</v>
      </c>
      <c r="E1368" t="s">
        <v>31</v>
      </c>
      <c r="F1368" s="2">
        <v>45915.852062777783</v>
      </c>
      <c r="AC1368" s="24">
        <f t="shared" ca="1" si="43"/>
        <v>218.14793722221657</v>
      </c>
      <c r="AD1368" s="25" t="str">
        <f t="shared" ca="1" si="44"/>
        <v>&gt;60 dias</v>
      </c>
      <c r="AE1368" s="25">
        <f>MONTH(Tabela1[[#This Row],[Criado em]])</f>
        <v>9</v>
      </c>
      <c r="AF1368" s="25">
        <f>YEAR(Tabela1[[#This Row],[Criado em]])</f>
        <v>2025</v>
      </c>
      <c r="AG1368" s="25">
        <f>COUNTIFS(Tabela1[Mês],Tabela1[[#This Row],[Mês]])</f>
        <v>197</v>
      </c>
      <c r="AH1368" s="25">
        <f>COUNTIFS(Tabela1[Mês],Tabela1[[#This Row],[Mês]],Tabela1[Fase atual],"Recebido")</f>
        <v>152</v>
      </c>
      <c r="AI1368" s="26">
        <f>Tabela1[[#This Row],[Recebido_ Mes]]/Tabela1[[#This Row],[Total_Mes]]</f>
        <v>0.77157360406091369</v>
      </c>
      <c r="AJ1368" s="19">
        <f>COUNTIFS(Tabela1[Fase atual],"Recebido",Tabela1[Mês],Tabela1[[#This Row],[Mês]],Tabela1[Ano],Tabela1[[#This Row],[Ano]])/COUNTIF(Tabela1[Mês],Tabela1[[#This Row],[Mês]])</f>
        <v>0.77157360406091369</v>
      </c>
      <c r="AK1368" s="20">
        <f>100%</f>
        <v>1</v>
      </c>
    </row>
    <row r="1369" spans="1:37" ht="18" customHeight="1" x14ac:dyDescent="0.25">
      <c r="A1369">
        <v>1267299202</v>
      </c>
      <c r="B1369" t="s">
        <v>434</v>
      </c>
      <c r="C1369" t="s">
        <v>2031</v>
      </c>
      <c r="D1369" t="s">
        <v>40</v>
      </c>
      <c r="E1369" t="s">
        <v>31</v>
      </c>
      <c r="F1369" s="2">
        <v>46002.918340208329</v>
      </c>
      <c r="AC1369" s="24">
        <f t="shared" ca="1" si="43"/>
        <v>131.08165979167097</v>
      </c>
      <c r="AD1369" s="25" t="str">
        <f t="shared" ca="1" si="44"/>
        <v>&gt;60 dias</v>
      </c>
      <c r="AE1369" s="25">
        <f>MONTH(Tabela1[[#This Row],[Criado em]])</f>
        <v>12</v>
      </c>
      <c r="AF1369" s="25">
        <f>YEAR(Tabela1[[#This Row],[Criado em]])</f>
        <v>2025</v>
      </c>
      <c r="AG1369" s="25">
        <f>COUNTIFS(Tabela1[Mês],Tabela1[[#This Row],[Mês]])</f>
        <v>207</v>
      </c>
      <c r="AH1369" s="25">
        <f>COUNTIFS(Tabela1[Mês],Tabela1[[#This Row],[Mês]],Tabela1[Fase atual],"Recebido")</f>
        <v>155</v>
      </c>
      <c r="AI1369" s="26">
        <f>Tabela1[[#This Row],[Recebido_ Mes]]/Tabela1[[#This Row],[Total_Mes]]</f>
        <v>0.74879227053140096</v>
      </c>
      <c r="AJ1369" s="19">
        <f>COUNTIFS(Tabela1[Fase atual],"Recebido",Tabela1[Mês],Tabela1[[#This Row],[Mês]],Tabela1[Ano],Tabela1[[#This Row],[Ano]])/COUNTIF(Tabela1[Mês],Tabela1[[#This Row],[Mês]])</f>
        <v>0.74879227053140096</v>
      </c>
      <c r="AK1369" s="20">
        <f>100%</f>
        <v>1</v>
      </c>
    </row>
    <row r="1370" spans="1:37" ht="18" customHeight="1" x14ac:dyDescent="0.25">
      <c r="A1370">
        <v>1253463660</v>
      </c>
      <c r="B1370" t="s">
        <v>434</v>
      </c>
      <c r="C1370" t="s">
        <v>2032</v>
      </c>
      <c r="D1370" t="s">
        <v>37</v>
      </c>
      <c r="E1370" t="s">
        <v>31</v>
      </c>
      <c r="F1370" s="2">
        <v>45972.794272037027</v>
      </c>
      <c r="AC1370" s="24">
        <f t="shared" ca="1" si="43"/>
        <v>161.20572796297347</v>
      </c>
      <c r="AD1370" s="25" t="str">
        <f t="shared" ca="1" si="44"/>
        <v>&gt;60 dias</v>
      </c>
      <c r="AE1370" s="25">
        <f>MONTH(Tabela1[[#This Row],[Criado em]])</f>
        <v>11</v>
      </c>
      <c r="AF1370" s="25">
        <f>YEAR(Tabela1[[#This Row],[Criado em]])</f>
        <v>2025</v>
      </c>
      <c r="AG1370" s="25">
        <f>COUNTIFS(Tabela1[Mês],Tabela1[[#This Row],[Mês]])</f>
        <v>130</v>
      </c>
      <c r="AH1370" s="25">
        <f>COUNTIFS(Tabela1[Mês],Tabela1[[#This Row],[Mês]],Tabela1[Fase atual],"Recebido")</f>
        <v>100</v>
      </c>
      <c r="AI1370" s="26">
        <f>Tabela1[[#This Row],[Recebido_ Mes]]/Tabela1[[#This Row],[Total_Mes]]</f>
        <v>0.76923076923076927</v>
      </c>
      <c r="AJ1370" s="19">
        <f>COUNTIFS(Tabela1[Fase atual],"Recebido",Tabela1[Mês],Tabela1[[#This Row],[Mês]],Tabela1[Ano],Tabela1[[#This Row],[Ano]])/COUNTIF(Tabela1[Mês],Tabela1[[#This Row],[Mês]])</f>
        <v>0.76923076923076927</v>
      </c>
      <c r="AK1370" s="20">
        <f>100%</f>
        <v>1</v>
      </c>
    </row>
    <row r="1371" spans="1:37" ht="18" customHeight="1" x14ac:dyDescent="0.25">
      <c r="A1371">
        <v>1223688356</v>
      </c>
      <c r="B1371" t="s">
        <v>434</v>
      </c>
      <c r="C1371" t="s">
        <v>2032</v>
      </c>
      <c r="D1371" t="s">
        <v>37</v>
      </c>
      <c r="E1371" t="s">
        <v>31</v>
      </c>
      <c r="F1371" s="2">
        <v>45929.643785312503</v>
      </c>
      <c r="AC1371" s="24">
        <f t="shared" ca="1" si="43"/>
        <v>204.35621468749741</v>
      </c>
      <c r="AD1371" s="25" t="str">
        <f t="shared" ca="1" si="44"/>
        <v>&gt;60 dias</v>
      </c>
      <c r="AE1371" s="25">
        <f>MONTH(Tabela1[[#This Row],[Criado em]])</f>
        <v>9</v>
      </c>
      <c r="AF1371" s="25">
        <f>YEAR(Tabela1[[#This Row],[Criado em]])</f>
        <v>2025</v>
      </c>
      <c r="AG1371" s="25">
        <f>COUNTIFS(Tabela1[Mês],Tabela1[[#This Row],[Mês]])</f>
        <v>197</v>
      </c>
      <c r="AH1371" s="25">
        <f>COUNTIFS(Tabela1[Mês],Tabela1[[#This Row],[Mês]],Tabela1[Fase atual],"Recebido")</f>
        <v>152</v>
      </c>
      <c r="AI1371" s="26">
        <f>Tabela1[[#This Row],[Recebido_ Mes]]/Tabela1[[#This Row],[Total_Mes]]</f>
        <v>0.77157360406091369</v>
      </c>
      <c r="AJ1371" s="19">
        <f>COUNTIFS(Tabela1[Fase atual],"Recebido",Tabela1[Mês],Tabela1[[#This Row],[Mês]],Tabela1[Ano],Tabela1[[#This Row],[Ano]])/COUNTIF(Tabela1[Mês],Tabela1[[#This Row],[Mês]])</f>
        <v>0.77157360406091369</v>
      </c>
      <c r="AK1371" s="20">
        <f>100%</f>
        <v>1</v>
      </c>
    </row>
    <row r="1372" spans="1:37" ht="18" customHeight="1" x14ac:dyDescent="0.25">
      <c r="A1372">
        <v>1223687354</v>
      </c>
      <c r="B1372" t="s">
        <v>434</v>
      </c>
      <c r="C1372" t="s">
        <v>2032</v>
      </c>
      <c r="D1372" t="s">
        <v>37</v>
      </c>
      <c r="E1372" t="s">
        <v>31</v>
      </c>
      <c r="F1372" s="2">
        <v>45929.642702962963</v>
      </c>
      <c r="AC1372" s="24">
        <f t="shared" ca="1" si="43"/>
        <v>204.35729703703691</v>
      </c>
      <c r="AD1372" s="25" t="str">
        <f t="shared" ca="1" si="44"/>
        <v>&gt;60 dias</v>
      </c>
      <c r="AE1372" s="25">
        <f>MONTH(Tabela1[[#This Row],[Criado em]])</f>
        <v>9</v>
      </c>
      <c r="AF1372" s="25">
        <f>YEAR(Tabela1[[#This Row],[Criado em]])</f>
        <v>2025</v>
      </c>
      <c r="AG1372" s="25">
        <f>COUNTIFS(Tabela1[Mês],Tabela1[[#This Row],[Mês]])</f>
        <v>197</v>
      </c>
      <c r="AH1372" s="25">
        <f>COUNTIFS(Tabela1[Mês],Tabela1[[#This Row],[Mês]],Tabela1[Fase atual],"Recebido")</f>
        <v>152</v>
      </c>
      <c r="AI1372" s="26">
        <f>Tabela1[[#This Row],[Recebido_ Mes]]/Tabela1[[#This Row],[Total_Mes]]</f>
        <v>0.77157360406091369</v>
      </c>
      <c r="AJ1372" s="19">
        <f>COUNTIFS(Tabela1[Fase atual],"Recebido",Tabela1[Mês],Tabela1[[#This Row],[Mês]],Tabela1[Ano],Tabela1[[#This Row],[Ano]])/COUNTIF(Tabela1[Mês],Tabela1[[#This Row],[Mês]])</f>
        <v>0.77157360406091369</v>
      </c>
      <c r="AK1372" s="20">
        <f>100%</f>
        <v>1</v>
      </c>
    </row>
    <row r="1373" spans="1:37" ht="18" customHeight="1" x14ac:dyDescent="0.25">
      <c r="A1373">
        <v>1210539863</v>
      </c>
      <c r="B1373" t="s">
        <v>434</v>
      </c>
      <c r="C1373" t="s">
        <v>2032</v>
      </c>
      <c r="D1373" t="s">
        <v>37</v>
      </c>
      <c r="E1373" t="s">
        <v>31</v>
      </c>
      <c r="F1373" s="2">
        <v>45908.851624074072</v>
      </c>
      <c r="AC1373" s="24">
        <f t="shared" ca="1" si="43"/>
        <v>225.14837592592812</v>
      </c>
      <c r="AD1373" s="25" t="str">
        <f t="shared" ca="1" si="44"/>
        <v>&gt;60 dias</v>
      </c>
      <c r="AE1373" s="25">
        <f>MONTH(Tabela1[[#This Row],[Criado em]])</f>
        <v>9</v>
      </c>
      <c r="AF1373" s="25">
        <f>YEAR(Tabela1[[#This Row],[Criado em]])</f>
        <v>2025</v>
      </c>
      <c r="AG1373" s="25">
        <f>COUNTIFS(Tabela1[Mês],Tabela1[[#This Row],[Mês]])</f>
        <v>197</v>
      </c>
      <c r="AH1373" s="25">
        <f>COUNTIFS(Tabela1[Mês],Tabela1[[#This Row],[Mês]],Tabela1[Fase atual],"Recebido")</f>
        <v>152</v>
      </c>
      <c r="AI1373" s="26">
        <f>Tabela1[[#This Row],[Recebido_ Mes]]/Tabela1[[#This Row],[Total_Mes]]</f>
        <v>0.77157360406091369</v>
      </c>
      <c r="AJ1373" s="19">
        <f>COUNTIFS(Tabela1[Fase atual],"Recebido",Tabela1[Mês],Tabela1[[#This Row],[Mês]],Tabela1[Ano],Tabela1[[#This Row],[Ano]])/COUNTIF(Tabela1[Mês],Tabela1[[#This Row],[Mês]])</f>
        <v>0.77157360406091369</v>
      </c>
      <c r="AK1373" s="20">
        <f>100%</f>
        <v>1</v>
      </c>
    </row>
    <row r="1374" spans="1:37" ht="18" customHeight="1" x14ac:dyDescent="0.25">
      <c r="A1374">
        <v>1215955015</v>
      </c>
      <c r="B1374" t="s">
        <v>434</v>
      </c>
      <c r="C1374" t="s">
        <v>2032</v>
      </c>
      <c r="D1374" t="s">
        <v>37</v>
      </c>
      <c r="E1374" t="s">
        <v>31</v>
      </c>
      <c r="F1374" s="2">
        <v>45917.641386655087</v>
      </c>
      <c r="AC1374" s="24">
        <f t="shared" ca="1" si="43"/>
        <v>216.35861334491346</v>
      </c>
      <c r="AD1374" s="25" t="str">
        <f t="shared" ca="1" si="44"/>
        <v>&gt;60 dias</v>
      </c>
      <c r="AE1374" s="25">
        <f>MONTH(Tabela1[[#This Row],[Criado em]])</f>
        <v>9</v>
      </c>
      <c r="AF1374" s="25">
        <f>YEAR(Tabela1[[#This Row],[Criado em]])</f>
        <v>2025</v>
      </c>
      <c r="AG1374" s="25">
        <f>COUNTIFS(Tabela1[Mês],Tabela1[[#This Row],[Mês]])</f>
        <v>197</v>
      </c>
      <c r="AH1374" s="25">
        <f>COUNTIFS(Tabela1[Mês],Tabela1[[#This Row],[Mês]],Tabela1[Fase atual],"Recebido")</f>
        <v>152</v>
      </c>
      <c r="AI1374" s="26">
        <f>Tabela1[[#This Row],[Recebido_ Mes]]/Tabela1[[#This Row],[Total_Mes]]</f>
        <v>0.77157360406091369</v>
      </c>
      <c r="AJ1374" s="19">
        <f>COUNTIFS(Tabela1[Fase atual],"Recebido",Tabela1[Mês],Tabela1[[#This Row],[Mês]],Tabela1[Ano],Tabela1[[#This Row],[Ano]])/COUNTIF(Tabela1[Mês],Tabela1[[#This Row],[Mês]])</f>
        <v>0.77157360406091369</v>
      </c>
      <c r="AK1374" s="20">
        <f>100%</f>
        <v>1</v>
      </c>
    </row>
    <row r="1375" spans="1:37" ht="18" customHeight="1" x14ac:dyDescent="0.25">
      <c r="A1375">
        <v>1286721105</v>
      </c>
      <c r="B1375" t="s">
        <v>582</v>
      </c>
      <c r="C1375" t="s">
        <v>583</v>
      </c>
      <c r="D1375" t="s">
        <v>37</v>
      </c>
      <c r="E1375" t="s">
        <v>31</v>
      </c>
      <c r="F1375" s="2">
        <v>46045.796029537043</v>
      </c>
      <c r="AC1375" s="24">
        <f t="shared" ca="1" si="43"/>
        <v>88.203970462956931</v>
      </c>
      <c r="AD1375" s="25" t="str">
        <f t="shared" ca="1" si="44"/>
        <v>&gt;60 dias</v>
      </c>
      <c r="AE1375" s="25">
        <f>MONTH(Tabela1[[#This Row],[Criado em]])</f>
        <v>1</v>
      </c>
      <c r="AF1375" s="25">
        <f>YEAR(Tabela1[[#This Row],[Criado em]])</f>
        <v>2026</v>
      </c>
      <c r="AG1375" s="25">
        <f>COUNTIFS(Tabela1[Mês],Tabela1[[#This Row],[Mês]])</f>
        <v>222</v>
      </c>
      <c r="AH1375" s="25">
        <f>COUNTIFS(Tabela1[Mês],Tabela1[[#This Row],[Mês]],Tabela1[Fase atual],"Recebido")</f>
        <v>174</v>
      </c>
      <c r="AI1375" s="26">
        <f>Tabela1[[#This Row],[Recebido_ Mes]]/Tabela1[[#This Row],[Total_Mes]]</f>
        <v>0.78378378378378377</v>
      </c>
      <c r="AJ1375" s="19">
        <f>COUNTIFS(Tabela1[Fase atual],"Recebido",Tabela1[Mês],Tabela1[[#This Row],[Mês]],Tabela1[Ano],Tabela1[[#This Row],[Ano]])/COUNTIF(Tabela1[Mês],Tabela1[[#This Row],[Mês]])</f>
        <v>0.78378378378378377</v>
      </c>
      <c r="AK1375" s="20">
        <f>100%</f>
        <v>1</v>
      </c>
    </row>
    <row r="1376" spans="1:37" ht="18" customHeight="1" x14ac:dyDescent="0.25">
      <c r="A1376">
        <v>1184721917</v>
      </c>
      <c r="B1376" t="s">
        <v>582</v>
      </c>
      <c r="C1376" t="s">
        <v>2033</v>
      </c>
      <c r="D1376" t="s">
        <v>37</v>
      </c>
      <c r="E1376" t="s">
        <v>31</v>
      </c>
      <c r="F1376" s="2">
        <v>45866.852087754633</v>
      </c>
      <c r="AC1376" s="24">
        <f t="shared" ca="1" si="43"/>
        <v>267.14791224536748</v>
      </c>
      <c r="AD1376" s="25" t="str">
        <f t="shared" ca="1" si="44"/>
        <v>&gt;60 dias</v>
      </c>
      <c r="AE1376" s="25">
        <f>MONTH(Tabela1[[#This Row],[Criado em]])</f>
        <v>7</v>
      </c>
      <c r="AF1376" s="25">
        <f>YEAR(Tabela1[[#This Row],[Criado em]])</f>
        <v>2025</v>
      </c>
      <c r="AG1376" s="25">
        <f>COUNTIFS(Tabela1[Mês],Tabela1[[#This Row],[Mês]])</f>
        <v>177</v>
      </c>
      <c r="AH1376" s="25">
        <f>COUNTIFS(Tabela1[Mês],Tabela1[[#This Row],[Mês]],Tabela1[Fase atual],"Recebido")</f>
        <v>130</v>
      </c>
      <c r="AI1376" s="26">
        <f>Tabela1[[#This Row],[Recebido_ Mes]]/Tabela1[[#This Row],[Total_Mes]]</f>
        <v>0.7344632768361582</v>
      </c>
      <c r="AJ1376" s="19">
        <f>COUNTIFS(Tabela1[Fase atual],"Recebido",Tabela1[Mês],Tabela1[[#This Row],[Mês]],Tabela1[Ano],Tabela1[[#This Row],[Ano]])/COUNTIF(Tabela1[Mês],Tabela1[[#This Row],[Mês]])</f>
        <v>0.7344632768361582</v>
      </c>
      <c r="AK1376" s="20">
        <f>100%</f>
        <v>1</v>
      </c>
    </row>
    <row r="1377" spans="1:37" ht="18" customHeight="1" x14ac:dyDescent="0.25">
      <c r="A1377">
        <v>1245234598</v>
      </c>
      <c r="B1377" t="s">
        <v>584</v>
      </c>
      <c r="C1377" t="s">
        <v>2034</v>
      </c>
      <c r="D1377" t="s">
        <v>37</v>
      </c>
      <c r="E1377" t="s">
        <v>31</v>
      </c>
      <c r="F1377" s="2">
        <v>45957.546052743062</v>
      </c>
      <c r="AC1377" s="24">
        <f t="shared" ca="1" si="43"/>
        <v>176.45394725693768</v>
      </c>
      <c r="AD1377" s="25" t="str">
        <f t="shared" ca="1" si="44"/>
        <v>&gt;60 dias</v>
      </c>
      <c r="AE1377" s="25">
        <f>MONTH(Tabela1[[#This Row],[Criado em]])</f>
        <v>10</v>
      </c>
      <c r="AF1377" s="25">
        <f>YEAR(Tabela1[[#This Row],[Criado em]])</f>
        <v>2025</v>
      </c>
      <c r="AG1377" s="25">
        <f>COUNTIFS(Tabela1[Mês],Tabela1[[#This Row],[Mês]])</f>
        <v>196</v>
      </c>
      <c r="AH1377" s="25">
        <f>COUNTIFS(Tabela1[Mês],Tabela1[[#This Row],[Mês]],Tabela1[Fase atual],"Recebido")</f>
        <v>138</v>
      </c>
      <c r="AI1377" s="26">
        <f>Tabela1[[#This Row],[Recebido_ Mes]]/Tabela1[[#This Row],[Total_Mes]]</f>
        <v>0.70408163265306123</v>
      </c>
      <c r="AJ1377" s="19">
        <f>COUNTIFS(Tabela1[Fase atual],"Recebido",Tabela1[Mês],Tabela1[[#This Row],[Mês]],Tabela1[Ano],Tabela1[[#This Row],[Ano]])/COUNTIF(Tabela1[Mês],Tabela1[[#This Row],[Mês]])</f>
        <v>0.70408163265306123</v>
      </c>
      <c r="AK1377" s="20">
        <f>100%</f>
        <v>1</v>
      </c>
    </row>
    <row r="1378" spans="1:37" ht="18" customHeight="1" x14ac:dyDescent="0.25">
      <c r="A1378">
        <v>1288313207</v>
      </c>
      <c r="B1378" t="s">
        <v>584</v>
      </c>
      <c r="C1378" t="s">
        <v>585</v>
      </c>
      <c r="D1378" t="s">
        <v>37</v>
      </c>
      <c r="E1378" t="s">
        <v>31</v>
      </c>
      <c r="F1378" s="2">
        <v>46048.793776226848</v>
      </c>
      <c r="AC1378" s="24">
        <f t="shared" ca="1" si="43"/>
        <v>85.206223773151578</v>
      </c>
      <c r="AD1378" s="25" t="str">
        <f t="shared" ca="1" si="44"/>
        <v>&gt;60 dias</v>
      </c>
      <c r="AE1378" s="25">
        <f>MONTH(Tabela1[[#This Row],[Criado em]])</f>
        <v>1</v>
      </c>
      <c r="AF1378" s="25">
        <f>YEAR(Tabela1[[#This Row],[Criado em]])</f>
        <v>2026</v>
      </c>
      <c r="AG1378" s="25">
        <f>COUNTIFS(Tabela1[Mês],Tabela1[[#This Row],[Mês]])</f>
        <v>222</v>
      </c>
      <c r="AH1378" s="25">
        <f>COUNTIFS(Tabela1[Mês],Tabela1[[#This Row],[Mês]],Tabela1[Fase atual],"Recebido")</f>
        <v>174</v>
      </c>
      <c r="AI1378" s="26">
        <f>Tabela1[[#This Row],[Recebido_ Mes]]/Tabela1[[#This Row],[Total_Mes]]</f>
        <v>0.78378378378378377</v>
      </c>
      <c r="AJ1378" s="19">
        <f>COUNTIFS(Tabela1[Fase atual],"Recebido",Tabela1[Mês],Tabela1[[#This Row],[Mês]],Tabela1[Ano],Tabela1[[#This Row],[Ano]])/COUNTIF(Tabela1[Mês],Tabela1[[#This Row],[Mês]])</f>
        <v>0.78378378378378377</v>
      </c>
      <c r="AK1378" s="20">
        <f>100%</f>
        <v>1</v>
      </c>
    </row>
    <row r="1379" spans="1:37" ht="18" customHeight="1" x14ac:dyDescent="0.25">
      <c r="A1379">
        <v>1171335283</v>
      </c>
      <c r="B1379" t="s">
        <v>2035</v>
      </c>
      <c r="C1379" t="s">
        <v>2036</v>
      </c>
      <c r="D1379" t="s">
        <v>40</v>
      </c>
      <c r="E1379" t="s">
        <v>31</v>
      </c>
      <c r="F1379" s="2">
        <v>45841.851702233791</v>
      </c>
      <c r="AC1379" s="24">
        <f t="shared" ca="1" si="43"/>
        <v>292.148297766209</v>
      </c>
      <c r="AD1379" s="25" t="str">
        <f t="shared" ca="1" si="44"/>
        <v>&gt;60 dias</v>
      </c>
      <c r="AE1379" s="25">
        <f>MONTH(Tabela1[[#This Row],[Criado em]])</f>
        <v>7</v>
      </c>
      <c r="AF1379" s="25">
        <f>YEAR(Tabela1[[#This Row],[Criado em]])</f>
        <v>2025</v>
      </c>
      <c r="AG1379" s="25">
        <f>COUNTIFS(Tabela1[Mês],Tabela1[[#This Row],[Mês]])</f>
        <v>177</v>
      </c>
      <c r="AH1379" s="25">
        <f>COUNTIFS(Tabela1[Mês],Tabela1[[#This Row],[Mês]],Tabela1[Fase atual],"Recebido")</f>
        <v>130</v>
      </c>
      <c r="AI1379" s="26">
        <f>Tabela1[[#This Row],[Recebido_ Mes]]/Tabela1[[#This Row],[Total_Mes]]</f>
        <v>0.7344632768361582</v>
      </c>
      <c r="AJ1379" s="19">
        <f>COUNTIFS(Tabela1[Fase atual],"Recebido",Tabela1[Mês],Tabela1[[#This Row],[Mês]],Tabela1[Ano],Tabela1[[#This Row],[Ano]])/COUNTIF(Tabela1[Mês],Tabela1[[#This Row],[Mês]])</f>
        <v>0.7344632768361582</v>
      </c>
      <c r="AK1379" s="20">
        <f>100%</f>
        <v>1</v>
      </c>
    </row>
    <row r="1380" spans="1:37" ht="18" customHeight="1" x14ac:dyDescent="0.25">
      <c r="A1380">
        <v>1282443132</v>
      </c>
      <c r="B1380" t="s">
        <v>586</v>
      </c>
      <c r="C1380" t="s">
        <v>587</v>
      </c>
      <c r="D1380" t="s">
        <v>37</v>
      </c>
      <c r="E1380" t="s">
        <v>31</v>
      </c>
      <c r="F1380" s="2">
        <v>46037.798115625003</v>
      </c>
      <c r="AC1380" s="24">
        <f t="shared" ca="1" si="43"/>
        <v>96.201884374997462</v>
      </c>
      <c r="AD1380" s="25" t="str">
        <f t="shared" ca="1" si="44"/>
        <v>&gt;60 dias</v>
      </c>
      <c r="AE1380" s="25">
        <f>MONTH(Tabela1[[#This Row],[Criado em]])</f>
        <v>1</v>
      </c>
      <c r="AF1380" s="25">
        <f>YEAR(Tabela1[[#This Row],[Criado em]])</f>
        <v>2026</v>
      </c>
      <c r="AG1380" s="25">
        <f>COUNTIFS(Tabela1[Mês],Tabela1[[#This Row],[Mês]])</f>
        <v>222</v>
      </c>
      <c r="AH1380" s="25">
        <f>COUNTIFS(Tabela1[Mês],Tabela1[[#This Row],[Mês]],Tabela1[Fase atual],"Recebido")</f>
        <v>174</v>
      </c>
      <c r="AI1380" s="26">
        <f>Tabela1[[#This Row],[Recebido_ Mes]]/Tabela1[[#This Row],[Total_Mes]]</f>
        <v>0.78378378378378377</v>
      </c>
      <c r="AJ1380" s="19">
        <f>COUNTIFS(Tabela1[Fase atual],"Recebido",Tabela1[Mês],Tabela1[[#This Row],[Mês]],Tabela1[Ano],Tabela1[[#This Row],[Ano]])/COUNTIF(Tabela1[Mês],Tabela1[[#This Row],[Mês]])</f>
        <v>0.78378378378378377</v>
      </c>
      <c r="AK1380" s="20">
        <f>100%</f>
        <v>1</v>
      </c>
    </row>
    <row r="1381" spans="1:37" ht="18" customHeight="1" x14ac:dyDescent="0.25">
      <c r="A1381">
        <v>1280340523</v>
      </c>
      <c r="B1381" t="s">
        <v>588</v>
      </c>
      <c r="C1381" t="s">
        <v>589</v>
      </c>
      <c r="D1381" t="s">
        <v>37</v>
      </c>
      <c r="E1381" t="s">
        <v>31</v>
      </c>
      <c r="F1381" s="2">
        <v>46034.559043611109</v>
      </c>
      <c r="AC1381" s="24">
        <f t="shared" ca="1" si="43"/>
        <v>99.440956388891209</v>
      </c>
      <c r="AD1381" s="25" t="str">
        <f t="shared" ca="1" si="44"/>
        <v>&gt;60 dias</v>
      </c>
      <c r="AE1381" s="25">
        <f>MONTH(Tabela1[[#This Row],[Criado em]])</f>
        <v>1</v>
      </c>
      <c r="AF1381" s="25">
        <f>YEAR(Tabela1[[#This Row],[Criado em]])</f>
        <v>2026</v>
      </c>
      <c r="AG1381" s="25">
        <f>COUNTIFS(Tabela1[Mês],Tabela1[[#This Row],[Mês]])</f>
        <v>222</v>
      </c>
      <c r="AH1381" s="25">
        <f>COUNTIFS(Tabela1[Mês],Tabela1[[#This Row],[Mês]],Tabela1[Fase atual],"Recebido")</f>
        <v>174</v>
      </c>
      <c r="AI1381" s="26">
        <f>Tabela1[[#This Row],[Recebido_ Mes]]/Tabela1[[#This Row],[Total_Mes]]</f>
        <v>0.78378378378378377</v>
      </c>
      <c r="AJ1381" s="19">
        <f>COUNTIFS(Tabela1[Fase atual],"Recebido",Tabela1[Mês],Tabela1[[#This Row],[Mês]],Tabela1[Ano],Tabela1[[#This Row],[Ano]])/COUNTIF(Tabela1[Mês],Tabela1[[#This Row],[Mês]])</f>
        <v>0.78378378378378377</v>
      </c>
      <c r="AK1381" s="20">
        <f>100%</f>
        <v>1</v>
      </c>
    </row>
    <row r="1382" spans="1:37" ht="18" customHeight="1" x14ac:dyDescent="0.25">
      <c r="A1382">
        <v>1294279832</v>
      </c>
      <c r="B1382" t="s">
        <v>492</v>
      </c>
      <c r="C1382" t="s">
        <v>590</v>
      </c>
      <c r="D1382" t="s">
        <v>40</v>
      </c>
      <c r="E1382" t="s">
        <v>31</v>
      </c>
      <c r="F1382" s="2">
        <v>46059.567705648151</v>
      </c>
      <c r="AC1382" s="24">
        <f t="shared" ca="1" si="43"/>
        <v>74.432294351849123</v>
      </c>
      <c r="AD1382" s="25" t="str">
        <f t="shared" ca="1" si="44"/>
        <v>&gt;60 dias</v>
      </c>
      <c r="AE1382" s="25">
        <f>MONTH(Tabela1[[#This Row],[Criado em]])</f>
        <v>2</v>
      </c>
      <c r="AF1382" s="25">
        <f>YEAR(Tabela1[[#This Row],[Criado em]])</f>
        <v>2026</v>
      </c>
      <c r="AG1382" s="25">
        <f>COUNTIFS(Tabela1[Mês],Tabela1[[#This Row],[Mês]])</f>
        <v>197</v>
      </c>
      <c r="AH1382" s="25">
        <f>COUNTIFS(Tabela1[Mês],Tabela1[[#This Row],[Mês]],Tabela1[Fase atual],"Recebido")</f>
        <v>124</v>
      </c>
      <c r="AI1382" s="26">
        <f>Tabela1[[#This Row],[Recebido_ Mes]]/Tabela1[[#This Row],[Total_Mes]]</f>
        <v>0.62944162436548223</v>
      </c>
      <c r="AJ1382" s="19">
        <f>COUNTIFS(Tabela1[Fase atual],"Recebido",Tabela1[Mês],Tabela1[[#This Row],[Mês]],Tabela1[Ano],Tabela1[[#This Row],[Ano]])/COUNTIF(Tabela1[Mês],Tabela1[[#This Row],[Mês]])</f>
        <v>0.62944162436548223</v>
      </c>
      <c r="AK1382" s="20">
        <f>100%</f>
        <v>1</v>
      </c>
    </row>
    <row r="1383" spans="1:37" ht="18" customHeight="1" x14ac:dyDescent="0.25">
      <c r="A1383">
        <v>1279041619</v>
      </c>
      <c r="B1383" t="s">
        <v>492</v>
      </c>
      <c r="C1383" t="s">
        <v>591</v>
      </c>
      <c r="D1383" t="s">
        <v>40</v>
      </c>
      <c r="E1383" t="s">
        <v>31</v>
      </c>
      <c r="F1383" s="2">
        <v>46030.842999270833</v>
      </c>
      <c r="AC1383" s="24">
        <f t="shared" ca="1" si="43"/>
        <v>103.15700072916661</v>
      </c>
      <c r="AD1383" s="25" t="str">
        <f t="shared" ca="1" si="44"/>
        <v>&gt;60 dias</v>
      </c>
      <c r="AE1383" s="25">
        <f>MONTH(Tabela1[[#This Row],[Criado em]])</f>
        <v>1</v>
      </c>
      <c r="AF1383" s="25">
        <f>YEAR(Tabela1[[#This Row],[Criado em]])</f>
        <v>2026</v>
      </c>
      <c r="AG1383" s="25">
        <f>COUNTIFS(Tabela1[Mês],Tabela1[[#This Row],[Mês]])</f>
        <v>222</v>
      </c>
      <c r="AH1383" s="25">
        <f>COUNTIFS(Tabela1[Mês],Tabela1[[#This Row],[Mês]],Tabela1[Fase atual],"Recebido")</f>
        <v>174</v>
      </c>
      <c r="AI1383" s="26">
        <f>Tabela1[[#This Row],[Recebido_ Mes]]/Tabela1[[#This Row],[Total_Mes]]</f>
        <v>0.78378378378378377</v>
      </c>
      <c r="AJ1383" s="19">
        <f>COUNTIFS(Tabela1[Fase atual],"Recebido",Tabela1[Mês],Tabela1[[#This Row],[Mês]],Tabela1[Ano],Tabela1[[#This Row],[Ano]])/COUNTIF(Tabela1[Mês],Tabela1[[#This Row],[Mês]])</f>
        <v>0.78378378378378377</v>
      </c>
      <c r="AK1383" s="20">
        <f>100%</f>
        <v>1</v>
      </c>
    </row>
    <row r="1384" spans="1:37" ht="18" customHeight="1" x14ac:dyDescent="0.25">
      <c r="A1384">
        <v>1299906074</v>
      </c>
      <c r="B1384" t="s">
        <v>592</v>
      </c>
      <c r="C1384" t="s">
        <v>593</v>
      </c>
      <c r="D1384" t="s">
        <v>37</v>
      </c>
      <c r="E1384" t="s">
        <v>31</v>
      </c>
      <c r="F1384" s="2">
        <v>46072.918652314809</v>
      </c>
      <c r="AC1384" s="24">
        <f t="shared" ca="1" si="43"/>
        <v>61.081347685190849</v>
      </c>
      <c r="AD1384" s="25" t="str">
        <f t="shared" ca="1" si="44"/>
        <v>&gt;60 dias</v>
      </c>
      <c r="AE1384" s="25">
        <f>MONTH(Tabela1[[#This Row],[Criado em]])</f>
        <v>2</v>
      </c>
      <c r="AF1384" s="25">
        <f>YEAR(Tabela1[[#This Row],[Criado em]])</f>
        <v>2026</v>
      </c>
      <c r="AG1384" s="25">
        <f>COUNTIFS(Tabela1[Mês],Tabela1[[#This Row],[Mês]])</f>
        <v>197</v>
      </c>
      <c r="AH1384" s="25">
        <f>COUNTIFS(Tabela1[Mês],Tabela1[[#This Row],[Mês]],Tabela1[Fase atual],"Recebido")</f>
        <v>124</v>
      </c>
      <c r="AI1384" s="26">
        <f>Tabela1[[#This Row],[Recebido_ Mes]]/Tabela1[[#This Row],[Total_Mes]]</f>
        <v>0.62944162436548223</v>
      </c>
      <c r="AJ1384" s="19">
        <f>COUNTIFS(Tabela1[Fase atual],"Recebido",Tabela1[Mês],Tabela1[[#This Row],[Mês]],Tabela1[Ano],Tabela1[[#This Row],[Ano]])/COUNTIF(Tabela1[Mês],Tabela1[[#This Row],[Mês]])</f>
        <v>0.62944162436548223</v>
      </c>
      <c r="AK1384" s="20">
        <f>100%</f>
        <v>1</v>
      </c>
    </row>
    <row r="1385" spans="1:37" ht="18" customHeight="1" x14ac:dyDescent="0.25">
      <c r="A1385">
        <v>1283849792</v>
      </c>
      <c r="B1385" t="s">
        <v>594</v>
      </c>
      <c r="C1385" t="s">
        <v>595</v>
      </c>
      <c r="D1385" t="s">
        <v>37</v>
      </c>
      <c r="E1385" t="s">
        <v>31</v>
      </c>
      <c r="F1385" s="2">
        <v>46041.545067766201</v>
      </c>
      <c r="AC1385" s="24">
        <f t="shared" ca="1" si="43"/>
        <v>92.4549322337989</v>
      </c>
      <c r="AD1385" s="25" t="str">
        <f t="shared" ca="1" si="44"/>
        <v>&gt;60 dias</v>
      </c>
      <c r="AE1385" s="25">
        <f>MONTH(Tabela1[[#This Row],[Criado em]])</f>
        <v>1</v>
      </c>
      <c r="AF1385" s="25">
        <f>YEAR(Tabela1[[#This Row],[Criado em]])</f>
        <v>2026</v>
      </c>
      <c r="AG1385" s="25">
        <f>COUNTIFS(Tabela1[Mês],Tabela1[[#This Row],[Mês]])</f>
        <v>222</v>
      </c>
      <c r="AH1385" s="25">
        <f>COUNTIFS(Tabela1[Mês],Tabela1[[#This Row],[Mês]],Tabela1[Fase atual],"Recebido")</f>
        <v>174</v>
      </c>
      <c r="AI1385" s="26">
        <f>Tabela1[[#This Row],[Recebido_ Mes]]/Tabela1[[#This Row],[Total_Mes]]</f>
        <v>0.78378378378378377</v>
      </c>
      <c r="AJ1385" s="19">
        <f>COUNTIFS(Tabela1[Fase atual],"Recebido",Tabela1[Mês],Tabela1[[#This Row],[Mês]],Tabela1[Ano],Tabela1[[#This Row],[Ano]])/COUNTIF(Tabela1[Mês],Tabela1[[#This Row],[Mês]])</f>
        <v>0.78378378378378377</v>
      </c>
      <c r="AK1385" s="20">
        <f>100%</f>
        <v>1</v>
      </c>
    </row>
    <row r="1386" spans="1:37" ht="18" customHeight="1" x14ac:dyDescent="0.25">
      <c r="A1386">
        <v>1276236049</v>
      </c>
      <c r="B1386" t="s">
        <v>596</v>
      </c>
      <c r="C1386" t="s">
        <v>597</v>
      </c>
      <c r="D1386" t="s">
        <v>37</v>
      </c>
      <c r="E1386" t="s">
        <v>31</v>
      </c>
      <c r="F1386" s="2">
        <v>46027.547161828697</v>
      </c>
      <c r="AC1386" s="24">
        <f t="shared" ca="1" si="43"/>
        <v>106.45283817130257</v>
      </c>
      <c r="AD1386" s="25" t="str">
        <f t="shared" ca="1" si="44"/>
        <v>&gt;60 dias</v>
      </c>
      <c r="AE1386" s="25">
        <f>MONTH(Tabela1[[#This Row],[Criado em]])</f>
        <v>1</v>
      </c>
      <c r="AF1386" s="25">
        <f>YEAR(Tabela1[[#This Row],[Criado em]])</f>
        <v>2026</v>
      </c>
      <c r="AG1386" s="25">
        <f>COUNTIFS(Tabela1[Mês],Tabela1[[#This Row],[Mês]])</f>
        <v>222</v>
      </c>
      <c r="AH1386" s="25">
        <f>COUNTIFS(Tabela1[Mês],Tabela1[[#This Row],[Mês]],Tabela1[Fase atual],"Recebido")</f>
        <v>174</v>
      </c>
      <c r="AI1386" s="26">
        <f>Tabela1[[#This Row],[Recebido_ Mes]]/Tabela1[[#This Row],[Total_Mes]]</f>
        <v>0.78378378378378377</v>
      </c>
      <c r="AJ1386" s="19">
        <f>COUNTIFS(Tabela1[Fase atual],"Recebido",Tabela1[Mês],Tabela1[[#This Row],[Mês]],Tabela1[Ano],Tabela1[[#This Row],[Ano]])/COUNTIF(Tabela1[Mês],Tabela1[[#This Row],[Mês]])</f>
        <v>0.78378378378378377</v>
      </c>
      <c r="AK1386" s="20">
        <f>100%</f>
        <v>1</v>
      </c>
    </row>
    <row r="1387" spans="1:37" ht="18" customHeight="1" x14ac:dyDescent="0.25">
      <c r="A1387">
        <v>1193712894</v>
      </c>
      <c r="B1387" t="s">
        <v>2037</v>
      </c>
      <c r="C1387" t="s">
        <v>2038</v>
      </c>
      <c r="D1387" t="s">
        <v>40</v>
      </c>
      <c r="E1387" t="s">
        <v>31</v>
      </c>
      <c r="F1387" s="2">
        <v>45881.641881180563</v>
      </c>
      <c r="AC1387" s="24">
        <f t="shared" ca="1" si="43"/>
        <v>252.35811881943664</v>
      </c>
      <c r="AD1387" s="25" t="str">
        <f t="shared" ca="1" si="44"/>
        <v>&gt;60 dias</v>
      </c>
      <c r="AE1387" s="25">
        <f>MONTH(Tabela1[[#This Row],[Criado em]])</f>
        <v>8</v>
      </c>
      <c r="AF1387" s="25">
        <f>YEAR(Tabela1[[#This Row],[Criado em]])</f>
        <v>2025</v>
      </c>
      <c r="AG1387" s="25">
        <f>COUNTIFS(Tabela1[Mês],Tabela1[[#This Row],[Mês]])</f>
        <v>146</v>
      </c>
      <c r="AH1387" s="25">
        <f>COUNTIFS(Tabela1[Mês],Tabela1[[#This Row],[Mês]],Tabela1[Fase atual],"Recebido")</f>
        <v>115</v>
      </c>
      <c r="AI1387" s="26">
        <f>Tabela1[[#This Row],[Recebido_ Mes]]/Tabela1[[#This Row],[Total_Mes]]</f>
        <v>0.78767123287671237</v>
      </c>
      <c r="AJ1387" s="19">
        <f>COUNTIFS(Tabela1[Fase atual],"Recebido",Tabela1[Mês],Tabela1[[#This Row],[Mês]],Tabela1[Ano],Tabela1[[#This Row],[Ano]])/COUNTIF(Tabela1[Mês],Tabela1[[#This Row],[Mês]])</f>
        <v>0.78767123287671237</v>
      </c>
      <c r="AK1387" s="20">
        <f>100%</f>
        <v>1</v>
      </c>
    </row>
    <row r="1388" spans="1:37" ht="18" customHeight="1" x14ac:dyDescent="0.25">
      <c r="A1388">
        <v>1221264340</v>
      </c>
      <c r="B1388" t="s">
        <v>596</v>
      </c>
      <c r="C1388" t="s">
        <v>2039</v>
      </c>
      <c r="D1388" t="s">
        <v>37</v>
      </c>
      <c r="E1388" t="s">
        <v>31</v>
      </c>
      <c r="F1388" s="2">
        <v>45925.644430902779</v>
      </c>
      <c r="AC1388" s="24">
        <f t="shared" ca="1" si="43"/>
        <v>208.35556909722072</v>
      </c>
      <c r="AD1388" s="25" t="str">
        <f t="shared" ca="1" si="44"/>
        <v>&gt;60 dias</v>
      </c>
      <c r="AE1388" s="25">
        <f>MONTH(Tabela1[[#This Row],[Criado em]])</f>
        <v>9</v>
      </c>
      <c r="AF1388" s="25">
        <f>YEAR(Tabela1[[#This Row],[Criado em]])</f>
        <v>2025</v>
      </c>
      <c r="AG1388" s="25">
        <f>COUNTIFS(Tabela1[Mês],Tabela1[[#This Row],[Mês]])</f>
        <v>197</v>
      </c>
      <c r="AH1388" s="25">
        <f>COUNTIFS(Tabela1[Mês],Tabela1[[#This Row],[Mês]],Tabela1[Fase atual],"Recebido")</f>
        <v>152</v>
      </c>
      <c r="AI1388" s="26">
        <f>Tabela1[[#This Row],[Recebido_ Mes]]/Tabela1[[#This Row],[Total_Mes]]</f>
        <v>0.77157360406091369</v>
      </c>
      <c r="AJ1388" s="19">
        <f>COUNTIFS(Tabela1[Fase atual],"Recebido",Tabela1[Mês],Tabela1[[#This Row],[Mês]],Tabela1[Ano],Tabela1[[#This Row],[Ano]])/COUNTIF(Tabela1[Mês],Tabela1[[#This Row],[Mês]])</f>
        <v>0.77157360406091369</v>
      </c>
      <c r="AK1388" s="20">
        <f>100%</f>
        <v>1</v>
      </c>
    </row>
    <row r="1389" spans="1:37" ht="18" customHeight="1" x14ac:dyDescent="0.25">
      <c r="A1389">
        <v>1231180223</v>
      </c>
      <c r="B1389" t="s">
        <v>2040</v>
      </c>
      <c r="C1389" t="s">
        <v>2041</v>
      </c>
      <c r="D1389" t="s">
        <v>37</v>
      </c>
      <c r="E1389" t="s">
        <v>31</v>
      </c>
      <c r="F1389" s="2">
        <v>45939.644336898149</v>
      </c>
      <c r="AC1389" s="24">
        <f t="shared" ca="1" si="43"/>
        <v>194.35566310185095</v>
      </c>
      <c r="AD1389" s="25" t="str">
        <f t="shared" ca="1" si="44"/>
        <v>&gt;60 dias</v>
      </c>
      <c r="AE1389" s="25">
        <f>MONTH(Tabela1[[#This Row],[Criado em]])</f>
        <v>10</v>
      </c>
      <c r="AF1389" s="25">
        <f>YEAR(Tabela1[[#This Row],[Criado em]])</f>
        <v>2025</v>
      </c>
      <c r="AG1389" s="25">
        <f>COUNTIFS(Tabela1[Mês],Tabela1[[#This Row],[Mês]])</f>
        <v>196</v>
      </c>
      <c r="AH1389" s="25">
        <f>COUNTIFS(Tabela1[Mês],Tabela1[[#This Row],[Mês]],Tabela1[Fase atual],"Recebido")</f>
        <v>138</v>
      </c>
      <c r="AI1389" s="26">
        <f>Tabela1[[#This Row],[Recebido_ Mes]]/Tabela1[[#This Row],[Total_Mes]]</f>
        <v>0.70408163265306123</v>
      </c>
      <c r="AJ1389" s="19">
        <f>COUNTIFS(Tabela1[Fase atual],"Recebido",Tabela1[Mês],Tabela1[[#This Row],[Mês]],Tabela1[Ano],Tabela1[[#This Row],[Ano]])/COUNTIF(Tabela1[Mês],Tabela1[[#This Row],[Mês]])</f>
        <v>0.70408163265306123</v>
      </c>
      <c r="AK1389" s="20">
        <f>100%</f>
        <v>1</v>
      </c>
    </row>
    <row r="1390" spans="1:37" ht="18" customHeight="1" x14ac:dyDescent="0.25">
      <c r="A1390">
        <v>1213737409</v>
      </c>
      <c r="B1390" t="s">
        <v>2040</v>
      </c>
      <c r="C1390" t="s">
        <v>2042</v>
      </c>
      <c r="D1390" t="s">
        <v>37</v>
      </c>
      <c r="E1390" t="s">
        <v>31</v>
      </c>
      <c r="F1390" s="2">
        <v>45913.643002997691</v>
      </c>
      <c r="AC1390" s="24">
        <f t="shared" ca="1" si="43"/>
        <v>220.35699700230907</v>
      </c>
      <c r="AD1390" s="25" t="str">
        <f t="shared" ca="1" si="44"/>
        <v>&gt;60 dias</v>
      </c>
      <c r="AE1390" s="25">
        <f>MONTH(Tabela1[[#This Row],[Criado em]])</f>
        <v>9</v>
      </c>
      <c r="AF1390" s="25">
        <f>YEAR(Tabela1[[#This Row],[Criado em]])</f>
        <v>2025</v>
      </c>
      <c r="AG1390" s="25">
        <f>COUNTIFS(Tabela1[Mês],Tabela1[[#This Row],[Mês]])</f>
        <v>197</v>
      </c>
      <c r="AH1390" s="25">
        <f>COUNTIFS(Tabela1[Mês],Tabela1[[#This Row],[Mês]],Tabela1[Fase atual],"Recebido")</f>
        <v>152</v>
      </c>
      <c r="AI1390" s="26">
        <f>Tabela1[[#This Row],[Recebido_ Mes]]/Tabela1[[#This Row],[Total_Mes]]</f>
        <v>0.77157360406091369</v>
      </c>
      <c r="AJ1390" s="19">
        <f>COUNTIFS(Tabela1[Fase atual],"Recebido",Tabela1[Mês],Tabela1[[#This Row],[Mês]],Tabela1[Ano],Tabela1[[#This Row],[Ano]])/COUNTIF(Tabela1[Mês],Tabela1[[#This Row],[Mês]])</f>
        <v>0.77157360406091369</v>
      </c>
      <c r="AK1390" s="20">
        <f>100%</f>
        <v>1</v>
      </c>
    </row>
    <row r="1391" spans="1:37" ht="18" customHeight="1" x14ac:dyDescent="0.25">
      <c r="A1391">
        <v>1225987581</v>
      </c>
      <c r="B1391" t="s">
        <v>2043</v>
      </c>
      <c r="C1391" t="s">
        <v>2044</v>
      </c>
      <c r="D1391" t="s">
        <v>37</v>
      </c>
      <c r="E1391" t="s">
        <v>31</v>
      </c>
      <c r="F1391" s="2">
        <v>45932.642358055557</v>
      </c>
      <c r="AC1391" s="24">
        <f t="shared" ca="1" si="43"/>
        <v>201.35764194444346</v>
      </c>
      <c r="AD1391" s="25" t="str">
        <f t="shared" ca="1" si="44"/>
        <v>&gt;60 dias</v>
      </c>
      <c r="AE1391" s="25">
        <f>MONTH(Tabela1[[#This Row],[Criado em]])</f>
        <v>10</v>
      </c>
      <c r="AF1391" s="25">
        <f>YEAR(Tabela1[[#This Row],[Criado em]])</f>
        <v>2025</v>
      </c>
      <c r="AG1391" s="25">
        <f>COUNTIFS(Tabela1[Mês],Tabela1[[#This Row],[Mês]])</f>
        <v>196</v>
      </c>
      <c r="AH1391" s="25">
        <f>COUNTIFS(Tabela1[Mês],Tabela1[[#This Row],[Mês]],Tabela1[Fase atual],"Recebido")</f>
        <v>138</v>
      </c>
      <c r="AI1391" s="26">
        <f>Tabela1[[#This Row],[Recebido_ Mes]]/Tabela1[[#This Row],[Total_Mes]]</f>
        <v>0.70408163265306123</v>
      </c>
      <c r="AJ1391" s="19">
        <f>COUNTIFS(Tabela1[Fase atual],"Recebido",Tabela1[Mês],Tabela1[[#This Row],[Mês]],Tabela1[Ano],Tabela1[[#This Row],[Ano]])/COUNTIF(Tabela1[Mês],Tabela1[[#This Row],[Mês]])</f>
        <v>0.70408163265306123</v>
      </c>
      <c r="AK1391" s="20">
        <f>100%</f>
        <v>1</v>
      </c>
    </row>
    <row r="1392" spans="1:37" ht="18" customHeight="1" x14ac:dyDescent="0.25">
      <c r="A1392">
        <v>1268740523</v>
      </c>
      <c r="B1392" t="s">
        <v>2045</v>
      </c>
      <c r="C1392" t="s">
        <v>2046</v>
      </c>
      <c r="D1392" t="s">
        <v>37</v>
      </c>
      <c r="E1392" t="s">
        <v>31</v>
      </c>
      <c r="F1392" s="2">
        <v>46006.921133379627</v>
      </c>
      <c r="AC1392" s="24">
        <f t="shared" ca="1" si="43"/>
        <v>127.07886662037345</v>
      </c>
      <c r="AD1392" s="25" t="str">
        <f t="shared" ca="1" si="44"/>
        <v>&gt;60 dias</v>
      </c>
      <c r="AE1392" s="25">
        <f>MONTH(Tabela1[[#This Row],[Criado em]])</f>
        <v>12</v>
      </c>
      <c r="AF1392" s="25">
        <f>YEAR(Tabela1[[#This Row],[Criado em]])</f>
        <v>2025</v>
      </c>
      <c r="AG1392" s="25">
        <f>COUNTIFS(Tabela1[Mês],Tabela1[[#This Row],[Mês]])</f>
        <v>207</v>
      </c>
      <c r="AH1392" s="25">
        <f>COUNTIFS(Tabela1[Mês],Tabela1[[#This Row],[Mês]],Tabela1[Fase atual],"Recebido")</f>
        <v>155</v>
      </c>
      <c r="AI1392" s="26">
        <f>Tabela1[[#This Row],[Recebido_ Mes]]/Tabela1[[#This Row],[Total_Mes]]</f>
        <v>0.74879227053140096</v>
      </c>
      <c r="AJ1392" s="19">
        <f>COUNTIFS(Tabela1[Fase atual],"Recebido",Tabela1[Mês],Tabela1[[#This Row],[Mês]],Tabela1[Ano],Tabela1[[#This Row],[Ano]])/COUNTIF(Tabela1[Mês],Tabela1[[#This Row],[Mês]])</f>
        <v>0.74879227053140096</v>
      </c>
      <c r="AK1392" s="20">
        <f>100%</f>
        <v>1</v>
      </c>
    </row>
    <row r="1393" spans="1:37" ht="18" customHeight="1" x14ac:dyDescent="0.25">
      <c r="A1393">
        <v>1270181025</v>
      </c>
      <c r="B1393" t="s">
        <v>598</v>
      </c>
      <c r="C1393" t="s">
        <v>599</v>
      </c>
      <c r="D1393" t="s">
        <v>40</v>
      </c>
      <c r="E1393" t="s">
        <v>31</v>
      </c>
      <c r="F1393" s="2">
        <v>46009.798859444447</v>
      </c>
      <c r="AC1393" s="24">
        <f t="shared" ca="1" si="43"/>
        <v>124.20114055555314</v>
      </c>
      <c r="AD1393" s="25" t="str">
        <f t="shared" ca="1" si="44"/>
        <v>&gt;60 dias</v>
      </c>
      <c r="AE1393" s="25">
        <f>MONTH(Tabela1[[#This Row],[Criado em]])</f>
        <v>12</v>
      </c>
      <c r="AF1393" s="25">
        <f>YEAR(Tabela1[[#This Row],[Criado em]])</f>
        <v>2025</v>
      </c>
      <c r="AG1393" s="25">
        <f>COUNTIFS(Tabela1[Mês],Tabela1[[#This Row],[Mês]])</f>
        <v>207</v>
      </c>
      <c r="AH1393" s="25">
        <f>COUNTIFS(Tabela1[Mês],Tabela1[[#This Row],[Mês]],Tabela1[Fase atual],"Recebido")</f>
        <v>155</v>
      </c>
      <c r="AI1393" s="26">
        <f>Tabela1[[#This Row],[Recebido_ Mes]]/Tabela1[[#This Row],[Total_Mes]]</f>
        <v>0.74879227053140096</v>
      </c>
      <c r="AJ1393" s="19">
        <f>COUNTIFS(Tabela1[Fase atual],"Recebido",Tabela1[Mês],Tabela1[[#This Row],[Mês]],Tabela1[Ano],Tabela1[[#This Row],[Ano]])/COUNTIF(Tabela1[Mês],Tabela1[[#This Row],[Mês]])</f>
        <v>0.74879227053140096</v>
      </c>
      <c r="AK1393" s="20">
        <f>100%</f>
        <v>1</v>
      </c>
    </row>
    <row r="1394" spans="1:37" ht="18" customHeight="1" x14ac:dyDescent="0.25">
      <c r="A1394">
        <v>1288943314</v>
      </c>
      <c r="B1394" t="s">
        <v>598</v>
      </c>
      <c r="C1394" t="s">
        <v>599</v>
      </c>
      <c r="D1394" t="s">
        <v>37</v>
      </c>
      <c r="E1394" t="s">
        <v>31</v>
      </c>
      <c r="F1394" s="2">
        <v>46049.795534432873</v>
      </c>
      <c r="AC1394" s="24">
        <f t="shared" ca="1" si="43"/>
        <v>84.204465567127045</v>
      </c>
      <c r="AD1394" s="25" t="str">
        <f t="shared" ca="1" si="44"/>
        <v>&gt;60 dias</v>
      </c>
      <c r="AE1394" s="25">
        <f>MONTH(Tabela1[[#This Row],[Criado em]])</f>
        <v>1</v>
      </c>
      <c r="AF1394" s="25">
        <f>YEAR(Tabela1[[#This Row],[Criado em]])</f>
        <v>2026</v>
      </c>
      <c r="AG1394" s="25">
        <f>COUNTIFS(Tabela1[Mês],Tabela1[[#This Row],[Mês]])</f>
        <v>222</v>
      </c>
      <c r="AH1394" s="25">
        <f>COUNTIFS(Tabela1[Mês],Tabela1[[#This Row],[Mês]],Tabela1[Fase atual],"Recebido")</f>
        <v>174</v>
      </c>
      <c r="AI1394" s="26">
        <f>Tabela1[[#This Row],[Recebido_ Mes]]/Tabela1[[#This Row],[Total_Mes]]</f>
        <v>0.78378378378378377</v>
      </c>
      <c r="AJ1394" s="19">
        <f>COUNTIFS(Tabela1[Fase atual],"Recebido",Tabela1[Mês],Tabela1[[#This Row],[Mês]],Tabela1[Ano],Tabela1[[#This Row],[Ano]])/COUNTIF(Tabela1[Mês],Tabela1[[#This Row],[Mês]])</f>
        <v>0.78378378378378377</v>
      </c>
      <c r="AK1394" s="20">
        <f>100%</f>
        <v>1</v>
      </c>
    </row>
    <row r="1395" spans="1:37" ht="18" customHeight="1" x14ac:dyDescent="0.25">
      <c r="A1395">
        <v>1280327453</v>
      </c>
      <c r="B1395" t="s">
        <v>598</v>
      </c>
      <c r="C1395" t="s">
        <v>600</v>
      </c>
      <c r="D1395" t="s">
        <v>40</v>
      </c>
      <c r="E1395" t="s">
        <v>31</v>
      </c>
      <c r="F1395" s="2">
        <v>46034.546863587973</v>
      </c>
      <c r="AC1395" s="24">
        <f t="shared" ca="1" si="43"/>
        <v>99.453136412026652</v>
      </c>
      <c r="AD1395" s="25" t="str">
        <f t="shared" ca="1" si="44"/>
        <v>&gt;60 dias</v>
      </c>
      <c r="AE1395" s="25">
        <f>MONTH(Tabela1[[#This Row],[Criado em]])</f>
        <v>1</v>
      </c>
      <c r="AF1395" s="25">
        <f>YEAR(Tabela1[[#This Row],[Criado em]])</f>
        <v>2026</v>
      </c>
      <c r="AG1395" s="25">
        <f>COUNTIFS(Tabela1[Mês],Tabela1[[#This Row],[Mês]])</f>
        <v>222</v>
      </c>
      <c r="AH1395" s="25">
        <f>COUNTIFS(Tabela1[Mês],Tabela1[[#This Row],[Mês]],Tabela1[Fase atual],"Recebido")</f>
        <v>174</v>
      </c>
      <c r="AI1395" s="26">
        <f>Tabela1[[#This Row],[Recebido_ Mes]]/Tabela1[[#This Row],[Total_Mes]]</f>
        <v>0.78378378378378377</v>
      </c>
      <c r="AJ1395" s="19">
        <f>COUNTIFS(Tabela1[Fase atual],"Recebido",Tabela1[Mês],Tabela1[[#This Row],[Mês]],Tabela1[Ano],Tabela1[[#This Row],[Ano]])/COUNTIF(Tabela1[Mês],Tabela1[[#This Row],[Mês]])</f>
        <v>0.78378378378378377</v>
      </c>
      <c r="AK1395" s="20">
        <f>100%</f>
        <v>1</v>
      </c>
    </row>
    <row r="1396" spans="1:37" ht="18" customHeight="1" x14ac:dyDescent="0.25">
      <c r="A1396">
        <v>1262029698</v>
      </c>
      <c r="B1396" t="s">
        <v>598</v>
      </c>
      <c r="C1396" t="s">
        <v>2047</v>
      </c>
      <c r="D1396" t="s">
        <v>37</v>
      </c>
      <c r="E1396" t="s">
        <v>31</v>
      </c>
      <c r="F1396" s="2">
        <v>45992.796693402779</v>
      </c>
      <c r="AC1396" s="24">
        <f t="shared" ca="1" si="43"/>
        <v>141.20330659722094</v>
      </c>
      <c r="AD1396" s="25" t="str">
        <f t="shared" ca="1" si="44"/>
        <v>&gt;60 dias</v>
      </c>
      <c r="AE1396" s="25">
        <f>MONTH(Tabela1[[#This Row],[Criado em]])</f>
        <v>12</v>
      </c>
      <c r="AF1396" s="25">
        <f>YEAR(Tabela1[[#This Row],[Criado em]])</f>
        <v>2025</v>
      </c>
      <c r="AG1396" s="25">
        <f>COUNTIFS(Tabela1[Mês],Tabela1[[#This Row],[Mês]])</f>
        <v>207</v>
      </c>
      <c r="AH1396" s="25">
        <f>COUNTIFS(Tabela1[Mês],Tabela1[[#This Row],[Mês]],Tabela1[Fase atual],"Recebido")</f>
        <v>155</v>
      </c>
      <c r="AI1396" s="26">
        <f>Tabela1[[#This Row],[Recebido_ Mes]]/Tabela1[[#This Row],[Total_Mes]]</f>
        <v>0.74879227053140096</v>
      </c>
      <c r="AJ1396" s="19">
        <f>COUNTIFS(Tabela1[Fase atual],"Recebido",Tabela1[Mês],Tabela1[[#This Row],[Mês]],Tabela1[Ano],Tabela1[[#This Row],[Ano]])/COUNTIF(Tabela1[Mês],Tabela1[[#This Row],[Mês]])</f>
        <v>0.74879227053140096</v>
      </c>
      <c r="AK1396" s="20">
        <f>100%</f>
        <v>1</v>
      </c>
    </row>
    <row r="1397" spans="1:37" ht="18" customHeight="1" x14ac:dyDescent="0.25">
      <c r="A1397">
        <v>1284622209</v>
      </c>
      <c r="B1397" t="s">
        <v>598</v>
      </c>
      <c r="C1397" t="s">
        <v>601</v>
      </c>
      <c r="D1397" t="s">
        <v>37</v>
      </c>
      <c r="E1397" t="s">
        <v>31</v>
      </c>
      <c r="F1397" s="2">
        <v>46042.796700405088</v>
      </c>
      <c r="AC1397" s="24">
        <f t="shared" ca="1" si="43"/>
        <v>91.203299594912096</v>
      </c>
      <c r="AD1397" s="25" t="str">
        <f t="shared" ca="1" si="44"/>
        <v>&gt;60 dias</v>
      </c>
      <c r="AE1397" s="25">
        <f>MONTH(Tabela1[[#This Row],[Criado em]])</f>
        <v>1</v>
      </c>
      <c r="AF1397" s="25">
        <f>YEAR(Tabela1[[#This Row],[Criado em]])</f>
        <v>2026</v>
      </c>
      <c r="AG1397" s="25">
        <f>COUNTIFS(Tabela1[Mês],Tabela1[[#This Row],[Mês]])</f>
        <v>222</v>
      </c>
      <c r="AH1397" s="25">
        <f>COUNTIFS(Tabela1[Mês],Tabela1[[#This Row],[Mês]],Tabela1[Fase atual],"Recebido")</f>
        <v>174</v>
      </c>
      <c r="AI1397" s="26">
        <f>Tabela1[[#This Row],[Recebido_ Mes]]/Tabela1[[#This Row],[Total_Mes]]</f>
        <v>0.78378378378378377</v>
      </c>
      <c r="AJ1397" s="19">
        <f>COUNTIFS(Tabela1[Fase atual],"Recebido",Tabela1[Mês],Tabela1[[#This Row],[Mês]],Tabela1[Ano],Tabela1[[#This Row],[Ano]])/COUNTIF(Tabela1[Mês],Tabela1[[#This Row],[Mês]])</f>
        <v>0.78378378378378377</v>
      </c>
      <c r="AK1397" s="20">
        <f>100%</f>
        <v>1</v>
      </c>
    </row>
    <row r="1398" spans="1:37" ht="18" customHeight="1" x14ac:dyDescent="0.25">
      <c r="A1398">
        <v>1253540828</v>
      </c>
      <c r="B1398" t="s">
        <v>2048</v>
      </c>
      <c r="C1398" t="s">
        <v>2049</v>
      </c>
      <c r="D1398" t="s">
        <v>37</v>
      </c>
      <c r="E1398" t="s">
        <v>31</v>
      </c>
      <c r="F1398" s="2">
        <v>45972.863482939822</v>
      </c>
      <c r="AC1398" s="24">
        <f t="shared" ca="1" si="43"/>
        <v>161.13651706017845</v>
      </c>
      <c r="AD1398" s="25" t="str">
        <f t="shared" ca="1" si="44"/>
        <v>&gt;60 dias</v>
      </c>
      <c r="AE1398" s="25">
        <f>MONTH(Tabela1[[#This Row],[Criado em]])</f>
        <v>11</v>
      </c>
      <c r="AF1398" s="25">
        <f>YEAR(Tabela1[[#This Row],[Criado em]])</f>
        <v>2025</v>
      </c>
      <c r="AG1398" s="25">
        <f>COUNTIFS(Tabela1[Mês],Tabela1[[#This Row],[Mês]])</f>
        <v>130</v>
      </c>
      <c r="AH1398" s="25">
        <f>COUNTIFS(Tabela1[Mês],Tabela1[[#This Row],[Mês]],Tabela1[Fase atual],"Recebido")</f>
        <v>100</v>
      </c>
      <c r="AI1398" s="26">
        <f>Tabela1[[#This Row],[Recebido_ Mes]]/Tabela1[[#This Row],[Total_Mes]]</f>
        <v>0.76923076923076927</v>
      </c>
      <c r="AJ1398" s="19">
        <f>COUNTIFS(Tabela1[Fase atual],"Recebido",Tabela1[Mês],Tabela1[[#This Row],[Mês]],Tabela1[Ano],Tabela1[[#This Row],[Ano]])/COUNTIF(Tabela1[Mês],Tabela1[[#This Row],[Mês]])</f>
        <v>0.76923076923076927</v>
      </c>
      <c r="AK1398" s="20">
        <f>100%</f>
        <v>1</v>
      </c>
    </row>
    <row r="1399" spans="1:37" ht="18" customHeight="1" x14ac:dyDescent="0.25">
      <c r="A1399">
        <v>1267760244</v>
      </c>
      <c r="B1399" t="s">
        <v>2048</v>
      </c>
      <c r="C1399" t="s">
        <v>2050</v>
      </c>
      <c r="D1399" t="s">
        <v>37</v>
      </c>
      <c r="E1399" t="s">
        <v>31</v>
      </c>
      <c r="F1399" s="2">
        <v>46003.834775752322</v>
      </c>
      <c r="AC1399" s="24">
        <f t="shared" ca="1" si="43"/>
        <v>130.16522424767754</v>
      </c>
      <c r="AD1399" s="25" t="str">
        <f t="shared" ca="1" si="44"/>
        <v>&gt;60 dias</v>
      </c>
      <c r="AE1399" s="25">
        <f>MONTH(Tabela1[[#This Row],[Criado em]])</f>
        <v>12</v>
      </c>
      <c r="AF1399" s="25">
        <f>YEAR(Tabela1[[#This Row],[Criado em]])</f>
        <v>2025</v>
      </c>
      <c r="AG1399" s="25">
        <f>COUNTIFS(Tabela1[Mês],Tabela1[[#This Row],[Mês]])</f>
        <v>207</v>
      </c>
      <c r="AH1399" s="25">
        <f>COUNTIFS(Tabela1[Mês],Tabela1[[#This Row],[Mês]],Tabela1[Fase atual],"Recebido")</f>
        <v>155</v>
      </c>
      <c r="AI1399" s="26">
        <f>Tabela1[[#This Row],[Recebido_ Mes]]/Tabela1[[#This Row],[Total_Mes]]</f>
        <v>0.74879227053140096</v>
      </c>
      <c r="AJ1399" s="19">
        <f>COUNTIFS(Tabela1[Fase atual],"Recebido",Tabela1[Mês],Tabela1[[#This Row],[Mês]],Tabela1[Ano],Tabela1[[#This Row],[Ano]])/COUNTIF(Tabela1[Mês],Tabela1[[#This Row],[Mês]])</f>
        <v>0.74879227053140096</v>
      </c>
      <c r="AK1399" s="20">
        <f>100%</f>
        <v>1</v>
      </c>
    </row>
    <row r="1400" spans="1:37" ht="18" customHeight="1" x14ac:dyDescent="0.25">
      <c r="A1400">
        <v>1270220483</v>
      </c>
      <c r="B1400" t="s">
        <v>2051</v>
      </c>
      <c r="C1400" t="s">
        <v>2052</v>
      </c>
      <c r="D1400" t="s">
        <v>37</v>
      </c>
      <c r="E1400" t="s">
        <v>31</v>
      </c>
      <c r="F1400" s="2">
        <v>46009.834799629629</v>
      </c>
      <c r="AC1400" s="24">
        <f t="shared" ca="1" si="43"/>
        <v>124.16520037037117</v>
      </c>
      <c r="AD1400" s="25" t="str">
        <f t="shared" ca="1" si="44"/>
        <v>&gt;60 dias</v>
      </c>
      <c r="AE1400" s="25">
        <f>MONTH(Tabela1[[#This Row],[Criado em]])</f>
        <v>12</v>
      </c>
      <c r="AF1400" s="25">
        <f>YEAR(Tabela1[[#This Row],[Criado em]])</f>
        <v>2025</v>
      </c>
      <c r="AG1400" s="25">
        <f>COUNTIFS(Tabela1[Mês],Tabela1[[#This Row],[Mês]])</f>
        <v>207</v>
      </c>
      <c r="AH1400" s="25">
        <f>COUNTIFS(Tabela1[Mês],Tabela1[[#This Row],[Mês]],Tabela1[Fase atual],"Recebido")</f>
        <v>155</v>
      </c>
      <c r="AI1400" s="26">
        <f>Tabela1[[#This Row],[Recebido_ Mes]]/Tabela1[[#This Row],[Total_Mes]]</f>
        <v>0.74879227053140096</v>
      </c>
      <c r="AJ1400" s="19">
        <f>COUNTIFS(Tabela1[Fase atual],"Recebido",Tabela1[Mês],Tabela1[[#This Row],[Mês]],Tabela1[Ano],Tabela1[[#This Row],[Ano]])/COUNTIF(Tabela1[Mês],Tabela1[[#This Row],[Mês]])</f>
        <v>0.74879227053140096</v>
      </c>
      <c r="AK1400" s="20">
        <f>100%</f>
        <v>1</v>
      </c>
    </row>
    <row r="1401" spans="1:37" ht="18" customHeight="1" x14ac:dyDescent="0.25">
      <c r="A1401">
        <v>1264373377</v>
      </c>
      <c r="B1401" t="s">
        <v>2053</v>
      </c>
      <c r="C1401" t="s">
        <v>2054</v>
      </c>
      <c r="D1401" t="s">
        <v>37</v>
      </c>
      <c r="E1401" t="s">
        <v>31</v>
      </c>
      <c r="F1401" s="2">
        <v>45995.921711921299</v>
      </c>
      <c r="AC1401" s="24">
        <f t="shared" ca="1" si="43"/>
        <v>138.07828807870101</v>
      </c>
      <c r="AD1401" s="25" t="str">
        <f t="shared" ca="1" si="44"/>
        <v>&gt;60 dias</v>
      </c>
      <c r="AE1401" s="25">
        <f>MONTH(Tabela1[[#This Row],[Criado em]])</f>
        <v>12</v>
      </c>
      <c r="AF1401" s="25">
        <f>YEAR(Tabela1[[#This Row],[Criado em]])</f>
        <v>2025</v>
      </c>
      <c r="AG1401" s="25">
        <f>COUNTIFS(Tabela1[Mês],Tabela1[[#This Row],[Mês]])</f>
        <v>207</v>
      </c>
      <c r="AH1401" s="25">
        <f>COUNTIFS(Tabela1[Mês],Tabela1[[#This Row],[Mês]],Tabela1[Fase atual],"Recebido")</f>
        <v>155</v>
      </c>
      <c r="AI1401" s="26">
        <f>Tabela1[[#This Row],[Recebido_ Mes]]/Tabela1[[#This Row],[Total_Mes]]</f>
        <v>0.74879227053140096</v>
      </c>
      <c r="AJ1401" s="19">
        <f>COUNTIFS(Tabela1[Fase atual],"Recebido",Tabela1[Mês],Tabela1[[#This Row],[Mês]],Tabela1[Ano],Tabela1[[#This Row],[Ano]])/COUNTIF(Tabela1[Mês],Tabela1[[#This Row],[Mês]])</f>
        <v>0.74879227053140096</v>
      </c>
      <c r="AK1401" s="20">
        <f>100%</f>
        <v>1</v>
      </c>
    </row>
    <row r="1402" spans="1:37" ht="18" customHeight="1" x14ac:dyDescent="0.25">
      <c r="A1402">
        <v>1252997361</v>
      </c>
      <c r="B1402" t="s">
        <v>2053</v>
      </c>
      <c r="C1402" t="s">
        <v>2054</v>
      </c>
      <c r="D1402" t="s">
        <v>37</v>
      </c>
      <c r="E1402" t="s">
        <v>31</v>
      </c>
      <c r="F1402" s="2">
        <v>45971.9205009375</v>
      </c>
      <c r="AC1402" s="24">
        <f t="shared" ca="1" si="43"/>
        <v>162.07949906249996</v>
      </c>
      <c r="AD1402" s="25" t="str">
        <f t="shared" ca="1" si="44"/>
        <v>&gt;60 dias</v>
      </c>
      <c r="AE1402" s="25">
        <f>MONTH(Tabela1[[#This Row],[Criado em]])</f>
        <v>11</v>
      </c>
      <c r="AF1402" s="25">
        <f>YEAR(Tabela1[[#This Row],[Criado em]])</f>
        <v>2025</v>
      </c>
      <c r="AG1402" s="25">
        <f>COUNTIFS(Tabela1[Mês],Tabela1[[#This Row],[Mês]])</f>
        <v>130</v>
      </c>
      <c r="AH1402" s="25">
        <f>COUNTIFS(Tabela1[Mês],Tabela1[[#This Row],[Mês]],Tabela1[Fase atual],"Recebido")</f>
        <v>100</v>
      </c>
      <c r="AI1402" s="26">
        <f>Tabela1[[#This Row],[Recebido_ Mes]]/Tabela1[[#This Row],[Total_Mes]]</f>
        <v>0.76923076923076927</v>
      </c>
      <c r="AJ1402" s="19">
        <f>COUNTIFS(Tabela1[Fase atual],"Recebido",Tabela1[Mês],Tabela1[[#This Row],[Mês]],Tabela1[Ano],Tabela1[[#This Row],[Ano]])/COUNTIF(Tabela1[Mês],Tabela1[[#This Row],[Mês]])</f>
        <v>0.76923076923076927</v>
      </c>
      <c r="AK1402" s="20">
        <f>100%</f>
        <v>1</v>
      </c>
    </row>
    <row r="1403" spans="1:37" ht="18" customHeight="1" x14ac:dyDescent="0.25">
      <c r="A1403">
        <v>1226264866</v>
      </c>
      <c r="B1403" t="s">
        <v>2055</v>
      </c>
      <c r="C1403" t="s">
        <v>2056</v>
      </c>
      <c r="D1403" t="s">
        <v>37</v>
      </c>
      <c r="E1403" t="s">
        <v>31</v>
      </c>
      <c r="F1403" s="2">
        <v>45932.850382199067</v>
      </c>
      <c r="AC1403" s="24">
        <f t="shared" ca="1" si="43"/>
        <v>201.1496178009329</v>
      </c>
      <c r="AD1403" s="25" t="str">
        <f t="shared" ca="1" si="44"/>
        <v>&gt;60 dias</v>
      </c>
      <c r="AE1403" s="25">
        <f>MONTH(Tabela1[[#This Row],[Criado em]])</f>
        <v>10</v>
      </c>
      <c r="AF1403" s="25">
        <f>YEAR(Tabela1[[#This Row],[Criado em]])</f>
        <v>2025</v>
      </c>
      <c r="AG1403" s="25">
        <f>COUNTIFS(Tabela1[Mês],Tabela1[[#This Row],[Mês]])</f>
        <v>196</v>
      </c>
      <c r="AH1403" s="25">
        <f>COUNTIFS(Tabela1[Mês],Tabela1[[#This Row],[Mês]],Tabela1[Fase atual],"Recebido")</f>
        <v>138</v>
      </c>
      <c r="AI1403" s="26">
        <f>Tabela1[[#This Row],[Recebido_ Mes]]/Tabela1[[#This Row],[Total_Mes]]</f>
        <v>0.70408163265306123</v>
      </c>
      <c r="AJ1403" s="19">
        <f>COUNTIFS(Tabela1[Fase atual],"Recebido",Tabela1[Mês],Tabela1[[#This Row],[Mês]],Tabela1[Ano],Tabela1[[#This Row],[Ano]])/COUNTIF(Tabela1[Mês],Tabela1[[#This Row],[Mês]])</f>
        <v>0.70408163265306123</v>
      </c>
      <c r="AK1403" s="20">
        <f>100%</f>
        <v>1</v>
      </c>
    </row>
    <row r="1404" spans="1:37" ht="18" customHeight="1" x14ac:dyDescent="0.25">
      <c r="A1404">
        <v>1304246740</v>
      </c>
      <c r="B1404" t="s">
        <v>700</v>
      </c>
      <c r="C1404" t="s">
        <v>602</v>
      </c>
      <c r="D1404" t="s">
        <v>40</v>
      </c>
      <c r="E1404" t="s">
        <v>31</v>
      </c>
      <c r="F1404" s="2">
        <v>46078.906477002311</v>
      </c>
      <c r="AC1404" s="24">
        <f t="shared" ca="1" si="43"/>
        <v>55.093522997689433</v>
      </c>
      <c r="AD1404" s="25" t="str">
        <f t="shared" ca="1" si="44"/>
        <v>31-60 dias</v>
      </c>
      <c r="AE1404" s="25">
        <f>MONTH(Tabela1[[#This Row],[Criado em]])</f>
        <v>2</v>
      </c>
      <c r="AF1404" s="25">
        <f>YEAR(Tabela1[[#This Row],[Criado em]])</f>
        <v>2026</v>
      </c>
      <c r="AG1404" s="25">
        <f>COUNTIFS(Tabela1[Mês],Tabela1[[#This Row],[Mês]])</f>
        <v>197</v>
      </c>
      <c r="AH1404" s="25">
        <f>COUNTIFS(Tabela1[Mês],Tabela1[[#This Row],[Mês]],Tabela1[Fase atual],"Recebido")</f>
        <v>124</v>
      </c>
      <c r="AI1404" s="26">
        <f>Tabela1[[#This Row],[Recebido_ Mes]]/Tabela1[[#This Row],[Total_Mes]]</f>
        <v>0.62944162436548223</v>
      </c>
      <c r="AJ1404" s="19">
        <f>COUNTIFS(Tabela1[Fase atual],"Recebido",Tabela1[Mês],Tabela1[[#This Row],[Mês]],Tabela1[Ano],Tabela1[[#This Row],[Ano]])/COUNTIF(Tabela1[Mês],Tabela1[[#This Row],[Mês]])</f>
        <v>0.62944162436548223</v>
      </c>
      <c r="AK1404" s="20">
        <f>100%</f>
        <v>1</v>
      </c>
    </row>
    <row r="1405" spans="1:37" ht="18" customHeight="1" x14ac:dyDescent="0.25">
      <c r="A1405">
        <v>1171249844</v>
      </c>
      <c r="C1405" t="s">
        <v>2057</v>
      </c>
      <c r="D1405" t="s">
        <v>202</v>
      </c>
      <c r="E1405" t="s">
        <v>2058</v>
      </c>
      <c r="F1405" s="2">
        <v>45841.783123715279</v>
      </c>
      <c r="AC1405" s="24">
        <f t="shared" ca="1" si="43"/>
        <v>292.21687628472137</v>
      </c>
      <c r="AD1405" s="25" t="str">
        <f t="shared" ca="1" si="44"/>
        <v>&gt;60 dias</v>
      </c>
      <c r="AE1405" s="25">
        <f>MONTH(Tabela1[[#This Row],[Criado em]])</f>
        <v>7</v>
      </c>
      <c r="AF1405" s="25">
        <f>YEAR(Tabela1[[#This Row],[Criado em]])</f>
        <v>2025</v>
      </c>
      <c r="AG1405" s="25">
        <f>COUNTIFS(Tabela1[Mês],Tabela1[[#This Row],[Mês]])</f>
        <v>177</v>
      </c>
      <c r="AH1405" s="25">
        <f>COUNTIFS(Tabela1[Mês],Tabela1[[#This Row],[Mês]],Tabela1[Fase atual],"Recebido")</f>
        <v>130</v>
      </c>
      <c r="AI1405" s="26">
        <f>Tabela1[[#This Row],[Recebido_ Mes]]/Tabela1[[#This Row],[Total_Mes]]</f>
        <v>0.7344632768361582</v>
      </c>
      <c r="AJ1405" s="19">
        <f>COUNTIFS(Tabela1[Fase atual],"Recebido",Tabela1[Mês],Tabela1[[#This Row],[Mês]],Tabela1[Ano],Tabela1[[#This Row],[Ano]])/COUNTIF(Tabela1[Mês],Tabela1[[#This Row],[Mês]])</f>
        <v>0.7344632768361582</v>
      </c>
      <c r="AK1405" s="20">
        <f>100%</f>
        <v>1</v>
      </c>
    </row>
    <row r="1406" spans="1:37" ht="18" customHeight="1" x14ac:dyDescent="0.25">
      <c r="A1406">
        <v>1278072422</v>
      </c>
      <c r="C1406" t="s">
        <v>602</v>
      </c>
      <c r="D1406" t="s">
        <v>202</v>
      </c>
      <c r="E1406" t="s">
        <v>441</v>
      </c>
      <c r="F1406" s="2">
        <v>46029.517262662041</v>
      </c>
      <c r="AC1406" s="24">
        <f t="shared" ca="1" si="43"/>
        <v>104.48273733795941</v>
      </c>
      <c r="AD1406" s="25" t="str">
        <f t="shared" ca="1" si="44"/>
        <v>&gt;60 dias</v>
      </c>
      <c r="AE1406" s="25">
        <f>MONTH(Tabela1[[#This Row],[Criado em]])</f>
        <v>1</v>
      </c>
      <c r="AF1406" s="25">
        <f>YEAR(Tabela1[[#This Row],[Criado em]])</f>
        <v>2026</v>
      </c>
      <c r="AG1406" s="25">
        <f>COUNTIFS(Tabela1[Mês],Tabela1[[#This Row],[Mês]])</f>
        <v>222</v>
      </c>
      <c r="AH1406" s="25">
        <f>COUNTIFS(Tabela1[Mês],Tabela1[[#This Row],[Mês]],Tabela1[Fase atual],"Recebido")</f>
        <v>174</v>
      </c>
      <c r="AI1406" s="26">
        <f>Tabela1[[#This Row],[Recebido_ Mes]]/Tabela1[[#This Row],[Total_Mes]]</f>
        <v>0.78378378378378377</v>
      </c>
      <c r="AJ1406" s="19">
        <f>COUNTIFS(Tabela1[Fase atual],"Recebido",Tabela1[Mês],Tabela1[[#This Row],[Mês]],Tabela1[Ano],Tabela1[[#This Row],[Ano]])/COUNTIF(Tabela1[Mês],Tabela1[[#This Row],[Mês]])</f>
        <v>0.78378378378378377</v>
      </c>
      <c r="AK1406" s="20">
        <f>100%</f>
        <v>1</v>
      </c>
    </row>
    <row r="1407" spans="1:37" ht="18" customHeight="1" x14ac:dyDescent="0.25">
      <c r="A1407">
        <v>1254528082</v>
      </c>
      <c r="C1407" t="s">
        <v>2059</v>
      </c>
      <c r="D1407" t="s">
        <v>40</v>
      </c>
      <c r="E1407" t="s">
        <v>31</v>
      </c>
      <c r="F1407" s="2">
        <v>45974.730915555563</v>
      </c>
      <c r="AC1407" s="24">
        <f t="shared" ca="1" si="43"/>
        <v>159.26908444443688</v>
      </c>
      <c r="AD1407" s="25" t="str">
        <f t="shared" ca="1" si="44"/>
        <v>&gt;60 dias</v>
      </c>
      <c r="AE1407" s="25">
        <f>MONTH(Tabela1[[#This Row],[Criado em]])</f>
        <v>11</v>
      </c>
      <c r="AF1407" s="25">
        <f>YEAR(Tabela1[[#This Row],[Criado em]])</f>
        <v>2025</v>
      </c>
      <c r="AG1407" s="25">
        <f>COUNTIFS(Tabela1[Mês],Tabela1[[#This Row],[Mês]])</f>
        <v>130</v>
      </c>
      <c r="AH1407" s="25">
        <f>COUNTIFS(Tabela1[Mês],Tabela1[[#This Row],[Mês]],Tabela1[Fase atual],"Recebido")</f>
        <v>100</v>
      </c>
      <c r="AI1407" s="26">
        <f>Tabela1[[#This Row],[Recebido_ Mes]]/Tabela1[[#This Row],[Total_Mes]]</f>
        <v>0.76923076923076927</v>
      </c>
      <c r="AJ1407" s="19">
        <f>COUNTIFS(Tabela1[Fase atual],"Recebido",Tabela1[Mês],Tabela1[[#This Row],[Mês]],Tabela1[Ano],Tabela1[[#This Row],[Ano]])/COUNTIF(Tabela1[Mês],Tabela1[[#This Row],[Mês]])</f>
        <v>0.76923076923076927</v>
      </c>
      <c r="AK1407" s="20">
        <f>100%</f>
        <v>1</v>
      </c>
    </row>
    <row r="1408" spans="1:37" ht="18" customHeight="1" x14ac:dyDescent="0.25">
      <c r="A1408">
        <v>1301800815</v>
      </c>
      <c r="C1408" t="s">
        <v>603</v>
      </c>
      <c r="D1408" t="s">
        <v>40</v>
      </c>
      <c r="E1408" t="s">
        <v>31</v>
      </c>
      <c r="F1408" s="2">
        <v>46076.818953437498</v>
      </c>
      <c r="AC1408" s="24">
        <f t="shared" ca="1" si="43"/>
        <v>57.181046562502161</v>
      </c>
      <c r="AD1408" s="25" t="str">
        <f t="shared" ca="1" si="44"/>
        <v>31-60 dias</v>
      </c>
      <c r="AE1408" s="25">
        <f>MONTH(Tabela1[[#This Row],[Criado em]])</f>
        <v>2</v>
      </c>
      <c r="AF1408" s="25">
        <f>YEAR(Tabela1[[#This Row],[Criado em]])</f>
        <v>2026</v>
      </c>
      <c r="AG1408" s="25">
        <f>COUNTIFS(Tabela1[Mês],Tabela1[[#This Row],[Mês]])</f>
        <v>197</v>
      </c>
      <c r="AH1408" s="25">
        <f>COUNTIFS(Tabela1[Mês],Tabela1[[#This Row],[Mês]],Tabela1[Fase atual],"Recebido")</f>
        <v>124</v>
      </c>
      <c r="AI1408" s="26">
        <f>Tabela1[[#This Row],[Recebido_ Mes]]/Tabela1[[#This Row],[Total_Mes]]</f>
        <v>0.62944162436548223</v>
      </c>
      <c r="AJ1408" s="19">
        <f>COUNTIFS(Tabela1[Fase atual],"Recebido",Tabela1[Mês],Tabela1[[#This Row],[Mês]],Tabela1[Ano],Tabela1[[#This Row],[Ano]])/COUNTIF(Tabela1[Mês],Tabela1[[#This Row],[Mês]])</f>
        <v>0.62944162436548223</v>
      </c>
      <c r="AK1408" s="20">
        <f>100%</f>
        <v>1</v>
      </c>
    </row>
    <row r="1409" spans="1:37" ht="18" customHeight="1" x14ac:dyDescent="0.25">
      <c r="A1409">
        <v>1295382686</v>
      </c>
      <c r="B1409" t="s">
        <v>604</v>
      </c>
      <c r="C1409" t="s">
        <v>605</v>
      </c>
      <c r="D1409" t="s">
        <v>37</v>
      </c>
      <c r="E1409" t="s">
        <v>31</v>
      </c>
      <c r="F1409" s="2">
        <v>46062.794516087961</v>
      </c>
      <c r="AC1409" s="24">
        <f t="shared" ca="1" si="43"/>
        <v>71.205483912039199</v>
      </c>
      <c r="AD1409" s="25" t="str">
        <f t="shared" ca="1" si="44"/>
        <v>&gt;60 dias</v>
      </c>
      <c r="AE1409" s="25">
        <f>MONTH(Tabela1[[#This Row],[Criado em]])</f>
        <v>2</v>
      </c>
      <c r="AF1409" s="25">
        <f>YEAR(Tabela1[[#This Row],[Criado em]])</f>
        <v>2026</v>
      </c>
      <c r="AG1409" s="25">
        <f>COUNTIFS(Tabela1[Mês],Tabela1[[#This Row],[Mês]])</f>
        <v>197</v>
      </c>
      <c r="AH1409" s="25">
        <f>COUNTIFS(Tabela1[Mês],Tabela1[[#This Row],[Mês]],Tabela1[Fase atual],"Recebido")</f>
        <v>124</v>
      </c>
      <c r="AI1409" s="26">
        <f>Tabela1[[#This Row],[Recebido_ Mes]]/Tabela1[[#This Row],[Total_Mes]]</f>
        <v>0.62944162436548223</v>
      </c>
      <c r="AJ1409" s="19">
        <f>COUNTIFS(Tabela1[Fase atual],"Recebido",Tabela1[Mês],Tabela1[[#This Row],[Mês]],Tabela1[Ano],Tabela1[[#This Row],[Ano]])/COUNTIF(Tabela1[Mês],Tabela1[[#This Row],[Mês]])</f>
        <v>0.62944162436548223</v>
      </c>
      <c r="AK1409" s="20">
        <f>100%</f>
        <v>1</v>
      </c>
    </row>
    <row r="1410" spans="1:37" ht="18" customHeight="1" x14ac:dyDescent="0.25">
      <c r="A1410">
        <v>1259477949</v>
      </c>
      <c r="B1410" t="s">
        <v>2060</v>
      </c>
      <c r="C1410" t="s">
        <v>2061</v>
      </c>
      <c r="D1410" t="s">
        <v>37</v>
      </c>
      <c r="E1410" t="s">
        <v>31</v>
      </c>
      <c r="F1410" s="2">
        <v>45986.796030937498</v>
      </c>
      <c r="AC1410" s="24">
        <f t="shared" ca="1" si="43"/>
        <v>147.20396906250244</v>
      </c>
      <c r="AD1410" s="25" t="str">
        <f t="shared" ca="1" si="44"/>
        <v>&gt;60 dias</v>
      </c>
      <c r="AE1410" s="25">
        <f>MONTH(Tabela1[[#This Row],[Criado em]])</f>
        <v>11</v>
      </c>
      <c r="AF1410" s="25">
        <f>YEAR(Tabela1[[#This Row],[Criado em]])</f>
        <v>2025</v>
      </c>
      <c r="AG1410" s="25">
        <f>COUNTIFS(Tabela1[Mês],Tabela1[[#This Row],[Mês]])</f>
        <v>130</v>
      </c>
      <c r="AH1410" s="25">
        <f>COUNTIFS(Tabela1[Mês],Tabela1[[#This Row],[Mês]],Tabela1[Fase atual],"Recebido")</f>
        <v>100</v>
      </c>
      <c r="AI1410" s="26">
        <f>Tabela1[[#This Row],[Recebido_ Mes]]/Tabela1[[#This Row],[Total_Mes]]</f>
        <v>0.76923076923076927</v>
      </c>
      <c r="AJ1410" s="19">
        <f>COUNTIFS(Tabela1[Fase atual],"Recebido",Tabela1[Mês],Tabela1[[#This Row],[Mês]],Tabela1[Ano],Tabela1[[#This Row],[Ano]])/COUNTIF(Tabela1[Mês],Tabela1[[#This Row],[Mês]])</f>
        <v>0.76923076923076927</v>
      </c>
      <c r="AK1410" s="20">
        <f>100%</f>
        <v>1</v>
      </c>
    </row>
    <row r="1411" spans="1:37" ht="18" customHeight="1" x14ac:dyDescent="0.25">
      <c r="A1411">
        <v>1293739532</v>
      </c>
      <c r="B1411" t="s">
        <v>606</v>
      </c>
      <c r="C1411" t="s">
        <v>607</v>
      </c>
      <c r="D1411" t="s">
        <v>37</v>
      </c>
      <c r="E1411" t="s">
        <v>31</v>
      </c>
      <c r="F1411" s="2">
        <v>46058.629216157409</v>
      </c>
      <c r="AC1411" s="24">
        <f t="shared" ref="AC1411:AC1474" ca="1" si="45">TODAY() - F1411</f>
        <v>75.370783842590754</v>
      </c>
      <c r="AD1411" s="25" t="str">
        <f t="shared" ref="AD1411:AD1474" ca="1" si="46">IF(AC1411&lt;=14,"0-14 dias",
IF(AC1411&lt;=19,"15-19 dias",
IF(AC1411&lt;=24,"20-24 dias",
IF(AC1411&lt;=30,"25-30 dias",
IF(AC1411&lt;=60,"31-60 dias",
"&gt;60 dias")))))</f>
        <v>&gt;60 dias</v>
      </c>
      <c r="AE1411" s="25">
        <f>MONTH(Tabela1[[#This Row],[Criado em]])</f>
        <v>2</v>
      </c>
      <c r="AF1411" s="25">
        <f>YEAR(Tabela1[[#This Row],[Criado em]])</f>
        <v>2026</v>
      </c>
      <c r="AG1411" s="25">
        <f>COUNTIFS(Tabela1[Mês],Tabela1[[#This Row],[Mês]])</f>
        <v>197</v>
      </c>
      <c r="AH1411" s="25">
        <f>COUNTIFS(Tabela1[Mês],Tabela1[[#This Row],[Mês]],Tabela1[Fase atual],"Recebido")</f>
        <v>124</v>
      </c>
      <c r="AI1411" s="26">
        <f>Tabela1[[#This Row],[Recebido_ Mes]]/Tabela1[[#This Row],[Total_Mes]]</f>
        <v>0.62944162436548223</v>
      </c>
      <c r="AJ1411" s="19">
        <f>COUNTIFS(Tabela1[Fase atual],"Recebido",Tabela1[Mês],Tabela1[[#This Row],[Mês]],Tabela1[Ano],Tabela1[[#This Row],[Ano]])/COUNTIF(Tabela1[Mês],Tabela1[[#This Row],[Mês]])</f>
        <v>0.62944162436548223</v>
      </c>
      <c r="AK1411" s="20">
        <f>100%</f>
        <v>1</v>
      </c>
    </row>
    <row r="1412" spans="1:37" ht="18" customHeight="1" x14ac:dyDescent="0.25">
      <c r="A1412">
        <v>1278799376</v>
      </c>
      <c r="B1412" t="s">
        <v>606</v>
      </c>
      <c r="C1412" t="s">
        <v>608</v>
      </c>
      <c r="D1412" t="s">
        <v>37</v>
      </c>
      <c r="E1412" t="s">
        <v>31</v>
      </c>
      <c r="F1412" s="2">
        <v>46030.629339942127</v>
      </c>
      <c r="AC1412" s="24">
        <f t="shared" ca="1" si="45"/>
        <v>103.37066005787347</v>
      </c>
      <c r="AD1412" s="25" t="str">
        <f t="shared" ca="1" si="46"/>
        <v>&gt;60 dias</v>
      </c>
      <c r="AE1412" s="25">
        <f>MONTH(Tabela1[[#This Row],[Criado em]])</f>
        <v>1</v>
      </c>
      <c r="AF1412" s="25">
        <f>YEAR(Tabela1[[#This Row],[Criado em]])</f>
        <v>2026</v>
      </c>
      <c r="AG1412" s="25">
        <f>COUNTIFS(Tabela1[Mês],Tabela1[[#This Row],[Mês]])</f>
        <v>222</v>
      </c>
      <c r="AH1412" s="25">
        <f>COUNTIFS(Tabela1[Mês],Tabela1[[#This Row],[Mês]],Tabela1[Fase atual],"Recebido")</f>
        <v>174</v>
      </c>
      <c r="AI1412" s="26">
        <f>Tabela1[[#This Row],[Recebido_ Mes]]/Tabela1[[#This Row],[Total_Mes]]</f>
        <v>0.78378378378378377</v>
      </c>
      <c r="AJ1412" s="19">
        <f>COUNTIFS(Tabela1[Fase atual],"Recebido",Tabela1[Mês],Tabela1[[#This Row],[Mês]],Tabela1[Ano],Tabela1[[#This Row],[Ano]])/COUNTIF(Tabela1[Mês],Tabela1[[#This Row],[Mês]])</f>
        <v>0.78378378378378377</v>
      </c>
      <c r="AK1412" s="20">
        <f>100%</f>
        <v>1</v>
      </c>
    </row>
    <row r="1413" spans="1:37" ht="18" customHeight="1" x14ac:dyDescent="0.25">
      <c r="A1413">
        <v>1178755571</v>
      </c>
      <c r="B1413" t="s">
        <v>2062</v>
      </c>
      <c r="C1413" t="s">
        <v>2063</v>
      </c>
      <c r="D1413" t="s">
        <v>37</v>
      </c>
      <c r="E1413" t="s">
        <v>31</v>
      </c>
      <c r="F1413" s="2">
        <v>45856.643080879629</v>
      </c>
      <c r="AC1413" s="24">
        <f t="shared" ca="1" si="45"/>
        <v>277.35691912037146</v>
      </c>
      <c r="AD1413" s="25" t="str">
        <f t="shared" ca="1" si="46"/>
        <v>&gt;60 dias</v>
      </c>
      <c r="AE1413" s="25">
        <f>MONTH(Tabela1[[#This Row],[Criado em]])</f>
        <v>7</v>
      </c>
      <c r="AF1413" s="25">
        <f>YEAR(Tabela1[[#This Row],[Criado em]])</f>
        <v>2025</v>
      </c>
      <c r="AG1413" s="25">
        <f>COUNTIFS(Tabela1[Mês],Tabela1[[#This Row],[Mês]])</f>
        <v>177</v>
      </c>
      <c r="AH1413" s="25">
        <f>COUNTIFS(Tabela1[Mês],Tabela1[[#This Row],[Mês]],Tabela1[Fase atual],"Recebido")</f>
        <v>130</v>
      </c>
      <c r="AI1413" s="26">
        <f>Tabela1[[#This Row],[Recebido_ Mes]]/Tabela1[[#This Row],[Total_Mes]]</f>
        <v>0.7344632768361582</v>
      </c>
      <c r="AJ1413" s="19">
        <f>COUNTIFS(Tabela1[Fase atual],"Recebido",Tabela1[Mês],Tabela1[[#This Row],[Mês]],Tabela1[Ano],Tabela1[[#This Row],[Ano]])/COUNTIF(Tabela1[Mês],Tabela1[[#This Row],[Mês]])</f>
        <v>0.7344632768361582</v>
      </c>
      <c r="AK1413" s="20">
        <f>100%</f>
        <v>1</v>
      </c>
    </row>
    <row r="1414" spans="1:37" ht="18" customHeight="1" x14ac:dyDescent="0.25">
      <c r="A1414">
        <v>1208428229</v>
      </c>
      <c r="B1414" t="s">
        <v>2062</v>
      </c>
      <c r="C1414" t="s">
        <v>2063</v>
      </c>
      <c r="D1414" t="s">
        <v>37</v>
      </c>
      <c r="E1414" t="s">
        <v>31</v>
      </c>
      <c r="F1414" s="2">
        <v>45904.8522003588</v>
      </c>
      <c r="AC1414" s="24">
        <f t="shared" ca="1" si="45"/>
        <v>229.14779964119953</v>
      </c>
      <c r="AD1414" s="25" t="str">
        <f t="shared" ca="1" si="46"/>
        <v>&gt;60 dias</v>
      </c>
      <c r="AE1414" s="25">
        <f>MONTH(Tabela1[[#This Row],[Criado em]])</f>
        <v>9</v>
      </c>
      <c r="AF1414" s="25">
        <f>YEAR(Tabela1[[#This Row],[Criado em]])</f>
        <v>2025</v>
      </c>
      <c r="AG1414" s="25">
        <f>COUNTIFS(Tabela1[Mês],Tabela1[[#This Row],[Mês]])</f>
        <v>197</v>
      </c>
      <c r="AH1414" s="25">
        <f>COUNTIFS(Tabela1[Mês],Tabela1[[#This Row],[Mês]],Tabela1[Fase atual],"Recebido")</f>
        <v>152</v>
      </c>
      <c r="AI1414" s="26">
        <f>Tabela1[[#This Row],[Recebido_ Mes]]/Tabela1[[#This Row],[Total_Mes]]</f>
        <v>0.77157360406091369</v>
      </c>
      <c r="AJ1414" s="19">
        <f>COUNTIFS(Tabela1[Fase atual],"Recebido",Tabela1[Mês],Tabela1[[#This Row],[Mês]],Tabela1[Ano],Tabela1[[#This Row],[Ano]])/COUNTIF(Tabela1[Mês],Tabela1[[#This Row],[Mês]])</f>
        <v>0.77157360406091369</v>
      </c>
      <c r="AK1414" s="20">
        <f>100%</f>
        <v>1</v>
      </c>
    </row>
    <row r="1415" spans="1:37" ht="18" customHeight="1" x14ac:dyDescent="0.25">
      <c r="A1415">
        <v>1270563971</v>
      </c>
      <c r="B1415" t="s">
        <v>2062</v>
      </c>
      <c r="C1415" t="s">
        <v>2064</v>
      </c>
      <c r="D1415" t="s">
        <v>37</v>
      </c>
      <c r="E1415" t="s">
        <v>31</v>
      </c>
      <c r="F1415" s="2">
        <v>46010.619489016201</v>
      </c>
      <c r="AC1415" s="24">
        <f t="shared" ca="1" si="45"/>
        <v>123.38051098379947</v>
      </c>
      <c r="AD1415" s="25" t="str">
        <f t="shared" ca="1" si="46"/>
        <v>&gt;60 dias</v>
      </c>
      <c r="AE1415" s="25">
        <f>MONTH(Tabela1[[#This Row],[Criado em]])</f>
        <v>12</v>
      </c>
      <c r="AF1415" s="25">
        <f>YEAR(Tabela1[[#This Row],[Criado em]])</f>
        <v>2025</v>
      </c>
      <c r="AG1415" s="25">
        <f>COUNTIFS(Tabela1[Mês],Tabela1[[#This Row],[Mês]])</f>
        <v>207</v>
      </c>
      <c r="AH1415" s="25">
        <f>COUNTIFS(Tabela1[Mês],Tabela1[[#This Row],[Mês]],Tabela1[Fase atual],"Recebido")</f>
        <v>155</v>
      </c>
      <c r="AI1415" s="26">
        <f>Tabela1[[#This Row],[Recebido_ Mes]]/Tabela1[[#This Row],[Total_Mes]]</f>
        <v>0.74879227053140096</v>
      </c>
      <c r="AJ1415" s="19">
        <f>COUNTIFS(Tabela1[Fase atual],"Recebido",Tabela1[Mês],Tabela1[[#This Row],[Mês]],Tabela1[Ano],Tabela1[[#This Row],[Ano]])/COUNTIF(Tabela1[Mês],Tabela1[[#This Row],[Mês]])</f>
        <v>0.74879227053140096</v>
      </c>
      <c r="AK1415" s="20">
        <f>100%</f>
        <v>1</v>
      </c>
    </row>
    <row r="1416" spans="1:37" ht="18" customHeight="1" x14ac:dyDescent="0.25">
      <c r="A1416">
        <v>1254000656</v>
      </c>
      <c r="B1416" t="s">
        <v>2062</v>
      </c>
      <c r="C1416" t="s">
        <v>2064</v>
      </c>
      <c r="D1416" t="s">
        <v>37</v>
      </c>
      <c r="E1416" t="s">
        <v>31</v>
      </c>
      <c r="F1416" s="2">
        <v>45973.795672037028</v>
      </c>
      <c r="AC1416" s="24">
        <f t="shared" ca="1" si="45"/>
        <v>160.20432796297246</v>
      </c>
      <c r="AD1416" s="25" t="str">
        <f t="shared" ca="1" si="46"/>
        <v>&gt;60 dias</v>
      </c>
      <c r="AE1416" s="25">
        <f>MONTH(Tabela1[[#This Row],[Criado em]])</f>
        <v>11</v>
      </c>
      <c r="AF1416" s="25">
        <f>YEAR(Tabela1[[#This Row],[Criado em]])</f>
        <v>2025</v>
      </c>
      <c r="AG1416" s="25">
        <f>COUNTIFS(Tabela1[Mês],Tabela1[[#This Row],[Mês]])</f>
        <v>130</v>
      </c>
      <c r="AH1416" s="25">
        <f>COUNTIFS(Tabela1[Mês],Tabela1[[#This Row],[Mês]],Tabela1[Fase atual],"Recebido")</f>
        <v>100</v>
      </c>
      <c r="AI1416" s="26">
        <f>Tabela1[[#This Row],[Recebido_ Mes]]/Tabela1[[#This Row],[Total_Mes]]</f>
        <v>0.76923076923076927</v>
      </c>
      <c r="AJ1416" s="19">
        <f>COUNTIFS(Tabela1[Fase atual],"Recebido",Tabela1[Mês],Tabela1[[#This Row],[Mês]],Tabela1[Ano],Tabela1[[#This Row],[Ano]])/COUNTIF(Tabela1[Mês],Tabela1[[#This Row],[Mês]])</f>
        <v>0.76923076923076927</v>
      </c>
      <c r="AK1416" s="20">
        <f>100%</f>
        <v>1</v>
      </c>
    </row>
    <row r="1417" spans="1:37" ht="18" customHeight="1" x14ac:dyDescent="0.25">
      <c r="A1417">
        <v>1243427086</v>
      </c>
      <c r="B1417" t="s">
        <v>2065</v>
      </c>
      <c r="C1417" t="s">
        <v>2066</v>
      </c>
      <c r="D1417" t="s">
        <v>784</v>
      </c>
      <c r="E1417" t="s">
        <v>31</v>
      </c>
      <c r="F1417" s="2">
        <v>45954.795806435177</v>
      </c>
      <c r="AC1417" s="24">
        <f t="shared" ca="1" si="45"/>
        <v>179.20419356482307</v>
      </c>
      <c r="AD1417" s="25" t="str">
        <f t="shared" ca="1" si="46"/>
        <v>&gt;60 dias</v>
      </c>
      <c r="AE1417" s="25">
        <f>MONTH(Tabela1[[#This Row],[Criado em]])</f>
        <v>10</v>
      </c>
      <c r="AF1417" s="25">
        <f>YEAR(Tabela1[[#This Row],[Criado em]])</f>
        <v>2025</v>
      </c>
      <c r="AG1417" s="25">
        <f>COUNTIFS(Tabela1[Mês],Tabela1[[#This Row],[Mês]])</f>
        <v>196</v>
      </c>
      <c r="AH1417" s="25">
        <f>COUNTIFS(Tabela1[Mês],Tabela1[[#This Row],[Mês]],Tabela1[Fase atual],"Recebido")</f>
        <v>138</v>
      </c>
      <c r="AI1417" s="26">
        <f>Tabela1[[#This Row],[Recebido_ Mes]]/Tabela1[[#This Row],[Total_Mes]]</f>
        <v>0.70408163265306123</v>
      </c>
      <c r="AJ1417" s="19">
        <f>COUNTIFS(Tabela1[Fase atual],"Recebido",Tabela1[Mês],Tabela1[[#This Row],[Mês]],Tabela1[Ano],Tabela1[[#This Row],[Ano]])/COUNTIF(Tabela1[Mês],Tabela1[[#This Row],[Mês]])</f>
        <v>0.70408163265306123</v>
      </c>
      <c r="AK1417" s="20">
        <f>100%</f>
        <v>1</v>
      </c>
    </row>
    <row r="1418" spans="1:37" ht="18" customHeight="1" x14ac:dyDescent="0.25">
      <c r="A1418">
        <v>1173353482</v>
      </c>
      <c r="B1418" t="s">
        <v>812</v>
      </c>
      <c r="C1418" t="s">
        <v>2067</v>
      </c>
      <c r="D1418" t="s">
        <v>784</v>
      </c>
      <c r="E1418" t="s">
        <v>31</v>
      </c>
      <c r="F1418" s="2">
        <v>45846.851163310188</v>
      </c>
      <c r="AC1418" s="24">
        <f t="shared" ca="1" si="45"/>
        <v>287.14883668981201</v>
      </c>
      <c r="AD1418" s="25" t="str">
        <f t="shared" ca="1" si="46"/>
        <v>&gt;60 dias</v>
      </c>
      <c r="AE1418" s="25">
        <f>MONTH(Tabela1[[#This Row],[Criado em]])</f>
        <v>7</v>
      </c>
      <c r="AF1418" s="25">
        <f>YEAR(Tabela1[[#This Row],[Criado em]])</f>
        <v>2025</v>
      </c>
      <c r="AG1418" s="25">
        <f>COUNTIFS(Tabela1[Mês],Tabela1[[#This Row],[Mês]])</f>
        <v>177</v>
      </c>
      <c r="AH1418" s="25">
        <f>COUNTIFS(Tabela1[Mês],Tabela1[[#This Row],[Mês]],Tabela1[Fase atual],"Recebido")</f>
        <v>130</v>
      </c>
      <c r="AI1418" s="26">
        <f>Tabela1[[#This Row],[Recebido_ Mes]]/Tabela1[[#This Row],[Total_Mes]]</f>
        <v>0.7344632768361582</v>
      </c>
      <c r="AJ1418" s="19">
        <f>COUNTIFS(Tabela1[Fase atual],"Recebido",Tabela1[Mês],Tabela1[[#This Row],[Mês]],Tabela1[Ano],Tabela1[[#This Row],[Ano]])/COUNTIF(Tabela1[Mês],Tabela1[[#This Row],[Mês]])</f>
        <v>0.7344632768361582</v>
      </c>
      <c r="AK1418" s="20">
        <f>100%</f>
        <v>1</v>
      </c>
    </row>
    <row r="1419" spans="1:37" ht="18" customHeight="1" x14ac:dyDescent="0.25">
      <c r="A1419">
        <v>1202541832</v>
      </c>
      <c r="B1419" t="s">
        <v>812</v>
      </c>
      <c r="C1419" t="s">
        <v>2067</v>
      </c>
      <c r="D1419" t="s">
        <v>784</v>
      </c>
      <c r="E1419" t="s">
        <v>31</v>
      </c>
      <c r="F1419" s="2">
        <v>45895.85009028935</v>
      </c>
      <c r="AC1419" s="24">
        <f t="shared" ca="1" si="45"/>
        <v>238.14990971064981</v>
      </c>
      <c r="AD1419" s="25" t="str">
        <f t="shared" ca="1" si="46"/>
        <v>&gt;60 dias</v>
      </c>
      <c r="AE1419" s="25">
        <f>MONTH(Tabela1[[#This Row],[Criado em]])</f>
        <v>8</v>
      </c>
      <c r="AF1419" s="25">
        <f>YEAR(Tabela1[[#This Row],[Criado em]])</f>
        <v>2025</v>
      </c>
      <c r="AG1419" s="25">
        <f>COUNTIFS(Tabela1[Mês],Tabela1[[#This Row],[Mês]])</f>
        <v>146</v>
      </c>
      <c r="AH1419" s="25">
        <f>COUNTIFS(Tabela1[Mês],Tabela1[[#This Row],[Mês]],Tabela1[Fase atual],"Recebido")</f>
        <v>115</v>
      </c>
      <c r="AI1419" s="26">
        <f>Tabela1[[#This Row],[Recebido_ Mes]]/Tabela1[[#This Row],[Total_Mes]]</f>
        <v>0.78767123287671237</v>
      </c>
      <c r="AJ1419" s="19">
        <f>COUNTIFS(Tabela1[Fase atual],"Recebido",Tabela1[Mês],Tabela1[[#This Row],[Mês]],Tabela1[Ano],Tabela1[[#This Row],[Ano]])/COUNTIF(Tabela1[Mês],Tabela1[[#This Row],[Mês]])</f>
        <v>0.78767123287671237</v>
      </c>
      <c r="AK1419" s="20">
        <f>100%</f>
        <v>1</v>
      </c>
    </row>
    <row r="1420" spans="1:37" ht="18" customHeight="1" x14ac:dyDescent="0.25">
      <c r="A1420">
        <v>1179015267</v>
      </c>
      <c r="B1420" t="s">
        <v>162</v>
      </c>
      <c r="C1420" t="s">
        <v>2068</v>
      </c>
      <c r="D1420" t="s">
        <v>37</v>
      </c>
      <c r="E1420" t="s">
        <v>31</v>
      </c>
      <c r="F1420" s="2">
        <v>45856.850960011572</v>
      </c>
      <c r="AC1420" s="24">
        <f t="shared" ca="1" si="45"/>
        <v>277.14903998842783</v>
      </c>
      <c r="AD1420" s="25" t="str">
        <f t="shared" ca="1" si="46"/>
        <v>&gt;60 dias</v>
      </c>
      <c r="AE1420" s="25">
        <f>MONTH(Tabela1[[#This Row],[Criado em]])</f>
        <v>7</v>
      </c>
      <c r="AF1420" s="25">
        <f>YEAR(Tabela1[[#This Row],[Criado em]])</f>
        <v>2025</v>
      </c>
      <c r="AG1420" s="25">
        <f>COUNTIFS(Tabela1[Mês],Tabela1[[#This Row],[Mês]])</f>
        <v>177</v>
      </c>
      <c r="AH1420" s="25">
        <f>COUNTIFS(Tabela1[Mês],Tabela1[[#This Row],[Mês]],Tabela1[Fase atual],"Recebido")</f>
        <v>130</v>
      </c>
      <c r="AI1420" s="26">
        <f>Tabela1[[#This Row],[Recebido_ Mes]]/Tabela1[[#This Row],[Total_Mes]]</f>
        <v>0.7344632768361582</v>
      </c>
      <c r="AJ1420" s="19">
        <f>COUNTIFS(Tabela1[Fase atual],"Recebido",Tabela1[Mês],Tabela1[[#This Row],[Mês]],Tabela1[Ano],Tabela1[[#This Row],[Ano]])/COUNTIF(Tabela1[Mês],Tabela1[[#This Row],[Mês]])</f>
        <v>0.7344632768361582</v>
      </c>
      <c r="AK1420" s="20">
        <f>100%</f>
        <v>1</v>
      </c>
    </row>
    <row r="1421" spans="1:37" ht="18" customHeight="1" x14ac:dyDescent="0.25">
      <c r="A1421">
        <v>1213466655</v>
      </c>
      <c r="B1421" t="s">
        <v>812</v>
      </c>
      <c r="C1421" t="s">
        <v>2069</v>
      </c>
      <c r="D1421" t="s">
        <v>784</v>
      </c>
      <c r="E1421" t="s">
        <v>31</v>
      </c>
      <c r="F1421" s="2">
        <v>45912.851790381937</v>
      </c>
      <c r="AC1421" s="24">
        <f t="shared" ca="1" si="45"/>
        <v>221.14820961806254</v>
      </c>
      <c r="AD1421" s="25" t="str">
        <f t="shared" ca="1" si="46"/>
        <v>&gt;60 dias</v>
      </c>
      <c r="AE1421" s="25">
        <f>MONTH(Tabela1[[#This Row],[Criado em]])</f>
        <v>9</v>
      </c>
      <c r="AF1421" s="25">
        <f>YEAR(Tabela1[[#This Row],[Criado em]])</f>
        <v>2025</v>
      </c>
      <c r="AG1421" s="25">
        <f>COUNTIFS(Tabela1[Mês],Tabela1[[#This Row],[Mês]])</f>
        <v>197</v>
      </c>
      <c r="AH1421" s="25">
        <f>COUNTIFS(Tabela1[Mês],Tabela1[[#This Row],[Mês]],Tabela1[Fase atual],"Recebido")</f>
        <v>152</v>
      </c>
      <c r="AI1421" s="26">
        <f>Tabela1[[#This Row],[Recebido_ Mes]]/Tabela1[[#This Row],[Total_Mes]]</f>
        <v>0.77157360406091369</v>
      </c>
      <c r="AJ1421" s="19">
        <f>COUNTIFS(Tabela1[Fase atual],"Recebido",Tabela1[Mês],Tabela1[[#This Row],[Mês]],Tabela1[Ano],Tabela1[[#This Row],[Ano]])/COUNTIF(Tabela1[Mês],Tabela1[[#This Row],[Mês]])</f>
        <v>0.77157360406091369</v>
      </c>
      <c r="AK1421" s="20">
        <f>100%</f>
        <v>1</v>
      </c>
    </row>
    <row r="1422" spans="1:37" ht="18" customHeight="1" x14ac:dyDescent="0.25">
      <c r="A1422">
        <v>1182800127</v>
      </c>
      <c r="B1422" t="s">
        <v>48</v>
      </c>
      <c r="C1422" t="s">
        <v>2070</v>
      </c>
      <c r="D1422" t="s">
        <v>40</v>
      </c>
      <c r="E1422" t="s">
        <v>31</v>
      </c>
      <c r="F1422" s="2">
        <v>45862.851429479168</v>
      </c>
      <c r="AC1422" s="24">
        <f t="shared" ca="1" si="45"/>
        <v>271.14857052083244</v>
      </c>
      <c r="AD1422" s="25" t="str">
        <f t="shared" ca="1" si="46"/>
        <v>&gt;60 dias</v>
      </c>
      <c r="AE1422" s="25">
        <f>MONTH(Tabela1[[#This Row],[Criado em]])</f>
        <v>7</v>
      </c>
      <c r="AF1422" s="25">
        <f>YEAR(Tabela1[[#This Row],[Criado em]])</f>
        <v>2025</v>
      </c>
      <c r="AG1422" s="25">
        <f>COUNTIFS(Tabela1[Mês],Tabela1[[#This Row],[Mês]])</f>
        <v>177</v>
      </c>
      <c r="AH1422" s="25">
        <f>COUNTIFS(Tabela1[Mês],Tabela1[[#This Row],[Mês]],Tabela1[Fase atual],"Recebido")</f>
        <v>130</v>
      </c>
      <c r="AI1422" s="26">
        <f>Tabela1[[#This Row],[Recebido_ Mes]]/Tabela1[[#This Row],[Total_Mes]]</f>
        <v>0.7344632768361582</v>
      </c>
      <c r="AJ1422" s="19">
        <f>COUNTIFS(Tabela1[Fase atual],"Recebido",Tabela1[Mês],Tabela1[[#This Row],[Mês]],Tabela1[Ano],Tabela1[[#This Row],[Ano]])/COUNTIF(Tabela1[Mês],Tabela1[[#This Row],[Mês]])</f>
        <v>0.7344632768361582</v>
      </c>
      <c r="AK1422" s="20">
        <f>100%</f>
        <v>1</v>
      </c>
    </row>
    <row r="1423" spans="1:37" ht="18" customHeight="1" x14ac:dyDescent="0.25">
      <c r="A1423">
        <v>1278798594</v>
      </c>
      <c r="B1423" t="s">
        <v>609</v>
      </c>
      <c r="C1423" t="s">
        <v>610</v>
      </c>
      <c r="D1423" t="s">
        <v>37</v>
      </c>
      <c r="E1423" t="s">
        <v>31</v>
      </c>
      <c r="F1423" s="2">
        <v>46030.628698171291</v>
      </c>
      <c r="AC1423" s="24">
        <f t="shared" ca="1" si="45"/>
        <v>103.37130182870897</v>
      </c>
      <c r="AD1423" s="25" t="str">
        <f t="shared" ca="1" si="46"/>
        <v>&gt;60 dias</v>
      </c>
      <c r="AE1423" s="25">
        <f>MONTH(Tabela1[[#This Row],[Criado em]])</f>
        <v>1</v>
      </c>
      <c r="AF1423" s="25">
        <f>YEAR(Tabela1[[#This Row],[Criado em]])</f>
        <v>2026</v>
      </c>
      <c r="AG1423" s="25">
        <f>COUNTIFS(Tabela1[Mês],Tabela1[[#This Row],[Mês]])</f>
        <v>222</v>
      </c>
      <c r="AH1423" s="25">
        <f>COUNTIFS(Tabela1[Mês],Tabela1[[#This Row],[Mês]],Tabela1[Fase atual],"Recebido")</f>
        <v>174</v>
      </c>
      <c r="AI1423" s="26">
        <f>Tabela1[[#This Row],[Recebido_ Mes]]/Tabela1[[#This Row],[Total_Mes]]</f>
        <v>0.78378378378378377</v>
      </c>
      <c r="AJ1423" s="19">
        <f>COUNTIFS(Tabela1[Fase atual],"Recebido",Tabela1[Mês],Tabela1[[#This Row],[Mês]],Tabela1[Ano],Tabela1[[#This Row],[Ano]])/COUNTIF(Tabela1[Mês],Tabela1[[#This Row],[Mês]])</f>
        <v>0.78378378378378377</v>
      </c>
      <c r="AK1423" s="20">
        <f>100%</f>
        <v>1</v>
      </c>
    </row>
    <row r="1424" spans="1:37" ht="18" customHeight="1" x14ac:dyDescent="0.25">
      <c r="A1424">
        <v>1283849344</v>
      </c>
      <c r="B1424" t="s">
        <v>611</v>
      </c>
      <c r="C1424" t="s">
        <v>612</v>
      </c>
      <c r="D1424" t="s">
        <v>37</v>
      </c>
      <c r="E1424" t="s">
        <v>31</v>
      </c>
      <c r="F1424" s="2">
        <v>46041.544625925933</v>
      </c>
      <c r="AC1424" s="24">
        <f t="shared" ca="1" si="45"/>
        <v>92.45537407406664</v>
      </c>
      <c r="AD1424" s="25" t="str">
        <f t="shared" ca="1" si="46"/>
        <v>&gt;60 dias</v>
      </c>
      <c r="AE1424" s="25">
        <f>MONTH(Tabela1[[#This Row],[Criado em]])</f>
        <v>1</v>
      </c>
      <c r="AF1424" s="25">
        <f>YEAR(Tabela1[[#This Row],[Criado em]])</f>
        <v>2026</v>
      </c>
      <c r="AG1424" s="25">
        <f>COUNTIFS(Tabela1[Mês],Tabela1[[#This Row],[Mês]])</f>
        <v>222</v>
      </c>
      <c r="AH1424" s="25">
        <f>COUNTIFS(Tabela1[Mês],Tabela1[[#This Row],[Mês]],Tabela1[Fase atual],"Recebido")</f>
        <v>174</v>
      </c>
      <c r="AI1424" s="26">
        <f>Tabela1[[#This Row],[Recebido_ Mes]]/Tabela1[[#This Row],[Total_Mes]]</f>
        <v>0.78378378378378377</v>
      </c>
      <c r="AJ1424" s="19">
        <f>COUNTIFS(Tabela1[Fase atual],"Recebido",Tabela1[Mês],Tabela1[[#This Row],[Mês]],Tabela1[Ano],Tabela1[[#This Row],[Ano]])/COUNTIF(Tabela1[Mês],Tabela1[[#This Row],[Mês]])</f>
        <v>0.78378378378378377</v>
      </c>
      <c r="AK1424" s="20">
        <f>100%</f>
        <v>1</v>
      </c>
    </row>
    <row r="1425" spans="1:37" ht="18" customHeight="1" x14ac:dyDescent="0.25">
      <c r="A1425">
        <v>1268452677</v>
      </c>
      <c r="B1425" t="s">
        <v>2071</v>
      </c>
      <c r="C1425" t="s">
        <v>2072</v>
      </c>
      <c r="D1425" t="s">
        <v>40</v>
      </c>
      <c r="E1425" t="s">
        <v>31</v>
      </c>
      <c r="F1425" s="2">
        <v>46006.630448969911</v>
      </c>
      <c r="AC1425" s="24">
        <f t="shared" ca="1" si="45"/>
        <v>127.3695510300895</v>
      </c>
      <c r="AD1425" s="25" t="str">
        <f t="shared" ca="1" si="46"/>
        <v>&gt;60 dias</v>
      </c>
      <c r="AE1425" s="25">
        <f>MONTH(Tabela1[[#This Row],[Criado em]])</f>
        <v>12</v>
      </c>
      <c r="AF1425" s="25">
        <f>YEAR(Tabela1[[#This Row],[Criado em]])</f>
        <v>2025</v>
      </c>
      <c r="AG1425" s="25">
        <f>COUNTIFS(Tabela1[Mês],Tabela1[[#This Row],[Mês]])</f>
        <v>207</v>
      </c>
      <c r="AH1425" s="25">
        <f>COUNTIFS(Tabela1[Mês],Tabela1[[#This Row],[Mês]],Tabela1[Fase atual],"Recebido")</f>
        <v>155</v>
      </c>
      <c r="AI1425" s="26">
        <f>Tabela1[[#This Row],[Recebido_ Mes]]/Tabela1[[#This Row],[Total_Mes]]</f>
        <v>0.74879227053140096</v>
      </c>
      <c r="AJ1425" s="19">
        <f>COUNTIFS(Tabela1[Fase atual],"Recebido",Tabela1[Mês],Tabela1[[#This Row],[Mês]],Tabela1[Ano],Tabela1[[#This Row],[Ano]])/COUNTIF(Tabela1[Mês],Tabela1[[#This Row],[Mês]])</f>
        <v>0.74879227053140096</v>
      </c>
      <c r="AK1425" s="20">
        <f>100%</f>
        <v>1</v>
      </c>
    </row>
    <row r="1426" spans="1:37" ht="18" customHeight="1" x14ac:dyDescent="0.25">
      <c r="A1426">
        <v>1307009269</v>
      </c>
      <c r="B1426" t="s">
        <v>2071</v>
      </c>
      <c r="C1426" t="s">
        <v>2275</v>
      </c>
      <c r="D1426" t="s">
        <v>2179</v>
      </c>
      <c r="E1426" t="s">
        <v>31</v>
      </c>
      <c r="F1426" s="2">
        <v>46083.545095752314</v>
      </c>
      <c r="AC1426" s="24">
        <f t="shared" ca="1" si="45"/>
        <v>50.4549042476865</v>
      </c>
      <c r="AD1426" s="25" t="str">
        <f t="shared" ca="1" si="46"/>
        <v>31-60 dias</v>
      </c>
      <c r="AE1426" s="25">
        <f>MONTH(Tabela1[[#This Row],[Criado em]])</f>
        <v>3</v>
      </c>
      <c r="AF1426" s="25">
        <f>YEAR(Tabela1[[#This Row],[Criado em]])</f>
        <v>2026</v>
      </c>
      <c r="AG1426" s="25">
        <f>COUNTIFS(Tabela1[Mês],Tabela1[[#This Row],[Mês]])</f>
        <v>62</v>
      </c>
      <c r="AH1426" s="25">
        <f>COUNTIFS(Tabela1[Mês],Tabela1[[#This Row],[Mês]],Tabela1[Fase atual],"Recebido")</f>
        <v>13</v>
      </c>
      <c r="AI1426" s="26">
        <f>Tabela1[[#This Row],[Recebido_ Mes]]/Tabela1[[#This Row],[Total_Mes]]</f>
        <v>0.20967741935483872</v>
      </c>
      <c r="AJ1426" s="19">
        <f>COUNTIFS(Tabela1[Fase atual],"Recebido",Tabela1[Mês],Tabela1[[#This Row],[Mês]],Tabela1[Ano],Tabela1[[#This Row],[Ano]])/COUNTIF(Tabela1[Mês],Tabela1[[#This Row],[Mês]])</f>
        <v>0.20967741935483872</v>
      </c>
      <c r="AK1426" s="20">
        <f>100%</f>
        <v>1</v>
      </c>
    </row>
    <row r="1427" spans="1:37" ht="18" customHeight="1" x14ac:dyDescent="0.25">
      <c r="A1427">
        <v>1309287443</v>
      </c>
      <c r="B1427" t="s">
        <v>2071</v>
      </c>
      <c r="C1427" t="s">
        <v>2275</v>
      </c>
      <c r="D1427" t="s">
        <v>2179</v>
      </c>
      <c r="E1427" t="s">
        <v>31</v>
      </c>
      <c r="F1427" s="2">
        <v>46085.794197094903</v>
      </c>
      <c r="AC1427" s="24">
        <f t="shared" ca="1" si="45"/>
        <v>48.205802905096789</v>
      </c>
      <c r="AD1427" s="25" t="str">
        <f t="shared" ca="1" si="46"/>
        <v>31-60 dias</v>
      </c>
      <c r="AE1427" s="25">
        <f>MONTH(Tabela1[[#This Row],[Criado em]])</f>
        <v>3</v>
      </c>
      <c r="AF1427" s="25">
        <f>YEAR(Tabela1[[#This Row],[Criado em]])</f>
        <v>2026</v>
      </c>
      <c r="AG1427" s="25">
        <f>COUNTIFS(Tabela1[Mês],Tabela1[[#This Row],[Mês]])</f>
        <v>62</v>
      </c>
      <c r="AH1427" s="25">
        <f>COUNTIFS(Tabela1[Mês],Tabela1[[#This Row],[Mês]],Tabela1[Fase atual],"Recebido")</f>
        <v>13</v>
      </c>
      <c r="AI1427" s="26">
        <f>Tabela1[[#This Row],[Recebido_ Mes]]/Tabela1[[#This Row],[Total_Mes]]</f>
        <v>0.20967741935483872</v>
      </c>
      <c r="AJ1427" s="19">
        <f>COUNTIFS(Tabela1[Fase atual],"Recebido",Tabela1[Mês],Tabela1[[#This Row],[Mês]],Tabela1[Ano],Tabela1[[#This Row],[Ano]])/COUNTIF(Tabela1[Mês],Tabela1[[#This Row],[Mês]])</f>
        <v>0.20967741935483872</v>
      </c>
      <c r="AK1427" s="20">
        <f>100%</f>
        <v>1</v>
      </c>
    </row>
    <row r="1428" spans="1:37" ht="18" customHeight="1" x14ac:dyDescent="0.25">
      <c r="A1428">
        <v>1307110527</v>
      </c>
      <c r="B1428" t="s">
        <v>2071</v>
      </c>
      <c r="C1428" t="s">
        <v>2275</v>
      </c>
      <c r="D1428" t="s">
        <v>2179</v>
      </c>
      <c r="E1428" t="s">
        <v>31</v>
      </c>
      <c r="F1428" s="2">
        <v>46083.628036921298</v>
      </c>
      <c r="AC1428" s="24">
        <f t="shared" ca="1" si="45"/>
        <v>50.37196307870181</v>
      </c>
      <c r="AD1428" s="25" t="str">
        <f t="shared" ca="1" si="46"/>
        <v>31-60 dias</v>
      </c>
      <c r="AE1428" s="25">
        <f>MONTH(Tabela1[[#This Row],[Criado em]])</f>
        <v>3</v>
      </c>
      <c r="AF1428" s="25">
        <f>YEAR(Tabela1[[#This Row],[Criado em]])</f>
        <v>2026</v>
      </c>
      <c r="AG1428" s="25">
        <f>COUNTIFS(Tabela1[Mês],Tabela1[[#This Row],[Mês]])</f>
        <v>62</v>
      </c>
      <c r="AH1428" s="25">
        <f>COUNTIFS(Tabela1[Mês],Tabela1[[#This Row],[Mês]],Tabela1[Fase atual],"Recebido")</f>
        <v>13</v>
      </c>
      <c r="AI1428" s="26">
        <f>Tabela1[[#This Row],[Recebido_ Mes]]/Tabela1[[#This Row],[Total_Mes]]</f>
        <v>0.20967741935483872</v>
      </c>
      <c r="AJ1428" s="19">
        <f>COUNTIFS(Tabela1[Fase atual],"Recebido",Tabela1[Mês],Tabela1[[#This Row],[Mês]],Tabela1[Ano],Tabela1[[#This Row],[Ano]])/COUNTIF(Tabela1[Mês],Tabela1[[#This Row],[Mês]])</f>
        <v>0.20967741935483872</v>
      </c>
      <c r="AK1428" s="20">
        <f>100%</f>
        <v>1</v>
      </c>
    </row>
    <row r="1429" spans="1:37" ht="18" customHeight="1" x14ac:dyDescent="0.25">
      <c r="A1429">
        <v>1307110414</v>
      </c>
      <c r="B1429" t="s">
        <v>2071</v>
      </c>
      <c r="C1429" t="s">
        <v>2275</v>
      </c>
      <c r="D1429" t="s">
        <v>37</v>
      </c>
      <c r="E1429" t="s">
        <v>31</v>
      </c>
      <c r="F1429" s="2">
        <v>46083.627975798612</v>
      </c>
      <c r="AC1429" s="24">
        <f t="shared" ca="1" si="45"/>
        <v>50.372024201387831</v>
      </c>
      <c r="AD1429" s="25" t="str">
        <f t="shared" ca="1" si="46"/>
        <v>31-60 dias</v>
      </c>
      <c r="AE1429" s="25">
        <f>MONTH(Tabela1[[#This Row],[Criado em]])</f>
        <v>3</v>
      </c>
      <c r="AF1429" s="25">
        <f>YEAR(Tabela1[[#This Row],[Criado em]])</f>
        <v>2026</v>
      </c>
      <c r="AG1429" s="25">
        <f>COUNTIFS(Tabela1[Mês],Tabela1[[#This Row],[Mês]])</f>
        <v>62</v>
      </c>
      <c r="AH1429" s="25">
        <f>COUNTIFS(Tabela1[Mês],Tabela1[[#This Row],[Mês]],Tabela1[Fase atual],"Recebido")</f>
        <v>13</v>
      </c>
      <c r="AI1429" s="26">
        <f>Tabela1[[#This Row],[Recebido_ Mes]]/Tabela1[[#This Row],[Total_Mes]]</f>
        <v>0.20967741935483872</v>
      </c>
      <c r="AJ1429" s="19">
        <f>COUNTIFS(Tabela1[Fase atual],"Recebido",Tabela1[Mês],Tabela1[[#This Row],[Mês]],Tabela1[Ano],Tabela1[[#This Row],[Ano]])/COUNTIF(Tabela1[Mês],Tabela1[[#This Row],[Mês]])</f>
        <v>0.20967741935483872</v>
      </c>
      <c r="AK1429" s="20">
        <f>100%</f>
        <v>1</v>
      </c>
    </row>
    <row r="1430" spans="1:37" ht="18" customHeight="1" x14ac:dyDescent="0.25">
      <c r="A1430">
        <v>1183373559</v>
      </c>
      <c r="B1430" t="s">
        <v>2071</v>
      </c>
      <c r="C1430" t="s">
        <v>2073</v>
      </c>
      <c r="D1430" t="s">
        <v>37</v>
      </c>
      <c r="E1430" t="s">
        <v>31</v>
      </c>
      <c r="F1430" s="2">
        <v>45863.811794780093</v>
      </c>
      <c r="AC1430" s="24">
        <f t="shared" ca="1" si="45"/>
        <v>270.1882052199071</v>
      </c>
      <c r="AD1430" s="25" t="str">
        <f t="shared" ca="1" si="46"/>
        <v>&gt;60 dias</v>
      </c>
      <c r="AE1430" s="25">
        <f>MONTH(Tabela1[[#This Row],[Criado em]])</f>
        <v>7</v>
      </c>
      <c r="AF1430" s="25">
        <f>YEAR(Tabela1[[#This Row],[Criado em]])</f>
        <v>2025</v>
      </c>
      <c r="AG1430" s="25">
        <f>COUNTIFS(Tabela1[Mês],Tabela1[[#This Row],[Mês]])</f>
        <v>177</v>
      </c>
      <c r="AH1430" s="25">
        <f>COUNTIFS(Tabela1[Mês],Tabela1[[#This Row],[Mês]],Tabela1[Fase atual],"Recebido")</f>
        <v>130</v>
      </c>
      <c r="AI1430" s="26">
        <f>Tabela1[[#This Row],[Recebido_ Mes]]/Tabela1[[#This Row],[Total_Mes]]</f>
        <v>0.7344632768361582</v>
      </c>
      <c r="AJ1430" s="19">
        <f>COUNTIFS(Tabela1[Fase atual],"Recebido",Tabela1[Mês],Tabela1[[#This Row],[Mês]],Tabela1[Ano],Tabela1[[#This Row],[Ano]])/COUNTIF(Tabela1[Mês],Tabela1[[#This Row],[Mês]])</f>
        <v>0.7344632768361582</v>
      </c>
      <c r="AK1430" s="20">
        <f>100%</f>
        <v>1</v>
      </c>
    </row>
    <row r="1431" spans="1:37" ht="18" customHeight="1" x14ac:dyDescent="0.25">
      <c r="A1431">
        <v>1171334774</v>
      </c>
      <c r="B1431" t="s">
        <v>1804</v>
      </c>
      <c r="C1431" t="s">
        <v>2074</v>
      </c>
      <c r="D1431" t="s">
        <v>37</v>
      </c>
      <c r="E1431" t="s">
        <v>31</v>
      </c>
      <c r="F1431" s="2">
        <v>45841.851266435187</v>
      </c>
      <c r="AC1431" s="24">
        <f t="shared" ca="1" si="45"/>
        <v>292.14873356481257</v>
      </c>
      <c r="AD1431" s="25" t="str">
        <f t="shared" ca="1" si="46"/>
        <v>&gt;60 dias</v>
      </c>
      <c r="AE1431" s="25">
        <f>MONTH(Tabela1[[#This Row],[Criado em]])</f>
        <v>7</v>
      </c>
      <c r="AF1431" s="25">
        <f>YEAR(Tabela1[[#This Row],[Criado em]])</f>
        <v>2025</v>
      </c>
      <c r="AG1431" s="25">
        <f>COUNTIFS(Tabela1[Mês],Tabela1[[#This Row],[Mês]])</f>
        <v>177</v>
      </c>
      <c r="AH1431" s="25">
        <f>COUNTIFS(Tabela1[Mês],Tabela1[[#This Row],[Mês]],Tabela1[Fase atual],"Recebido")</f>
        <v>130</v>
      </c>
      <c r="AI1431" s="26">
        <f>Tabela1[[#This Row],[Recebido_ Mes]]/Tabela1[[#This Row],[Total_Mes]]</f>
        <v>0.7344632768361582</v>
      </c>
      <c r="AJ1431" s="19">
        <f>COUNTIFS(Tabela1[Fase atual],"Recebido",Tabela1[Mês],Tabela1[[#This Row],[Mês]],Tabela1[Ano],Tabela1[[#This Row],[Ano]])/COUNTIF(Tabela1[Mês],Tabela1[[#This Row],[Mês]])</f>
        <v>0.7344632768361582</v>
      </c>
      <c r="AK1431" s="20">
        <f>100%</f>
        <v>1</v>
      </c>
    </row>
    <row r="1432" spans="1:37" ht="18" customHeight="1" x14ac:dyDescent="0.25">
      <c r="A1432">
        <v>1198095075</v>
      </c>
      <c r="B1432" t="s">
        <v>2075</v>
      </c>
      <c r="C1432" t="s">
        <v>2076</v>
      </c>
      <c r="D1432" t="s">
        <v>37</v>
      </c>
      <c r="E1432" t="s">
        <v>31</v>
      </c>
      <c r="F1432" s="2">
        <v>45888.851410868047</v>
      </c>
      <c r="AC1432" s="24">
        <f t="shared" ca="1" si="45"/>
        <v>245.14858913195349</v>
      </c>
      <c r="AD1432" s="25" t="str">
        <f t="shared" ca="1" si="46"/>
        <v>&gt;60 dias</v>
      </c>
      <c r="AE1432" s="25">
        <f>MONTH(Tabela1[[#This Row],[Criado em]])</f>
        <v>8</v>
      </c>
      <c r="AF1432" s="25">
        <f>YEAR(Tabela1[[#This Row],[Criado em]])</f>
        <v>2025</v>
      </c>
      <c r="AG1432" s="25">
        <f>COUNTIFS(Tabela1[Mês],Tabela1[[#This Row],[Mês]])</f>
        <v>146</v>
      </c>
      <c r="AH1432" s="25">
        <f>COUNTIFS(Tabela1[Mês],Tabela1[[#This Row],[Mês]],Tabela1[Fase atual],"Recebido")</f>
        <v>115</v>
      </c>
      <c r="AI1432" s="26">
        <f>Tabela1[[#This Row],[Recebido_ Mes]]/Tabela1[[#This Row],[Total_Mes]]</f>
        <v>0.78767123287671237</v>
      </c>
      <c r="AJ1432" s="19">
        <f>COUNTIFS(Tabela1[Fase atual],"Recebido",Tabela1[Mês],Tabela1[[#This Row],[Mês]],Tabela1[Ano],Tabela1[[#This Row],[Ano]])/COUNTIF(Tabela1[Mês],Tabela1[[#This Row],[Mês]])</f>
        <v>0.78767123287671237</v>
      </c>
      <c r="AK1432" s="20">
        <f>100%</f>
        <v>1</v>
      </c>
    </row>
    <row r="1433" spans="1:37" ht="18" customHeight="1" x14ac:dyDescent="0.25">
      <c r="A1433">
        <v>1243426162</v>
      </c>
      <c r="B1433" t="s">
        <v>2075</v>
      </c>
      <c r="C1433" t="s">
        <v>2077</v>
      </c>
      <c r="D1433" t="s">
        <v>37</v>
      </c>
      <c r="E1433" t="s">
        <v>31</v>
      </c>
      <c r="F1433" s="2">
        <v>45954.795240995372</v>
      </c>
      <c r="AC1433" s="24">
        <f t="shared" ca="1" si="45"/>
        <v>179.2047590046277</v>
      </c>
      <c r="AD1433" s="25" t="str">
        <f t="shared" ca="1" si="46"/>
        <v>&gt;60 dias</v>
      </c>
      <c r="AE1433" s="25">
        <f>MONTH(Tabela1[[#This Row],[Criado em]])</f>
        <v>10</v>
      </c>
      <c r="AF1433" s="25">
        <f>YEAR(Tabela1[[#This Row],[Criado em]])</f>
        <v>2025</v>
      </c>
      <c r="AG1433" s="25">
        <f>COUNTIFS(Tabela1[Mês],Tabela1[[#This Row],[Mês]])</f>
        <v>196</v>
      </c>
      <c r="AH1433" s="25">
        <f>COUNTIFS(Tabela1[Mês],Tabela1[[#This Row],[Mês]],Tabela1[Fase atual],"Recebido")</f>
        <v>138</v>
      </c>
      <c r="AI1433" s="26">
        <f>Tabela1[[#This Row],[Recebido_ Mes]]/Tabela1[[#This Row],[Total_Mes]]</f>
        <v>0.70408163265306123</v>
      </c>
      <c r="AJ1433" s="19">
        <f>COUNTIFS(Tabela1[Fase atual],"Recebido",Tabela1[Mês],Tabela1[[#This Row],[Mês]],Tabela1[Ano],Tabela1[[#This Row],[Ano]])/COUNTIF(Tabela1[Mês],Tabela1[[#This Row],[Mês]])</f>
        <v>0.70408163265306123</v>
      </c>
      <c r="AK1433" s="20">
        <f>100%</f>
        <v>1</v>
      </c>
    </row>
    <row r="1434" spans="1:37" ht="18" customHeight="1" x14ac:dyDescent="0.25">
      <c r="A1434">
        <v>1226957746</v>
      </c>
      <c r="B1434" t="s">
        <v>87</v>
      </c>
      <c r="C1434" t="s">
        <v>2078</v>
      </c>
      <c r="D1434" t="s">
        <v>784</v>
      </c>
      <c r="E1434" t="s">
        <v>31</v>
      </c>
      <c r="F1434" s="2">
        <v>45933.798030983788</v>
      </c>
      <c r="AC1434" s="24">
        <f t="shared" ca="1" si="45"/>
        <v>200.20196901621239</v>
      </c>
      <c r="AD1434" s="25" t="str">
        <f t="shared" ca="1" si="46"/>
        <v>&gt;60 dias</v>
      </c>
      <c r="AE1434" s="25">
        <f>MONTH(Tabela1[[#This Row],[Criado em]])</f>
        <v>10</v>
      </c>
      <c r="AF1434" s="25">
        <f>YEAR(Tabela1[[#This Row],[Criado em]])</f>
        <v>2025</v>
      </c>
      <c r="AG1434" s="25">
        <f>COUNTIFS(Tabela1[Mês],Tabela1[[#This Row],[Mês]])</f>
        <v>196</v>
      </c>
      <c r="AH1434" s="25">
        <f>COUNTIFS(Tabela1[Mês],Tabela1[[#This Row],[Mês]],Tabela1[Fase atual],"Recebido")</f>
        <v>138</v>
      </c>
      <c r="AI1434" s="26">
        <f>Tabela1[[#This Row],[Recebido_ Mes]]/Tabela1[[#This Row],[Total_Mes]]</f>
        <v>0.70408163265306123</v>
      </c>
      <c r="AJ1434" s="19">
        <f>COUNTIFS(Tabela1[Fase atual],"Recebido",Tabela1[Mês],Tabela1[[#This Row],[Mês]],Tabela1[Ano],Tabela1[[#This Row],[Ano]])/COUNTIF(Tabela1[Mês],Tabela1[[#This Row],[Mês]])</f>
        <v>0.70408163265306123</v>
      </c>
      <c r="AK1434" s="20">
        <f>100%</f>
        <v>1</v>
      </c>
    </row>
    <row r="1435" spans="1:37" ht="18" customHeight="1" x14ac:dyDescent="0.25">
      <c r="A1435">
        <v>1277618678</v>
      </c>
      <c r="B1435" t="s">
        <v>613</v>
      </c>
      <c r="C1435" t="s">
        <v>614</v>
      </c>
      <c r="D1435" t="s">
        <v>40</v>
      </c>
      <c r="E1435" t="s">
        <v>31</v>
      </c>
      <c r="F1435" s="2">
        <v>46028.79534744213</v>
      </c>
      <c r="AC1435" s="24">
        <f t="shared" ca="1" si="45"/>
        <v>105.20465255786985</v>
      </c>
      <c r="AD1435" s="25" t="str">
        <f t="shared" ca="1" si="46"/>
        <v>&gt;60 dias</v>
      </c>
      <c r="AE1435" s="25">
        <f>MONTH(Tabela1[[#This Row],[Criado em]])</f>
        <v>1</v>
      </c>
      <c r="AF1435" s="25">
        <f>YEAR(Tabela1[[#This Row],[Criado em]])</f>
        <v>2026</v>
      </c>
      <c r="AG1435" s="25">
        <f>COUNTIFS(Tabela1[Mês],Tabela1[[#This Row],[Mês]])</f>
        <v>222</v>
      </c>
      <c r="AH1435" s="25">
        <f>COUNTIFS(Tabela1[Mês],Tabela1[[#This Row],[Mês]],Tabela1[Fase atual],"Recebido")</f>
        <v>174</v>
      </c>
      <c r="AI1435" s="26">
        <f>Tabela1[[#This Row],[Recebido_ Mes]]/Tabela1[[#This Row],[Total_Mes]]</f>
        <v>0.78378378378378377</v>
      </c>
      <c r="AJ1435" s="19">
        <f>COUNTIFS(Tabela1[Fase atual],"Recebido",Tabela1[Mês],Tabela1[[#This Row],[Mês]],Tabela1[Ano],Tabela1[[#This Row],[Ano]])/COUNTIF(Tabela1[Mês],Tabela1[[#This Row],[Mês]])</f>
        <v>0.78378378378378377</v>
      </c>
      <c r="AK1435" s="20">
        <f>100%</f>
        <v>1</v>
      </c>
    </row>
    <row r="1436" spans="1:37" ht="18" customHeight="1" x14ac:dyDescent="0.25">
      <c r="A1436">
        <v>1299778644</v>
      </c>
      <c r="B1436" t="s">
        <v>615</v>
      </c>
      <c r="C1436" t="s">
        <v>616</v>
      </c>
      <c r="D1436" t="s">
        <v>40</v>
      </c>
      <c r="E1436" t="s">
        <v>31</v>
      </c>
      <c r="F1436" s="2">
        <v>46072.797088217587</v>
      </c>
      <c r="AC1436" s="24">
        <f t="shared" ca="1" si="45"/>
        <v>61.202911782413139</v>
      </c>
      <c r="AD1436" s="25" t="str">
        <f t="shared" ca="1" si="46"/>
        <v>&gt;60 dias</v>
      </c>
      <c r="AE1436" s="25">
        <f>MONTH(Tabela1[[#This Row],[Criado em]])</f>
        <v>2</v>
      </c>
      <c r="AF1436" s="25">
        <f>YEAR(Tabela1[[#This Row],[Criado em]])</f>
        <v>2026</v>
      </c>
      <c r="AG1436" s="25">
        <f>COUNTIFS(Tabela1[Mês],Tabela1[[#This Row],[Mês]])</f>
        <v>197</v>
      </c>
      <c r="AH1436" s="25">
        <f>COUNTIFS(Tabela1[Mês],Tabela1[[#This Row],[Mês]],Tabela1[Fase atual],"Recebido")</f>
        <v>124</v>
      </c>
      <c r="AI1436" s="26">
        <f>Tabela1[[#This Row],[Recebido_ Mes]]/Tabela1[[#This Row],[Total_Mes]]</f>
        <v>0.62944162436548223</v>
      </c>
      <c r="AJ1436" s="19">
        <f>COUNTIFS(Tabela1[Fase atual],"Recebido",Tabela1[Mês],Tabela1[[#This Row],[Mês]],Tabela1[Ano],Tabela1[[#This Row],[Ano]])/COUNTIF(Tabela1[Mês],Tabela1[[#This Row],[Mês]])</f>
        <v>0.62944162436548223</v>
      </c>
      <c r="AK1436" s="20">
        <f>100%</f>
        <v>1</v>
      </c>
    </row>
    <row r="1437" spans="1:37" ht="18" customHeight="1" x14ac:dyDescent="0.25">
      <c r="A1437">
        <v>1306961170</v>
      </c>
      <c r="B1437" t="s">
        <v>1900</v>
      </c>
      <c r="C1437" t="s">
        <v>2276</v>
      </c>
      <c r="D1437" t="s">
        <v>2179</v>
      </c>
      <c r="E1437" t="s">
        <v>31</v>
      </c>
      <c r="F1437" s="2">
        <v>46083.506047337964</v>
      </c>
      <c r="AC1437" s="24">
        <f t="shared" ca="1" si="45"/>
        <v>50.493952662036463</v>
      </c>
      <c r="AD1437" s="25" t="str">
        <f t="shared" ca="1" si="46"/>
        <v>31-60 dias</v>
      </c>
      <c r="AE1437" s="25">
        <f>MONTH(Tabela1[[#This Row],[Criado em]])</f>
        <v>3</v>
      </c>
      <c r="AF1437" s="25">
        <f>YEAR(Tabela1[[#This Row],[Criado em]])</f>
        <v>2026</v>
      </c>
      <c r="AG1437" s="25">
        <f>COUNTIFS(Tabela1[Mês],Tabela1[[#This Row],[Mês]])</f>
        <v>62</v>
      </c>
      <c r="AH1437" s="25">
        <f>COUNTIFS(Tabela1[Mês],Tabela1[[#This Row],[Mês]],Tabela1[Fase atual],"Recebido")</f>
        <v>13</v>
      </c>
      <c r="AI1437" s="26">
        <f>Tabela1[[#This Row],[Recebido_ Mes]]/Tabela1[[#This Row],[Total_Mes]]</f>
        <v>0.20967741935483872</v>
      </c>
      <c r="AJ1437" s="19">
        <f>COUNTIFS(Tabela1[Fase atual],"Recebido",Tabela1[Mês],Tabela1[[#This Row],[Mês]],Tabela1[Ano],Tabela1[[#This Row],[Ano]])/COUNTIF(Tabela1[Mês],Tabela1[[#This Row],[Mês]])</f>
        <v>0.20967741935483872</v>
      </c>
      <c r="AK1437" s="20">
        <f>100%</f>
        <v>1</v>
      </c>
    </row>
    <row r="1438" spans="1:37" ht="18" customHeight="1" x14ac:dyDescent="0.25">
      <c r="A1438">
        <v>1247737741</v>
      </c>
      <c r="B1438" t="s">
        <v>2079</v>
      </c>
      <c r="C1438" t="s">
        <v>2080</v>
      </c>
      <c r="D1438" t="s">
        <v>784</v>
      </c>
      <c r="E1438" t="s">
        <v>31</v>
      </c>
      <c r="F1438" s="2">
        <v>45960.919433553237</v>
      </c>
      <c r="AC1438" s="24">
        <f t="shared" ca="1" si="45"/>
        <v>173.08056644676253</v>
      </c>
      <c r="AD1438" s="25" t="str">
        <f t="shared" ca="1" si="46"/>
        <v>&gt;60 dias</v>
      </c>
      <c r="AE1438" s="25">
        <f>MONTH(Tabela1[[#This Row],[Criado em]])</f>
        <v>10</v>
      </c>
      <c r="AF1438" s="25">
        <f>YEAR(Tabela1[[#This Row],[Criado em]])</f>
        <v>2025</v>
      </c>
      <c r="AG1438" s="25">
        <f>COUNTIFS(Tabela1[Mês],Tabela1[[#This Row],[Mês]])</f>
        <v>196</v>
      </c>
      <c r="AH1438" s="25">
        <f>COUNTIFS(Tabela1[Mês],Tabela1[[#This Row],[Mês]],Tabela1[Fase atual],"Recebido")</f>
        <v>138</v>
      </c>
      <c r="AI1438" s="26">
        <f>Tabela1[[#This Row],[Recebido_ Mes]]/Tabela1[[#This Row],[Total_Mes]]</f>
        <v>0.70408163265306123</v>
      </c>
      <c r="AJ1438" s="19">
        <f>COUNTIFS(Tabela1[Fase atual],"Recebido",Tabela1[Mês],Tabela1[[#This Row],[Mês]],Tabela1[Ano],Tabela1[[#This Row],[Ano]])/COUNTIF(Tabela1[Mês],Tabela1[[#This Row],[Mês]])</f>
        <v>0.70408163265306123</v>
      </c>
      <c r="AK1438" s="20">
        <f>100%</f>
        <v>1</v>
      </c>
    </row>
    <row r="1439" spans="1:37" ht="18" customHeight="1" x14ac:dyDescent="0.25">
      <c r="A1439">
        <v>1288861342</v>
      </c>
      <c r="B1439" t="s">
        <v>617</v>
      </c>
      <c r="C1439" t="s">
        <v>618</v>
      </c>
      <c r="D1439" t="s">
        <v>37</v>
      </c>
      <c r="E1439" t="s">
        <v>31</v>
      </c>
      <c r="F1439" s="2">
        <v>46049.740642627323</v>
      </c>
      <c r="AC1439" s="24">
        <f t="shared" ca="1" si="45"/>
        <v>84.259357372677187</v>
      </c>
      <c r="AD1439" s="25" t="str">
        <f t="shared" ca="1" si="46"/>
        <v>&gt;60 dias</v>
      </c>
      <c r="AE1439" s="25">
        <f>MONTH(Tabela1[[#This Row],[Criado em]])</f>
        <v>1</v>
      </c>
      <c r="AF1439" s="25">
        <f>YEAR(Tabela1[[#This Row],[Criado em]])</f>
        <v>2026</v>
      </c>
      <c r="AG1439" s="25">
        <f>COUNTIFS(Tabela1[Mês],Tabela1[[#This Row],[Mês]])</f>
        <v>222</v>
      </c>
      <c r="AH1439" s="25">
        <f>COUNTIFS(Tabela1[Mês],Tabela1[[#This Row],[Mês]],Tabela1[Fase atual],"Recebido")</f>
        <v>174</v>
      </c>
      <c r="AI1439" s="26">
        <f>Tabela1[[#This Row],[Recebido_ Mes]]/Tabela1[[#This Row],[Total_Mes]]</f>
        <v>0.78378378378378377</v>
      </c>
      <c r="AJ1439" s="19">
        <f>COUNTIFS(Tabela1[Fase atual],"Recebido",Tabela1[Mês],Tabela1[[#This Row],[Mês]],Tabela1[Ano],Tabela1[[#This Row],[Ano]])/COUNTIF(Tabela1[Mês],Tabela1[[#This Row],[Mês]])</f>
        <v>0.78378378378378377</v>
      </c>
      <c r="AK1439" s="20">
        <f>100%</f>
        <v>1</v>
      </c>
    </row>
    <row r="1440" spans="1:37" ht="18" customHeight="1" x14ac:dyDescent="0.25">
      <c r="A1440">
        <v>1180442966</v>
      </c>
      <c r="B1440" t="s">
        <v>2081</v>
      </c>
      <c r="C1440" t="s">
        <v>2082</v>
      </c>
      <c r="D1440" t="s">
        <v>37</v>
      </c>
      <c r="E1440" t="s">
        <v>31</v>
      </c>
      <c r="F1440" s="2">
        <v>45859.851632175923</v>
      </c>
      <c r="AC1440" s="24">
        <f t="shared" ca="1" si="45"/>
        <v>274.14836782407656</v>
      </c>
      <c r="AD1440" s="25" t="str">
        <f t="shared" ca="1" si="46"/>
        <v>&gt;60 dias</v>
      </c>
      <c r="AE1440" s="25">
        <f>MONTH(Tabela1[[#This Row],[Criado em]])</f>
        <v>7</v>
      </c>
      <c r="AF1440" s="25">
        <f>YEAR(Tabela1[[#This Row],[Criado em]])</f>
        <v>2025</v>
      </c>
      <c r="AG1440" s="25">
        <f>COUNTIFS(Tabela1[Mês],Tabela1[[#This Row],[Mês]])</f>
        <v>177</v>
      </c>
      <c r="AH1440" s="25">
        <f>COUNTIFS(Tabela1[Mês],Tabela1[[#This Row],[Mês]],Tabela1[Fase atual],"Recebido")</f>
        <v>130</v>
      </c>
      <c r="AI1440" s="26">
        <f>Tabela1[[#This Row],[Recebido_ Mes]]/Tabela1[[#This Row],[Total_Mes]]</f>
        <v>0.7344632768361582</v>
      </c>
      <c r="AJ1440" s="19">
        <f>COUNTIFS(Tabela1[Fase atual],"Recebido",Tabela1[Mês],Tabela1[[#This Row],[Mês]],Tabela1[Ano],Tabela1[[#This Row],[Ano]])/COUNTIF(Tabela1[Mês],Tabela1[[#This Row],[Mês]])</f>
        <v>0.7344632768361582</v>
      </c>
      <c r="AK1440" s="20">
        <f>100%</f>
        <v>1</v>
      </c>
    </row>
    <row r="1441" spans="1:37" ht="18" customHeight="1" x14ac:dyDescent="0.25">
      <c r="A1441">
        <v>1278220887</v>
      </c>
      <c r="B1441" t="s">
        <v>619</v>
      </c>
      <c r="C1441" t="s">
        <v>620</v>
      </c>
      <c r="D1441" t="s">
        <v>34</v>
      </c>
      <c r="E1441" t="s">
        <v>31</v>
      </c>
      <c r="F1441" s="2">
        <v>46029.628946064811</v>
      </c>
      <c r="AC1441" s="24">
        <f t="shared" ca="1" si="45"/>
        <v>104.37105393518868</v>
      </c>
      <c r="AD1441" s="25" t="str">
        <f t="shared" ca="1" si="46"/>
        <v>&gt;60 dias</v>
      </c>
      <c r="AE1441" s="25">
        <f>MONTH(Tabela1[[#This Row],[Criado em]])</f>
        <v>1</v>
      </c>
      <c r="AF1441" s="25">
        <f>YEAR(Tabela1[[#This Row],[Criado em]])</f>
        <v>2026</v>
      </c>
      <c r="AG1441" s="25">
        <f>COUNTIFS(Tabela1[Mês],Tabela1[[#This Row],[Mês]])</f>
        <v>222</v>
      </c>
      <c r="AH1441" s="25">
        <f>COUNTIFS(Tabela1[Mês],Tabela1[[#This Row],[Mês]],Tabela1[Fase atual],"Recebido")</f>
        <v>174</v>
      </c>
      <c r="AI1441" s="26">
        <f>Tabela1[[#This Row],[Recebido_ Mes]]/Tabela1[[#This Row],[Total_Mes]]</f>
        <v>0.78378378378378377</v>
      </c>
      <c r="AJ1441" s="19">
        <f>COUNTIFS(Tabela1[Fase atual],"Recebido",Tabela1[Mês],Tabela1[[#This Row],[Mês]],Tabela1[Ano],Tabela1[[#This Row],[Ano]])/COUNTIF(Tabela1[Mês],Tabela1[[#This Row],[Mês]])</f>
        <v>0.78378378378378377</v>
      </c>
      <c r="AK1441" s="20">
        <f>100%</f>
        <v>1</v>
      </c>
    </row>
    <row r="1442" spans="1:37" ht="18" customHeight="1" x14ac:dyDescent="0.25">
      <c r="A1442">
        <v>1266705228</v>
      </c>
      <c r="B1442" t="s">
        <v>2083</v>
      </c>
      <c r="C1442" t="s">
        <v>2084</v>
      </c>
      <c r="D1442" t="s">
        <v>37</v>
      </c>
      <c r="E1442" t="s">
        <v>31</v>
      </c>
      <c r="F1442" s="2">
        <v>46001.797385578699</v>
      </c>
      <c r="AC1442" s="24">
        <f t="shared" ca="1" si="45"/>
        <v>132.2026144213014</v>
      </c>
      <c r="AD1442" s="25" t="str">
        <f t="shared" ca="1" si="46"/>
        <v>&gt;60 dias</v>
      </c>
      <c r="AE1442" s="25">
        <f>MONTH(Tabela1[[#This Row],[Criado em]])</f>
        <v>12</v>
      </c>
      <c r="AF1442" s="25">
        <f>YEAR(Tabela1[[#This Row],[Criado em]])</f>
        <v>2025</v>
      </c>
      <c r="AG1442" s="25">
        <f>COUNTIFS(Tabela1[Mês],Tabela1[[#This Row],[Mês]])</f>
        <v>207</v>
      </c>
      <c r="AH1442" s="25">
        <f>COUNTIFS(Tabela1[Mês],Tabela1[[#This Row],[Mês]],Tabela1[Fase atual],"Recebido")</f>
        <v>155</v>
      </c>
      <c r="AI1442" s="26">
        <f>Tabela1[[#This Row],[Recebido_ Mes]]/Tabela1[[#This Row],[Total_Mes]]</f>
        <v>0.74879227053140096</v>
      </c>
      <c r="AJ1442" s="19">
        <f>COUNTIFS(Tabela1[Fase atual],"Recebido",Tabela1[Mês],Tabela1[[#This Row],[Mês]],Tabela1[Ano],Tabela1[[#This Row],[Ano]])/COUNTIF(Tabela1[Mês],Tabela1[[#This Row],[Mês]])</f>
        <v>0.74879227053140096</v>
      </c>
      <c r="AK1442" s="20">
        <f>100%</f>
        <v>1</v>
      </c>
    </row>
    <row r="1443" spans="1:37" ht="18" customHeight="1" x14ac:dyDescent="0.25">
      <c r="A1443">
        <v>1186386834</v>
      </c>
      <c r="B1443" t="s">
        <v>2085</v>
      </c>
      <c r="C1443" t="s">
        <v>2086</v>
      </c>
      <c r="D1443" t="s">
        <v>37</v>
      </c>
      <c r="E1443" t="s">
        <v>31</v>
      </c>
      <c r="F1443" s="2">
        <v>45869.642676203701</v>
      </c>
      <c r="AC1443" s="24">
        <f t="shared" ca="1" si="45"/>
        <v>264.35732379629917</v>
      </c>
      <c r="AD1443" s="25" t="str">
        <f t="shared" ca="1" si="46"/>
        <v>&gt;60 dias</v>
      </c>
      <c r="AE1443" s="25">
        <f>MONTH(Tabela1[[#This Row],[Criado em]])</f>
        <v>7</v>
      </c>
      <c r="AF1443" s="25">
        <f>YEAR(Tabela1[[#This Row],[Criado em]])</f>
        <v>2025</v>
      </c>
      <c r="AG1443" s="25">
        <f>COUNTIFS(Tabela1[Mês],Tabela1[[#This Row],[Mês]])</f>
        <v>177</v>
      </c>
      <c r="AH1443" s="25">
        <f>COUNTIFS(Tabela1[Mês],Tabela1[[#This Row],[Mês]],Tabela1[Fase atual],"Recebido")</f>
        <v>130</v>
      </c>
      <c r="AI1443" s="26">
        <f>Tabela1[[#This Row],[Recebido_ Mes]]/Tabela1[[#This Row],[Total_Mes]]</f>
        <v>0.7344632768361582</v>
      </c>
      <c r="AJ1443" s="19">
        <f>COUNTIFS(Tabela1[Fase atual],"Recebido",Tabela1[Mês],Tabela1[[#This Row],[Mês]],Tabela1[Ano],Tabela1[[#This Row],[Ano]])/COUNTIF(Tabela1[Mês],Tabela1[[#This Row],[Mês]])</f>
        <v>0.7344632768361582</v>
      </c>
      <c r="AK1443" s="20">
        <f>100%</f>
        <v>1</v>
      </c>
    </row>
    <row r="1444" spans="1:37" ht="18" customHeight="1" x14ac:dyDescent="0.25">
      <c r="A1444">
        <v>1304884322</v>
      </c>
      <c r="B1444" t="s">
        <v>386</v>
      </c>
      <c r="C1444" t="s">
        <v>2277</v>
      </c>
      <c r="D1444" t="s">
        <v>37</v>
      </c>
      <c r="E1444" t="s">
        <v>31</v>
      </c>
      <c r="F1444" s="2">
        <v>46079.919566643519</v>
      </c>
      <c r="AC1444" s="24">
        <f t="shared" ca="1" si="45"/>
        <v>54.08043335648108</v>
      </c>
      <c r="AD1444" s="25" t="str">
        <f t="shared" ca="1" si="46"/>
        <v>31-60 dias</v>
      </c>
      <c r="AE1444" s="25">
        <f>MONTH(Tabela1[[#This Row],[Criado em]])</f>
        <v>2</v>
      </c>
      <c r="AF1444" s="25">
        <f>YEAR(Tabela1[[#This Row],[Criado em]])</f>
        <v>2026</v>
      </c>
      <c r="AG1444" s="25">
        <f>COUNTIFS(Tabela1[Mês],Tabela1[[#This Row],[Mês]])</f>
        <v>197</v>
      </c>
      <c r="AH1444" s="25">
        <f>COUNTIFS(Tabela1[Mês],Tabela1[[#This Row],[Mês]],Tabela1[Fase atual],"Recebido")</f>
        <v>124</v>
      </c>
      <c r="AI1444" s="26">
        <f>Tabela1[[#This Row],[Recebido_ Mes]]/Tabela1[[#This Row],[Total_Mes]]</f>
        <v>0.62944162436548223</v>
      </c>
      <c r="AJ1444" s="19">
        <f>COUNTIFS(Tabela1[Fase atual],"Recebido",Tabela1[Mês],Tabela1[[#This Row],[Mês]],Tabela1[Ano],Tabela1[[#This Row],[Ano]])/COUNTIF(Tabela1[Mês],Tabela1[[#This Row],[Mês]])</f>
        <v>0.62944162436548223</v>
      </c>
      <c r="AK1444" s="20">
        <f>100%</f>
        <v>1</v>
      </c>
    </row>
    <row r="1445" spans="1:37" ht="18" customHeight="1" x14ac:dyDescent="0.25">
      <c r="A1445">
        <v>1269669946</v>
      </c>
      <c r="B1445" t="s">
        <v>2087</v>
      </c>
      <c r="C1445" t="s">
        <v>2278</v>
      </c>
      <c r="D1445" t="s">
        <v>2184</v>
      </c>
      <c r="E1445" t="s">
        <v>31</v>
      </c>
      <c r="F1445" s="2">
        <v>46008.796711145827</v>
      </c>
      <c r="AC1445" s="24">
        <f t="shared" ca="1" si="45"/>
        <v>125.20328885417257</v>
      </c>
      <c r="AD1445" s="25" t="str">
        <f t="shared" ca="1" si="46"/>
        <v>&gt;60 dias</v>
      </c>
      <c r="AE1445" s="25">
        <f>MONTH(Tabela1[[#This Row],[Criado em]])</f>
        <v>12</v>
      </c>
      <c r="AF1445" s="25">
        <f>YEAR(Tabela1[[#This Row],[Criado em]])</f>
        <v>2025</v>
      </c>
      <c r="AG1445" s="25">
        <f>COUNTIFS(Tabela1[Mês],Tabela1[[#This Row],[Mês]])</f>
        <v>207</v>
      </c>
      <c r="AH1445" s="25">
        <f>COUNTIFS(Tabela1[Mês],Tabela1[[#This Row],[Mês]],Tabela1[Fase atual],"Recebido")</f>
        <v>155</v>
      </c>
      <c r="AI1445" s="26">
        <f>Tabela1[[#This Row],[Recebido_ Mes]]/Tabela1[[#This Row],[Total_Mes]]</f>
        <v>0.74879227053140096</v>
      </c>
      <c r="AJ1445" s="19">
        <f>COUNTIFS(Tabela1[Fase atual],"Recebido",Tabela1[Mês],Tabela1[[#This Row],[Mês]],Tabela1[Ano],Tabela1[[#This Row],[Ano]])/COUNTIF(Tabela1[Mês],Tabela1[[#This Row],[Mês]])</f>
        <v>0.74879227053140096</v>
      </c>
      <c r="AK1445" s="20">
        <f>100%</f>
        <v>1</v>
      </c>
    </row>
    <row r="1446" spans="1:37" ht="18" customHeight="1" x14ac:dyDescent="0.25">
      <c r="A1446">
        <v>1206100498</v>
      </c>
      <c r="B1446" t="s">
        <v>2088</v>
      </c>
      <c r="C1446" t="s">
        <v>2089</v>
      </c>
      <c r="D1446" t="s">
        <v>40</v>
      </c>
      <c r="E1446" t="s">
        <v>31</v>
      </c>
      <c r="F1446" s="2">
        <v>45901.851024039352</v>
      </c>
      <c r="AC1446" s="24">
        <f t="shared" ca="1" si="45"/>
        <v>232.14897596064839</v>
      </c>
      <c r="AD1446" s="25" t="str">
        <f t="shared" ca="1" si="46"/>
        <v>&gt;60 dias</v>
      </c>
      <c r="AE1446" s="25">
        <f>MONTH(Tabela1[[#This Row],[Criado em]])</f>
        <v>9</v>
      </c>
      <c r="AF1446" s="25">
        <f>YEAR(Tabela1[[#This Row],[Criado em]])</f>
        <v>2025</v>
      </c>
      <c r="AG1446" s="25">
        <f>COUNTIFS(Tabela1[Mês],Tabela1[[#This Row],[Mês]])</f>
        <v>197</v>
      </c>
      <c r="AH1446" s="25">
        <f>COUNTIFS(Tabela1[Mês],Tabela1[[#This Row],[Mês]],Tabela1[Fase atual],"Recebido")</f>
        <v>152</v>
      </c>
      <c r="AI1446" s="26">
        <f>Tabela1[[#This Row],[Recebido_ Mes]]/Tabela1[[#This Row],[Total_Mes]]</f>
        <v>0.77157360406091369</v>
      </c>
      <c r="AJ1446" s="19">
        <f>COUNTIFS(Tabela1[Fase atual],"Recebido",Tabela1[Mês],Tabela1[[#This Row],[Mês]],Tabela1[Ano],Tabela1[[#This Row],[Ano]])/COUNTIF(Tabela1[Mês],Tabela1[[#This Row],[Mês]])</f>
        <v>0.77157360406091369</v>
      </c>
      <c r="AK1446" s="20">
        <f>100%</f>
        <v>1</v>
      </c>
    </row>
    <row r="1447" spans="1:37" ht="18" customHeight="1" x14ac:dyDescent="0.25">
      <c r="A1447">
        <v>1299547682</v>
      </c>
      <c r="B1447" t="s">
        <v>621</v>
      </c>
      <c r="C1447" t="s">
        <v>622</v>
      </c>
      <c r="D1447" t="s">
        <v>37</v>
      </c>
      <c r="E1447" t="s">
        <v>31</v>
      </c>
      <c r="F1447" s="2">
        <v>46072.628853599541</v>
      </c>
      <c r="AC1447" s="24">
        <f t="shared" ca="1" si="45"/>
        <v>61.371146400459111</v>
      </c>
      <c r="AD1447" s="25" t="str">
        <f t="shared" ca="1" si="46"/>
        <v>&gt;60 dias</v>
      </c>
      <c r="AE1447" s="25">
        <f>MONTH(Tabela1[[#This Row],[Criado em]])</f>
        <v>2</v>
      </c>
      <c r="AF1447" s="25">
        <f>YEAR(Tabela1[[#This Row],[Criado em]])</f>
        <v>2026</v>
      </c>
      <c r="AG1447" s="25">
        <f>COUNTIFS(Tabela1[Mês],Tabela1[[#This Row],[Mês]])</f>
        <v>197</v>
      </c>
      <c r="AH1447" s="25">
        <f>COUNTIFS(Tabela1[Mês],Tabela1[[#This Row],[Mês]],Tabela1[Fase atual],"Recebido")</f>
        <v>124</v>
      </c>
      <c r="AI1447" s="26">
        <f>Tabela1[[#This Row],[Recebido_ Mes]]/Tabela1[[#This Row],[Total_Mes]]</f>
        <v>0.62944162436548223</v>
      </c>
      <c r="AJ1447" s="19">
        <f>COUNTIFS(Tabela1[Fase atual],"Recebido",Tabela1[Mês],Tabela1[[#This Row],[Mês]],Tabela1[Ano],Tabela1[[#This Row],[Ano]])/COUNTIF(Tabela1[Mês],Tabela1[[#This Row],[Mês]])</f>
        <v>0.62944162436548223</v>
      </c>
      <c r="AK1447" s="20">
        <f>100%</f>
        <v>1</v>
      </c>
    </row>
    <row r="1448" spans="1:37" ht="18" customHeight="1" x14ac:dyDescent="0.25">
      <c r="A1448">
        <v>1232077550</v>
      </c>
      <c r="B1448" t="s">
        <v>2090</v>
      </c>
      <c r="C1448" t="s">
        <v>2091</v>
      </c>
      <c r="D1448" t="s">
        <v>37</v>
      </c>
      <c r="E1448" t="s">
        <v>31</v>
      </c>
      <c r="F1448" s="2">
        <v>45940.64375048611</v>
      </c>
      <c r="AC1448" s="24">
        <f t="shared" ca="1" si="45"/>
        <v>193.35624951389036</v>
      </c>
      <c r="AD1448" s="25" t="str">
        <f t="shared" ca="1" si="46"/>
        <v>&gt;60 dias</v>
      </c>
      <c r="AE1448" s="25">
        <f>MONTH(Tabela1[[#This Row],[Criado em]])</f>
        <v>10</v>
      </c>
      <c r="AF1448" s="25">
        <f>YEAR(Tabela1[[#This Row],[Criado em]])</f>
        <v>2025</v>
      </c>
      <c r="AG1448" s="25">
        <f>COUNTIFS(Tabela1[Mês],Tabela1[[#This Row],[Mês]])</f>
        <v>196</v>
      </c>
      <c r="AH1448" s="25">
        <f>COUNTIFS(Tabela1[Mês],Tabela1[[#This Row],[Mês]],Tabela1[Fase atual],"Recebido")</f>
        <v>138</v>
      </c>
      <c r="AI1448" s="26">
        <f>Tabela1[[#This Row],[Recebido_ Mes]]/Tabela1[[#This Row],[Total_Mes]]</f>
        <v>0.70408163265306123</v>
      </c>
      <c r="AJ1448" s="19">
        <f>COUNTIFS(Tabela1[Fase atual],"Recebido",Tabela1[Mês],Tabela1[[#This Row],[Mês]],Tabela1[Ano],Tabela1[[#This Row],[Ano]])/COUNTIF(Tabela1[Mês],Tabela1[[#This Row],[Mês]])</f>
        <v>0.70408163265306123</v>
      </c>
      <c r="AK1448" s="20">
        <f>100%</f>
        <v>1</v>
      </c>
    </row>
    <row r="1449" spans="1:37" ht="18" customHeight="1" x14ac:dyDescent="0.25">
      <c r="A1449">
        <v>1269143204</v>
      </c>
      <c r="B1449" t="s">
        <v>2090</v>
      </c>
      <c r="C1449" t="s">
        <v>2092</v>
      </c>
      <c r="D1449" t="s">
        <v>37</v>
      </c>
      <c r="E1449" t="s">
        <v>31</v>
      </c>
      <c r="F1449" s="2">
        <v>46007.797416273148</v>
      </c>
      <c r="AC1449" s="24">
        <f t="shared" ca="1" si="45"/>
        <v>126.20258372685203</v>
      </c>
      <c r="AD1449" s="25" t="str">
        <f t="shared" ca="1" si="46"/>
        <v>&gt;60 dias</v>
      </c>
      <c r="AE1449" s="25">
        <f>MONTH(Tabela1[[#This Row],[Criado em]])</f>
        <v>12</v>
      </c>
      <c r="AF1449" s="25">
        <f>YEAR(Tabela1[[#This Row],[Criado em]])</f>
        <v>2025</v>
      </c>
      <c r="AG1449" s="25">
        <f>COUNTIFS(Tabela1[Mês],Tabela1[[#This Row],[Mês]])</f>
        <v>207</v>
      </c>
      <c r="AH1449" s="25">
        <f>COUNTIFS(Tabela1[Mês],Tabela1[[#This Row],[Mês]],Tabela1[Fase atual],"Recebido")</f>
        <v>155</v>
      </c>
      <c r="AI1449" s="26">
        <f>Tabela1[[#This Row],[Recebido_ Mes]]/Tabela1[[#This Row],[Total_Mes]]</f>
        <v>0.74879227053140096</v>
      </c>
      <c r="AJ1449" s="19">
        <f>COUNTIFS(Tabela1[Fase atual],"Recebido",Tabela1[Mês],Tabela1[[#This Row],[Mês]],Tabela1[Ano],Tabela1[[#This Row],[Ano]])/COUNTIF(Tabela1[Mês],Tabela1[[#This Row],[Mês]])</f>
        <v>0.74879227053140096</v>
      </c>
      <c r="AK1449" s="20">
        <f>100%</f>
        <v>1</v>
      </c>
    </row>
    <row r="1450" spans="1:37" ht="18" customHeight="1" x14ac:dyDescent="0.25">
      <c r="A1450">
        <v>1183423852</v>
      </c>
      <c r="B1450" t="s">
        <v>2093</v>
      </c>
      <c r="C1450" t="s">
        <v>2094</v>
      </c>
      <c r="D1450" t="s">
        <v>202</v>
      </c>
      <c r="E1450" t="s">
        <v>31</v>
      </c>
      <c r="F1450" s="2">
        <v>45863.851809340282</v>
      </c>
      <c r="AC1450" s="24">
        <f t="shared" ca="1" si="45"/>
        <v>270.14819065971824</v>
      </c>
      <c r="AD1450" s="25" t="str">
        <f t="shared" ca="1" si="46"/>
        <v>&gt;60 dias</v>
      </c>
      <c r="AE1450" s="25">
        <f>MONTH(Tabela1[[#This Row],[Criado em]])</f>
        <v>7</v>
      </c>
      <c r="AF1450" s="25">
        <f>YEAR(Tabela1[[#This Row],[Criado em]])</f>
        <v>2025</v>
      </c>
      <c r="AG1450" s="25">
        <f>COUNTIFS(Tabela1[Mês],Tabela1[[#This Row],[Mês]])</f>
        <v>177</v>
      </c>
      <c r="AH1450" s="25">
        <f>COUNTIFS(Tabela1[Mês],Tabela1[[#This Row],[Mês]],Tabela1[Fase atual],"Recebido")</f>
        <v>130</v>
      </c>
      <c r="AI1450" s="26">
        <f>Tabela1[[#This Row],[Recebido_ Mes]]/Tabela1[[#This Row],[Total_Mes]]</f>
        <v>0.7344632768361582</v>
      </c>
      <c r="AJ1450" s="19">
        <f>COUNTIFS(Tabela1[Fase atual],"Recebido",Tabela1[Mês],Tabela1[[#This Row],[Mês]],Tabela1[Ano],Tabela1[[#This Row],[Ano]])/COUNTIF(Tabela1[Mês],Tabela1[[#This Row],[Mês]])</f>
        <v>0.7344632768361582</v>
      </c>
      <c r="AK1450" s="20">
        <f>100%</f>
        <v>1</v>
      </c>
    </row>
    <row r="1451" spans="1:37" ht="18" customHeight="1" x14ac:dyDescent="0.25">
      <c r="A1451">
        <v>1276683406</v>
      </c>
      <c r="B1451" t="s">
        <v>623</v>
      </c>
      <c r="C1451" t="s">
        <v>624</v>
      </c>
      <c r="D1451" t="s">
        <v>37</v>
      </c>
      <c r="E1451" t="s">
        <v>31</v>
      </c>
      <c r="F1451" s="2">
        <v>46027.921366226838</v>
      </c>
      <c r="AC1451" s="24">
        <f t="shared" ca="1" si="45"/>
        <v>106.07863377316244</v>
      </c>
      <c r="AD1451" s="25" t="str">
        <f t="shared" ca="1" si="46"/>
        <v>&gt;60 dias</v>
      </c>
      <c r="AE1451" s="25">
        <f>MONTH(Tabela1[[#This Row],[Criado em]])</f>
        <v>1</v>
      </c>
      <c r="AF1451" s="25">
        <f>YEAR(Tabela1[[#This Row],[Criado em]])</f>
        <v>2026</v>
      </c>
      <c r="AG1451" s="25">
        <f>COUNTIFS(Tabela1[Mês],Tabela1[[#This Row],[Mês]])</f>
        <v>222</v>
      </c>
      <c r="AH1451" s="25">
        <f>COUNTIFS(Tabela1[Mês],Tabela1[[#This Row],[Mês]],Tabela1[Fase atual],"Recebido")</f>
        <v>174</v>
      </c>
      <c r="AI1451" s="26">
        <f>Tabela1[[#This Row],[Recebido_ Mes]]/Tabela1[[#This Row],[Total_Mes]]</f>
        <v>0.78378378378378377</v>
      </c>
      <c r="AJ1451" s="19">
        <f>COUNTIFS(Tabela1[Fase atual],"Recebido",Tabela1[Mês],Tabela1[[#This Row],[Mês]],Tabela1[Ano],Tabela1[[#This Row],[Ano]])/COUNTIF(Tabela1[Mês],Tabela1[[#This Row],[Mês]])</f>
        <v>0.78378378378378377</v>
      </c>
      <c r="AK1451" s="20">
        <f>100%</f>
        <v>1</v>
      </c>
    </row>
    <row r="1452" spans="1:37" ht="18" customHeight="1" x14ac:dyDescent="0.25">
      <c r="A1452">
        <v>1199019610</v>
      </c>
      <c r="B1452" t="s">
        <v>2095</v>
      </c>
      <c r="C1452" t="s">
        <v>624</v>
      </c>
      <c r="D1452" t="s">
        <v>37</v>
      </c>
      <c r="E1452" t="s">
        <v>31</v>
      </c>
      <c r="F1452" s="2">
        <v>45890.01712517361</v>
      </c>
      <c r="AC1452" s="24">
        <f t="shared" ca="1" si="45"/>
        <v>243.98287482638989</v>
      </c>
      <c r="AD1452" s="25" t="str">
        <f t="shared" ca="1" si="46"/>
        <v>&gt;60 dias</v>
      </c>
      <c r="AE1452" s="25">
        <f>MONTH(Tabela1[[#This Row],[Criado em]])</f>
        <v>8</v>
      </c>
      <c r="AF1452" s="25">
        <f>YEAR(Tabela1[[#This Row],[Criado em]])</f>
        <v>2025</v>
      </c>
      <c r="AG1452" s="25">
        <f>COUNTIFS(Tabela1[Mês],Tabela1[[#This Row],[Mês]])</f>
        <v>146</v>
      </c>
      <c r="AH1452" s="25">
        <f>COUNTIFS(Tabela1[Mês],Tabela1[[#This Row],[Mês]],Tabela1[Fase atual],"Recebido")</f>
        <v>115</v>
      </c>
      <c r="AI1452" s="26">
        <f>Tabela1[[#This Row],[Recebido_ Mes]]/Tabela1[[#This Row],[Total_Mes]]</f>
        <v>0.78767123287671237</v>
      </c>
      <c r="AJ1452" s="19">
        <f>COUNTIFS(Tabela1[Fase atual],"Recebido",Tabela1[Mês],Tabela1[[#This Row],[Mês]],Tabela1[Ano],Tabela1[[#This Row],[Ano]])/COUNTIF(Tabela1[Mês],Tabela1[[#This Row],[Mês]])</f>
        <v>0.78767123287671237</v>
      </c>
      <c r="AK1452" s="20">
        <f>100%</f>
        <v>1</v>
      </c>
    </row>
    <row r="1453" spans="1:37" ht="18" customHeight="1" x14ac:dyDescent="0.25">
      <c r="A1453">
        <v>1221986867</v>
      </c>
      <c r="B1453" t="s">
        <v>2096</v>
      </c>
      <c r="C1453" t="s">
        <v>2097</v>
      </c>
      <c r="D1453" t="s">
        <v>40</v>
      </c>
      <c r="E1453" t="s">
        <v>31</v>
      </c>
      <c r="F1453" s="2">
        <v>45926.641230960653</v>
      </c>
      <c r="AC1453" s="24">
        <f t="shared" ca="1" si="45"/>
        <v>207.35876903934695</v>
      </c>
      <c r="AD1453" s="25" t="str">
        <f t="shared" ca="1" si="46"/>
        <v>&gt;60 dias</v>
      </c>
      <c r="AE1453" s="25">
        <f>MONTH(Tabela1[[#This Row],[Criado em]])</f>
        <v>9</v>
      </c>
      <c r="AF1453" s="25">
        <f>YEAR(Tabela1[[#This Row],[Criado em]])</f>
        <v>2025</v>
      </c>
      <c r="AG1453" s="25">
        <f>COUNTIFS(Tabela1[Mês],Tabela1[[#This Row],[Mês]])</f>
        <v>197</v>
      </c>
      <c r="AH1453" s="25">
        <f>COUNTIFS(Tabela1[Mês],Tabela1[[#This Row],[Mês]],Tabela1[Fase atual],"Recebido")</f>
        <v>152</v>
      </c>
      <c r="AI1453" s="26">
        <f>Tabela1[[#This Row],[Recebido_ Mes]]/Tabela1[[#This Row],[Total_Mes]]</f>
        <v>0.77157360406091369</v>
      </c>
      <c r="AJ1453" s="19">
        <f>COUNTIFS(Tabela1[Fase atual],"Recebido",Tabela1[Mês],Tabela1[[#This Row],[Mês]],Tabela1[Ano],Tabela1[[#This Row],[Ano]])/COUNTIF(Tabela1[Mês],Tabela1[[#This Row],[Mês]])</f>
        <v>0.77157360406091369</v>
      </c>
      <c r="AK1453" s="20">
        <f>100%</f>
        <v>1</v>
      </c>
    </row>
    <row r="1454" spans="1:37" ht="18" customHeight="1" x14ac:dyDescent="0.25">
      <c r="A1454">
        <v>1193298028</v>
      </c>
      <c r="B1454" t="s">
        <v>2098</v>
      </c>
      <c r="C1454" t="s">
        <v>2099</v>
      </c>
      <c r="D1454" t="s">
        <v>37</v>
      </c>
      <c r="E1454" t="s">
        <v>31</v>
      </c>
      <c r="F1454" s="2">
        <v>45880.851350775461</v>
      </c>
      <c r="AC1454" s="24">
        <f t="shared" ca="1" si="45"/>
        <v>253.14864922453853</v>
      </c>
      <c r="AD1454" s="25" t="str">
        <f t="shared" ca="1" si="46"/>
        <v>&gt;60 dias</v>
      </c>
      <c r="AE1454" s="25">
        <f>MONTH(Tabela1[[#This Row],[Criado em]])</f>
        <v>8</v>
      </c>
      <c r="AF1454" s="25">
        <f>YEAR(Tabela1[[#This Row],[Criado em]])</f>
        <v>2025</v>
      </c>
      <c r="AG1454" s="25">
        <f>COUNTIFS(Tabela1[Mês],Tabela1[[#This Row],[Mês]])</f>
        <v>146</v>
      </c>
      <c r="AH1454" s="25">
        <f>COUNTIFS(Tabela1[Mês],Tabela1[[#This Row],[Mês]],Tabela1[Fase atual],"Recebido")</f>
        <v>115</v>
      </c>
      <c r="AI1454" s="26">
        <f>Tabela1[[#This Row],[Recebido_ Mes]]/Tabela1[[#This Row],[Total_Mes]]</f>
        <v>0.78767123287671237</v>
      </c>
      <c r="AJ1454" s="19">
        <f>COUNTIFS(Tabela1[Fase atual],"Recebido",Tabela1[Mês],Tabela1[[#This Row],[Mês]],Tabela1[Ano],Tabela1[[#This Row],[Ano]])/COUNTIF(Tabela1[Mês],Tabela1[[#This Row],[Mês]])</f>
        <v>0.78767123287671237</v>
      </c>
      <c r="AK1454" s="20">
        <f>100%</f>
        <v>1</v>
      </c>
    </row>
    <row r="1455" spans="1:37" ht="18" customHeight="1" x14ac:dyDescent="0.25">
      <c r="A1455">
        <v>1198093994</v>
      </c>
      <c r="B1455" t="s">
        <v>2098</v>
      </c>
      <c r="C1455" t="s">
        <v>2100</v>
      </c>
      <c r="D1455" t="s">
        <v>37</v>
      </c>
      <c r="E1455" t="s">
        <v>31</v>
      </c>
      <c r="F1455" s="2">
        <v>45888.850652835652</v>
      </c>
      <c r="AC1455" s="24">
        <f t="shared" ca="1" si="45"/>
        <v>245.149347164348</v>
      </c>
      <c r="AD1455" s="25" t="str">
        <f t="shared" ca="1" si="46"/>
        <v>&gt;60 dias</v>
      </c>
      <c r="AE1455" s="25">
        <f>MONTH(Tabela1[[#This Row],[Criado em]])</f>
        <v>8</v>
      </c>
      <c r="AF1455" s="25">
        <f>YEAR(Tabela1[[#This Row],[Criado em]])</f>
        <v>2025</v>
      </c>
      <c r="AG1455" s="25">
        <f>COUNTIFS(Tabela1[Mês],Tabela1[[#This Row],[Mês]])</f>
        <v>146</v>
      </c>
      <c r="AH1455" s="25">
        <f>COUNTIFS(Tabela1[Mês],Tabela1[[#This Row],[Mês]],Tabela1[Fase atual],"Recebido")</f>
        <v>115</v>
      </c>
      <c r="AI1455" s="26">
        <f>Tabela1[[#This Row],[Recebido_ Mes]]/Tabela1[[#This Row],[Total_Mes]]</f>
        <v>0.78767123287671237</v>
      </c>
      <c r="AJ1455" s="19">
        <f>COUNTIFS(Tabela1[Fase atual],"Recebido",Tabela1[Mês],Tabela1[[#This Row],[Mês]],Tabela1[Ano],Tabela1[[#This Row],[Ano]])/COUNTIF(Tabela1[Mês],Tabela1[[#This Row],[Mês]])</f>
        <v>0.78767123287671237</v>
      </c>
      <c r="AK1455" s="20">
        <f>100%</f>
        <v>1</v>
      </c>
    </row>
    <row r="1456" spans="1:37" ht="18" customHeight="1" x14ac:dyDescent="0.25">
      <c r="A1456">
        <v>1264759065</v>
      </c>
      <c r="B1456" t="s">
        <v>2101</v>
      </c>
      <c r="C1456" t="s">
        <v>2102</v>
      </c>
      <c r="D1456" t="s">
        <v>37</v>
      </c>
      <c r="E1456" t="s">
        <v>31</v>
      </c>
      <c r="F1456" s="2">
        <v>45996.799509131954</v>
      </c>
      <c r="AC1456" s="24">
        <f t="shared" ca="1" si="45"/>
        <v>137.20049086804647</v>
      </c>
      <c r="AD1456" s="25" t="str">
        <f t="shared" ca="1" si="46"/>
        <v>&gt;60 dias</v>
      </c>
      <c r="AE1456" s="25">
        <f>MONTH(Tabela1[[#This Row],[Criado em]])</f>
        <v>12</v>
      </c>
      <c r="AF1456" s="25">
        <f>YEAR(Tabela1[[#This Row],[Criado em]])</f>
        <v>2025</v>
      </c>
      <c r="AG1456" s="25">
        <f>COUNTIFS(Tabela1[Mês],Tabela1[[#This Row],[Mês]])</f>
        <v>207</v>
      </c>
      <c r="AH1456" s="25">
        <f>COUNTIFS(Tabela1[Mês],Tabela1[[#This Row],[Mês]],Tabela1[Fase atual],"Recebido")</f>
        <v>155</v>
      </c>
      <c r="AI1456" s="26">
        <f>Tabela1[[#This Row],[Recebido_ Mes]]/Tabela1[[#This Row],[Total_Mes]]</f>
        <v>0.74879227053140096</v>
      </c>
      <c r="AJ1456" s="19">
        <f>COUNTIFS(Tabela1[Fase atual],"Recebido",Tabela1[Mês],Tabela1[[#This Row],[Mês]],Tabela1[Ano],Tabela1[[#This Row],[Ano]])/COUNTIF(Tabela1[Mês],Tabela1[[#This Row],[Mês]])</f>
        <v>0.74879227053140096</v>
      </c>
      <c r="AK1456" s="20">
        <f>100%</f>
        <v>1</v>
      </c>
    </row>
    <row r="1457" spans="1:37" ht="18" customHeight="1" x14ac:dyDescent="0.25">
      <c r="A1457">
        <v>1297487210</v>
      </c>
      <c r="B1457" t="s">
        <v>625</v>
      </c>
      <c r="C1457" t="s">
        <v>626</v>
      </c>
      <c r="D1457" t="s">
        <v>37</v>
      </c>
      <c r="E1457" t="s">
        <v>31</v>
      </c>
      <c r="F1457" s="2">
        <v>46066.628920092597</v>
      </c>
      <c r="AC1457" s="24">
        <f t="shared" ca="1" si="45"/>
        <v>67.371079907403328</v>
      </c>
      <c r="AD1457" s="25" t="str">
        <f t="shared" ca="1" si="46"/>
        <v>&gt;60 dias</v>
      </c>
      <c r="AE1457" s="25">
        <f>MONTH(Tabela1[[#This Row],[Criado em]])</f>
        <v>2</v>
      </c>
      <c r="AF1457" s="25">
        <f>YEAR(Tabela1[[#This Row],[Criado em]])</f>
        <v>2026</v>
      </c>
      <c r="AG1457" s="25">
        <f>COUNTIFS(Tabela1[Mês],Tabela1[[#This Row],[Mês]])</f>
        <v>197</v>
      </c>
      <c r="AH1457" s="25">
        <f>COUNTIFS(Tabela1[Mês],Tabela1[[#This Row],[Mês]],Tabela1[Fase atual],"Recebido")</f>
        <v>124</v>
      </c>
      <c r="AI1457" s="26">
        <f>Tabela1[[#This Row],[Recebido_ Mes]]/Tabela1[[#This Row],[Total_Mes]]</f>
        <v>0.62944162436548223</v>
      </c>
      <c r="AJ1457" s="19">
        <f>COUNTIFS(Tabela1[Fase atual],"Recebido",Tabela1[Mês],Tabela1[[#This Row],[Mês]],Tabela1[Ano],Tabela1[[#This Row],[Ano]])/COUNTIF(Tabela1[Mês],Tabela1[[#This Row],[Mês]])</f>
        <v>0.62944162436548223</v>
      </c>
      <c r="AK1457" s="20">
        <f>100%</f>
        <v>1</v>
      </c>
    </row>
    <row r="1458" spans="1:37" ht="18" customHeight="1" x14ac:dyDescent="0.25">
      <c r="A1458">
        <v>1269754536</v>
      </c>
      <c r="B1458" t="s">
        <v>627</v>
      </c>
      <c r="C1458" t="s">
        <v>2103</v>
      </c>
      <c r="D1458" t="s">
        <v>37</v>
      </c>
      <c r="E1458" t="s">
        <v>31</v>
      </c>
      <c r="F1458" s="2">
        <v>46008.921638159722</v>
      </c>
      <c r="AC1458" s="24">
        <f t="shared" ca="1" si="45"/>
        <v>125.07836184027838</v>
      </c>
      <c r="AD1458" s="25" t="str">
        <f t="shared" ca="1" si="46"/>
        <v>&gt;60 dias</v>
      </c>
      <c r="AE1458" s="25">
        <f>MONTH(Tabela1[[#This Row],[Criado em]])</f>
        <v>12</v>
      </c>
      <c r="AF1458" s="25">
        <f>YEAR(Tabela1[[#This Row],[Criado em]])</f>
        <v>2025</v>
      </c>
      <c r="AG1458" s="25">
        <f>COUNTIFS(Tabela1[Mês],Tabela1[[#This Row],[Mês]])</f>
        <v>207</v>
      </c>
      <c r="AH1458" s="25">
        <f>COUNTIFS(Tabela1[Mês],Tabela1[[#This Row],[Mês]],Tabela1[Fase atual],"Recebido")</f>
        <v>155</v>
      </c>
      <c r="AI1458" s="26">
        <f>Tabela1[[#This Row],[Recebido_ Mes]]/Tabela1[[#This Row],[Total_Mes]]</f>
        <v>0.74879227053140096</v>
      </c>
      <c r="AJ1458" s="19">
        <f>COUNTIFS(Tabela1[Fase atual],"Recebido",Tabela1[Mês],Tabela1[[#This Row],[Mês]],Tabela1[Ano],Tabela1[[#This Row],[Ano]])/COUNTIF(Tabela1[Mês],Tabela1[[#This Row],[Mês]])</f>
        <v>0.74879227053140096</v>
      </c>
      <c r="AK1458" s="20">
        <f>100%</f>
        <v>1</v>
      </c>
    </row>
    <row r="1459" spans="1:37" ht="18" customHeight="1" x14ac:dyDescent="0.25">
      <c r="A1459">
        <v>1265512178</v>
      </c>
      <c r="B1459" t="s">
        <v>627</v>
      </c>
      <c r="C1459" t="s">
        <v>2104</v>
      </c>
      <c r="D1459" t="s">
        <v>37</v>
      </c>
      <c r="E1459" t="s">
        <v>31</v>
      </c>
      <c r="F1459" s="2">
        <v>45999.79570047454</v>
      </c>
      <c r="AC1459" s="24">
        <f t="shared" ca="1" si="45"/>
        <v>134.20429952545965</v>
      </c>
      <c r="AD1459" s="25" t="str">
        <f t="shared" ca="1" si="46"/>
        <v>&gt;60 dias</v>
      </c>
      <c r="AE1459" s="25">
        <f>MONTH(Tabela1[[#This Row],[Criado em]])</f>
        <v>12</v>
      </c>
      <c r="AF1459" s="25">
        <f>YEAR(Tabela1[[#This Row],[Criado em]])</f>
        <v>2025</v>
      </c>
      <c r="AG1459" s="25">
        <f>COUNTIFS(Tabela1[Mês],Tabela1[[#This Row],[Mês]])</f>
        <v>207</v>
      </c>
      <c r="AH1459" s="25">
        <f>COUNTIFS(Tabela1[Mês],Tabela1[[#This Row],[Mês]],Tabela1[Fase atual],"Recebido")</f>
        <v>155</v>
      </c>
      <c r="AI1459" s="26">
        <f>Tabela1[[#This Row],[Recebido_ Mes]]/Tabela1[[#This Row],[Total_Mes]]</f>
        <v>0.74879227053140096</v>
      </c>
      <c r="AJ1459" s="19">
        <f>COUNTIFS(Tabela1[Fase atual],"Recebido",Tabela1[Mês],Tabela1[[#This Row],[Mês]],Tabela1[Ano],Tabela1[[#This Row],[Ano]])/COUNTIF(Tabela1[Mês],Tabela1[[#This Row],[Mês]])</f>
        <v>0.74879227053140096</v>
      </c>
      <c r="AK1459" s="20">
        <f>100%</f>
        <v>1</v>
      </c>
    </row>
    <row r="1460" spans="1:37" ht="18" customHeight="1" x14ac:dyDescent="0.25">
      <c r="A1460">
        <v>1281987953</v>
      </c>
      <c r="B1460" t="s">
        <v>627</v>
      </c>
      <c r="C1460" t="s">
        <v>628</v>
      </c>
      <c r="D1460" t="s">
        <v>40</v>
      </c>
      <c r="E1460" t="s">
        <v>31</v>
      </c>
      <c r="F1460" s="2">
        <v>46036.919893587969</v>
      </c>
      <c r="AC1460" s="24">
        <f t="shared" ca="1" si="45"/>
        <v>97.080106412031455</v>
      </c>
      <c r="AD1460" s="25" t="str">
        <f t="shared" ca="1" si="46"/>
        <v>&gt;60 dias</v>
      </c>
      <c r="AE1460" s="25">
        <f>MONTH(Tabela1[[#This Row],[Criado em]])</f>
        <v>1</v>
      </c>
      <c r="AF1460" s="25">
        <f>YEAR(Tabela1[[#This Row],[Criado em]])</f>
        <v>2026</v>
      </c>
      <c r="AG1460" s="25">
        <f>COUNTIFS(Tabela1[Mês],Tabela1[[#This Row],[Mês]])</f>
        <v>222</v>
      </c>
      <c r="AH1460" s="25">
        <f>COUNTIFS(Tabela1[Mês],Tabela1[[#This Row],[Mês]],Tabela1[Fase atual],"Recebido")</f>
        <v>174</v>
      </c>
      <c r="AI1460" s="26">
        <f>Tabela1[[#This Row],[Recebido_ Mes]]/Tabela1[[#This Row],[Total_Mes]]</f>
        <v>0.78378378378378377</v>
      </c>
      <c r="AJ1460" s="19">
        <f>COUNTIFS(Tabela1[Fase atual],"Recebido",Tabela1[Mês],Tabela1[[#This Row],[Mês]],Tabela1[Ano],Tabela1[[#This Row],[Ano]])/COUNTIF(Tabela1[Mês],Tabela1[[#This Row],[Mês]])</f>
        <v>0.78378378378378377</v>
      </c>
      <c r="AK1460" s="20">
        <f>100%</f>
        <v>1</v>
      </c>
    </row>
    <row r="1461" spans="1:37" ht="18" customHeight="1" x14ac:dyDescent="0.25">
      <c r="A1461">
        <v>1286720204</v>
      </c>
      <c r="B1461" t="s">
        <v>629</v>
      </c>
      <c r="C1461" t="s">
        <v>630</v>
      </c>
      <c r="D1461" t="s">
        <v>37</v>
      </c>
      <c r="E1461" t="s">
        <v>31</v>
      </c>
      <c r="F1461" s="2">
        <v>46045.795259907412</v>
      </c>
      <c r="AC1461" s="24">
        <f t="shared" ca="1" si="45"/>
        <v>88.204740092587599</v>
      </c>
      <c r="AD1461" s="25" t="str">
        <f t="shared" ca="1" si="46"/>
        <v>&gt;60 dias</v>
      </c>
      <c r="AE1461" s="25">
        <f>MONTH(Tabela1[[#This Row],[Criado em]])</f>
        <v>1</v>
      </c>
      <c r="AF1461" s="25">
        <f>YEAR(Tabela1[[#This Row],[Criado em]])</f>
        <v>2026</v>
      </c>
      <c r="AG1461" s="25">
        <f>COUNTIFS(Tabela1[Mês],Tabela1[[#This Row],[Mês]])</f>
        <v>222</v>
      </c>
      <c r="AH1461" s="25">
        <f>COUNTIFS(Tabela1[Mês],Tabela1[[#This Row],[Mês]],Tabela1[Fase atual],"Recebido")</f>
        <v>174</v>
      </c>
      <c r="AI1461" s="26">
        <f>Tabela1[[#This Row],[Recebido_ Mes]]/Tabela1[[#This Row],[Total_Mes]]</f>
        <v>0.78378378378378377</v>
      </c>
      <c r="AJ1461" s="19">
        <f>COUNTIFS(Tabela1[Fase atual],"Recebido",Tabela1[Mês],Tabela1[[#This Row],[Mês]],Tabela1[Ano],Tabela1[[#This Row],[Ano]])/COUNTIF(Tabela1[Mês],Tabela1[[#This Row],[Mês]])</f>
        <v>0.78378378378378377</v>
      </c>
      <c r="AK1461" s="20">
        <f>100%</f>
        <v>1</v>
      </c>
    </row>
    <row r="1462" spans="1:37" ht="18" customHeight="1" x14ac:dyDescent="0.25">
      <c r="A1462">
        <v>1279455409</v>
      </c>
      <c r="B1462" t="s">
        <v>631</v>
      </c>
      <c r="C1462" t="s">
        <v>2279</v>
      </c>
      <c r="D1462" t="s">
        <v>40</v>
      </c>
      <c r="E1462" t="s">
        <v>31</v>
      </c>
      <c r="F1462" s="2">
        <v>46031.631299456007</v>
      </c>
      <c r="AC1462" s="24">
        <f t="shared" ca="1" si="45"/>
        <v>102.36870054399333</v>
      </c>
      <c r="AD1462" s="25" t="str">
        <f t="shared" ca="1" si="46"/>
        <v>&gt;60 dias</v>
      </c>
      <c r="AE1462" s="25">
        <f>MONTH(Tabela1[[#This Row],[Criado em]])</f>
        <v>1</v>
      </c>
      <c r="AF1462" s="25">
        <f>YEAR(Tabela1[[#This Row],[Criado em]])</f>
        <v>2026</v>
      </c>
      <c r="AG1462" s="25">
        <f>COUNTIFS(Tabela1[Mês],Tabela1[[#This Row],[Mês]])</f>
        <v>222</v>
      </c>
      <c r="AH1462" s="25">
        <f>COUNTIFS(Tabela1[Mês],Tabela1[[#This Row],[Mês]],Tabela1[Fase atual],"Recebido")</f>
        <v>174</v>
      </c>
      <c r="AI1462" s="26">
        <f>Tabela1[[#This Row],[Recebido_ Mes]]/Tabela1[[#This Row],[Total_Mes]]</f>
        <v>0.78378378378378377</v>
      </c>
      <c r="AJ1462" s="19">
        <f>COUNTIFS(Tabela1[Fase atual],"Recebido",Tabela1[Mês],Tabela1[[#This Row],[Mês]],Tabela1[Ano],Tabela1[[#This Row],[Ano]])/COUNTIF(Tabela1[Mês],Tabela1[[#This Row],[Mês]])</f>
        <v>0.78378378378378377</v>
      </c>
      <c r="AK1462" s="20">
        <f>100%</f>
        <v>1</v>
      </c>
    </row>
    <row r="1463" spans="1:37" ht="18" customHeight="1" x14ac:dyDescent="0.25">
      <c r="A1463">
        <v>1294485379</v>
      </c>
      <c r="B1463" t="s">
        <v>631</v>
      </c>
      <c r="C1463" t="s">
        <v>632</v>
      </c>
      <c r="D1463" t="s">
        <v>37</v>
      </c>
      <c r="E1463" t="s">
        <v>31</v>
      </c>
      <c r="F1463" s="2">
        <v>46059.795725416669</v>
      </c>
      <c r="AC1463" s="24">
        <f t="shared" ca="1" si="45"/>
        <v>74.204274583331426</v>
      </c>
      <c r="AD1463" s="25" t="str">
        <f t="shared" ca="1" si="46"/>
        <v>&gt;60 dias</v>
      </c>
      <c r="AE1463" s="25">
        <f>MONTH(Tabela1[[#This Row],[Criado em]])</f>
        <v>2</v>
      </c>
      <c r="AF1463" s="25">
        <f>YEAR(Tabela1[[#This Row],[Criado em]])</f>
        <v>2026</v>
      </c>
      <c r="AG1463" s="25">
        <f>COUNTIFS(Tabela1[Mês],Tabela1[[#This Row],[Mês]])</f>
        <v>197</v>
      </c>
      <c r="AH1463" s="25">
        <f>COUNTIFS(Tabela1[Mês],Tabela1[[#This Row],[Mês]],Tabela1[Fase atual],"Recebido")</f>
        <v>124</v>
      </c>
      <c r="AI1463" s="26">
        <f>Tabela1[[#This Row],[Recebido_ Mes]]/Tabela1[[#This Row],[Total_Mes]]</f>
        <v>0.62944162436548223</v>
      </c>
      <c r="AJ1463" s="19">
        <f>COUNTIFS(Tabela1[Fase atual],"Recebido",Tabela1[Mês],Tabela1[[#This Row],[Mês]],Tabela1[Ano],Tabela1[[#This Row],[Ano]])/COUNTIF(Tabela1[Mês],Tabela1[[#This Row],[Mês]])</f>
        <v>0.62944162436548223</v>
      </c>
      <c r="AK1463" s="20">
        <f>100%</f>
        <v>1</v>
      </c>
    </row>
    <row r="1464" spans="1:37" ht="18" customHeight="1" x14ac:dyDescent="0.25">
      <c r="A1464">
        <v>1249753102</v>
      </c>
      <c r="B1464" t="s">
        <v>631</v>
      </c>
      <c r="C1464" t="s">
        <v>2105</v>
      </c>
      <c r="D1464" t="s">
        <v>37</v>
      </c>
      <c r="E1464" t="s">
        <v>31</v>
      </c>
      <c r="F1464" s="2">
        <v>45965.794441076388</v>
      </c>
      <c r="AC1464" s="24">
        <f t="shared" ca="1" si="45"/>
        <v>168.20555892361153</v>
      </c>
      <c r="AD1464" s="25" t="str">
        <f t="shared" ca="1" si="46"/>
        <v>&gt;60 dias</v>
      </c>
      <c r="AE1464" s="25">
        <f>MONTH(Tabela1[[#This Row],[Criado em]])</f>
        <v>11</v>
      </c>
      <c r="AF1464" s="25">
        <f>YEAR(Tabela1[[#This Row],[Criado em]])</f>
        <v>2025</v>
      </c>
      <c r="AG1464" s="25">
        <f>COUNTIFS(Tabela1[Mês],Tabela1[[#This Row],[Mês]])</f>
        <v>130</v>
      </c>
      <c r="AH1464" s="25">
        <f>COUNTIFS(Tabela1[Mês],Tabela1[[#This Row],[Mês]],Tabela1[Fase atual],"Recebido")</f>
        <v>100</v>
      </c>
      <c r="AI1464" s="26">
        <f>Tabela1[[#This Row],[Recebido_ Mes]]/Tabela1[[#This Row],[Total_Mes]]</f>
        <v>0.76923076923076927</v>
      </c>
      <c r="AJ1464" s="19">
        <f>COUNTIFS(Tabela1[Fase atual],"Recebido",Tabela1[Mês],Tabela1[[#This Row],[Mês]],Tabela1[Ano],Tabela1[[#This Row],[Ano]])/COUNTIF(Tabela1[Mês],Tabela1[[#This Row],[Mês]])</f>
        <v>0.76923076923076927</v>
      </c>
      <c r="AK1464" s="20">
        <f>100%</f>
        <v>1</v>
      </c>
    </row>
    <row r="1465" spans="1:37" ht="18" customHeight="1" x14ac:dyDescent="0.25">
      <c r="A1465">
        <v>1307302093</v>
      </c>
      <c r="B1465" t="s">
        <v>631</v>
      </c>
      <c r="C1465" t="s">
        <v>2280</v>
      </c>
      <c r="D1465" t="s">
        <v>37</v>
      </c>
      <c r="E1465" t="s">
        <v>31</v>
      </c>
      <c r="F1465" s="2">
        <v>46083.795371087966</v>
      </c>
      <c r="AC1465" s="24">
        <f t="shared" ca="1" si="45"/>
        <v>50.204628912033513</v>
      </c>
      <c r="AD1465" s="25" t="str">
        <f t="shared" ca="1" si="46"/>
        <v>31-60 dias</v>
      </c>
      <c r="AE1465" s="25">
        <f>MONTH(Tabela1[[#This Row],[Criado em]])</f>
        <v>3</v>
      </c>
      <c r="AF1465" s="25">
        <f>YEAR(Tabela1[[#This Row],[Criado em]])</f>
        <v>2026</v>
      </c>
      <c r="AG1465" s="25">
        <f>COUNTIFS(Tabela1[Mês],Tabela1[[#This Row],[Mês]])</f>
        <v>62</v>
      </c>
      <c r="AH1465" s="25">
        <f>COUNTIFS(Tabela1[Mês],Tabela1[[#This Row],[Mês]],Tabela1[Fase atual],"Recebido")</f>
        <v>13</v>
      </c>
      <c r="AI1465" s="26">
        <f>Tabela1[[#This Row],[Recebido_ Mes]]/Tabela1[[#This Row],[Total_Mes]]</f>
        <v>0.20967741935483872</v>
      </c>
      <c r="AJ1465" s="19">
        <f>COUNTIFS(Tabela1[Fase atual],"Recebido",Tabela1[Mês],Tabela1[[#This Row],[Mês]],Tabela1[Ano],Tabela1[[#This Row],[Ano]])/COUNTIF(Tabela1[Mês],Tabela1[[#This Row],[Mês]])</f>
        <v>0.20967741935483872</v>
      </c>
      <c r="AK1465" s="20">
        <f>100%</f>
        <v>1</v>
      </c>
    </row>
    <row r="1466" spans="1:37" ht="18" customHeight="1" x14ac:dyDescent="0.25">
      <c r="A1466">
        <v>1299196811</v>
      </c>
      <c r="B1466" t="s">
        <v>631</v>
      </c>
      <c r="C1466" t="s">
        <v>633</v>
      </c>
      <c r="D1466" t="s">
        <v>37</v>
      </c>
      <c r="E1466" t="s">
        <v>31</v>
      </c>
      <c r="F1466" s="2">
        <v>46071.920739421301</v>
      </c>
      <c r="AC1466" s="24">
        <f t="shared" ca="1" si="45"/>
        <v>62.079260578699177</v>
      </c>
      <c r="AD1466" s="25" t="str">
        <f t="shared" ca="1" si="46"/>
        <v>&gt;60 dias</v>
      </c>
      <c r="AE1466" s="25">
        <f>MONTH(Tabela1[[#This Row],[Criado em]])</f>
        <v>2</v>
      </c>
      <c r="AF1466" s="25">
        <f>YEAR(Tabela1[[#This Row],[Criado em]])</f>
        <v>2026</v>
      </c>
      <c r="AG1466" s="25">
        <f>COUNTIFS(Tabela1[Mês],Tabela1[[#This Row],[Mês]])</f>
        <v>197</v>
      </c>
      <c r="AH1466" s="25">
        <f>COUNTIFS(Tabela1[Mês],Tabela1[[#This Row],[Mês]],Tabela1[Fase atual],"Recebido")</f>
        <v>124</v>
      </c>
      <c r="AI1466" s="26">
        <f>Tabela1[[#This Row],[Recebido_ Mes]]/Tabela1[[#This Row],[Total_Mes]]</f>
        <v>0.62944162436548223</v>
      </c>
      <c r="AJ1466" s="19">
        <f>COUNTIFS(Tabela1[Fase atual],"Recebido",Tabela1[Mês],Tabela1[[#This Row],[Mês]],Tabela1[Ano],Tabela1[[#This Row],[Ano]])/COUNTIF(Tabela1[Mês],Tabela1[[#This Row],[Mês]])</f>
        <v>0.62944162436548223</v>
      </c>
      <c r="AK1466" s="20">
        <f>100%</f>
        <v>1</v>
      </c>
    </row>
    <row r="1467" spans="1:37" ht="18" customHeight="1" x14ac:dyDescent="0.25">
      <c r="A1467">
        <v>1268739508</v>
      </c>
      <c r="B1467" t="s">
        <v>634</v>
      </c>
      <c r="C1467" t="s">
        <v>2106</v>
      </c>
      <c r="D1467" t="s">
        <v>37</v>
      </c>
      <c r="E1467" t="s">
        <v>31</v>
      </c>
      <c r="F1467" s="2">
        <v>46006.918490729156</v>
      </c>
      <c r="AC1467" s="24">
        <f t="shared" ca="1" si="45"/>
        <v>127.08150927084353</v>
      </c>
      <c r="AD1467" s="25" t="str">
        <f t="shared" ca="1" si="46"/>
        <v>&gt;60 dias</v>
      </c>
      <c r="AE1467" s="25">
        <f>MONTH(Tabela1[[#This Row],[Criado em]])</f>
        <v>12</v>
      </c>
      <c r="AF1467" s="25">
        <f>YEAR(Tabela1[[#This Row],[Criado em]])</f>
        <v>2025</v>
      </c>
      <c r="AG1467" s="25">
        <f>COUNTIFS(Tabela1[Mês],Tabela1[[#This Row],[Mês]])</f>
        <v>207</v>
      </c>
      <c r="AH1467" s="25">
        <f>COUNTIFS(Tabela1[Mês],Tabela1[[#This Row],[Mês]],Tabela1[Fase atual],"Recebido")</f>
        <v>155</v>
      </c>
      <c r="AI1467" s="26">
        <f>Tabela1[[#This Row],[Recebido_ Mes]]/Tabela1[[#This Row],[Total_Mes]]</f>
        <v>0.74879227053140096</v>
      </c>
      <c r="AJ1467" s="19">
        <f>COUNTIFS(Tabela1[Fase atual],"Recebido",Tabela1[Mês],Tabela1[[#This Row],[Mês]],Tabela1[Ano],Tabela1[[#This Row],[Ano]])/COUNTIF(Tabela1[Mês],Tabela1[[#This Row],[Mês]])</f>
        <v>0.74879227053140096</v>
      </c>
      <c r="AK1467" s="20">
        <f>100%</f>
        <v>1</v>
      </c>
    </row>
    <row r="1468" spans="1:37" ht="18" customHeight="1" x14ac:dyDescent="0.25">
      <c r="A1468">
        <v>1286721068</v>
      </c>
      <c r="B1468" t="s">
        <v>634</v>
      </c>
      <c r="C1468" t="s">
        <v>635</v>
      </c>
      <c r="D1468" t="s">
        <v>37</v>
      </c>
      <c r="E1468" t="s">
        <v>31</v>
      </c>
      <c r="F1468" s="2">
        <v>46045.795974456021</v>
      </c>
      <c r="AC1468" s="24">
        <f t="shared" ca="1" si="45"/>
        <v>88.204025543978787</v>
      </c>
      <c r="AD1468" s="25" t="str">
        <f t="shared" ca="1" si="46"/>
        <v>&gt;60 dias</v>
      </c>
      <c r="AE1468" s="25">
        <f>MONTH(Tabela1[[#This Row],[Criado em]])</f>
        <v>1</v>
      </c>
      <c r="AF1468" s="25">
        <f>YEAR(Tabela1[[#This Row],[Criado em]])</f>
        <v>2026</v>
      </c>
      <c r="AG1468" s="25">
        <f>COUNTIFS(Tabela1[Mês],Tabela1[[#This Row],[Mês]])</f>
        <v>222</v>
      </c>
      <c r="AH1468" s="25">
        <f>COUNTIFS(Tabela1[Mês],Tabela1[[#This Row],[Mês]],Tabela1[Fase atual],"Recebido")</f>
        <v>174</v>
      </c>
      <c r="AI1468" s="26">
        <f>Tabela1[[#This Row],[Recebido_ Mes]]/Tabela1[[#This Row],[Total_Mes]]</f>
        <v>0.78378378378378377</v>
      </c>
      <c r="AJ1468" s="19">
        <f>COUNTIFS(Tabela1[Fase atual],"Recebido",Tabela1[Mês],Tabela1[[#This Row],[Mês]],Tabela1[Ano],Tabela1[[#This Row],[Ano]])/COUNTIF(Tabela1[Mês],Tabela1[[#This Row],[Mês]])</f>
        <v>0.78378378378378377</v>
      </c>
      <c r="AK1468" s="20">
        <f>100%</f>
        <v>1</v>
      </c>
    </row>
    <row r="1469" spans="1:37" ht="18" customHeight="1" x14ac:dyDescent="0.25">
      <c r="A1469">
        <v>1182801818</v>
      </c>
      <c r="B1469" t="s">
        <v>2107</v>
      </c>
      <c r="C1469" t="s">
        <v>2108</v>
      </c>
      <c r="D1469" t="s">
        <v>37</v>
      </c>
      <c r="E1469" t="s">
        <v>31</v>
      </c>
      <c r="F1469" s="2">
        <v>45862.852570115727</v>
      </c>
      <c r="AC1469" s="24">
        <f t="shared" ca="1" si="45"/>
        <v>271.14742988427315</v>
      </c>
      <c r="AD1469" s="25" t="str">
        <f t="shared" ca="1" si="46"/>
        <v>&gt;60 dias</v>
      </c>
      <c r="AE1469" s="25">
        <f>MONTH(Tabela1[[#This Row],[Criado em]])</f>
        <v>7</v>
      </c>
      <c r="AF1469" s="25">
        <f>YEAR(Tabela1[[#This Row],[Criado em]])</f>
        <v>2025</v>
      </c>
      <c r="AG1469" s="25">
        <f>COUNTIFS(Tabela1[Mês],Tabela1[[#This Row],[Mês]])</f>
        <v>177</v>
      </c>
      <c r="AH1469" s="25">
        <f>COUNTIFS(Tabela1[Mês],Tabela1[[#This Row],[Mês]],Tabela1[Fase atual],"Recebido")</f>
        <v>130</v>
      </c>
      <c r="AI1469" s="26">
        <f>Tabela1[[#This Row],[Recebido_ Mes]]/Tabela1[[#This Row],[Total_Mes]]</f>
        <v>0.7344632768361582</v>
      </c>
      <c r="AJ1469" s="19">
        <f>COUNTIFS(Tabela1[Fase atual],"Recebido",Tabela1[Mês],Tabela1[[#This Row],[Mês]],Tabela1[Ano],Tabela1[[#This Row],[Ano]])/COUNTIF(Tabela1[Mês],Tabela1[[#This Row],[Mês]])</f>
        <v>0.7344632768361582</v>
      </c>
      <c r="AK1469" s="20">
        <f>100%</f>
        <v>1</v>
      </c>
    </row>
    <row r="1470" spans="1:37" ht="18" customHeight="1" x14ac:dyDescent="0.25">
      <c r="A1470">
        <v>1297055854</v>
      </c>
      <c r="B1470" t="s">
        <v>636</v>
      </c>
      <c r="C1470" t="s">
        <v>637</v>
      </c>
      <c r="D1470" t="s">
        <v>37</v>
      </c>
      <c r="E1470" t="s">
        <v>31</v>
      </c>
      <c r="F1470" s="2">
        <v>46065.796503460653</v>
      </c>
      <c r="AC1470" s="24">
        <f t="shared" ca="1" si="45"/>
        <v>68.203496539346816</v>
      </c>
      <c r="AD1470" s="25" t="str">
        <f t="shared" ca="1" si="46"/>
        <v>&gt;60 dias</v>
      </c>
      <c r="AE1470" s="25">
        <f>MONTH(Tabela1[[#This Row],[Criado em]])</f>
        <v>2</v>
      </c>
      <c r="AF1470" s="25">
        <f>YEAR(Tabela1[[#This Row],[Criado em]])</f>
        <v>2026</v>
      </c>
      <c r="AG1470" s="25">
        <f>COUNTIFS(Tabela1[Mês],Tabela1[[#This Row],[Mês]])</f>
        <v>197</v>
      </c>
      <c r="AH1470" s="25">
        <f>COUNTIFS(Tabela1[Mês],Tabela1[[#This Row],[Mês]],Tabela1[Fase atual],"Recebido")</f>
        <v>124</v>
      </c>
      <c r="AI1470" s="26">
        <f>Tabela1[[#This Row],[Recebido_ Mes]]/Tabela1[[#This Row],[Total_Mes]]</f>
        <v>0.62944162436548223</v>
      </c>
      <c r="AJ1470" s="19">
        <f>COUNTIFS(Tabela1[Fase atual],"Recebido",Tabela1[Mês],Tabela1[[#This Row],[Mês]],Tabela1[Ano],Tabela1[[#This Row],[Ano]])/COUNTIF(Tabela1[Mês],Tabela1[[#This Row],[Mês]])</f>
        <v>0.62944162436548223</v>
      </c>
      <c r="AK1470" s="20">
        <f>100%</f>
        <v>1</v>
      </c>
    </row>
    <row r="1471" spans="1:37" ht="18" customHeight="1" x14ac:dyDescent="0.25">
      <c r="A1471">
        <v>1258798097</v>
      </c>
      <c r="B1471" t="s">
        <v>1298</v>
      </c>
      <c r="C1471" t="s">
        <v>2109</v>
      </c>
      <c r="D1471" t="s">
        <v>37</v>
      </c>
      <c r="E1471" t="s">
        <v>31</v>
      </c>
      <c r="F1471" s="2">
        <v>45985.734685266201</v>
      </c>
      <c r="AC1471" s="24">
        <f t="shared" ca="1" si="45"/>
        <v>148.26531473379873</v>
      </c>
      <c r="AD1471" s="25" t="str">
        <f t="shared" ca="1" si="46"/>
        <v>&gt;60 dias</v>
      </c>
      <c r="AE1471" s="25">
        <f>MONTH(Tabela1[[#This Row],[Criado em]])</f>
        <v>11</v>
      </c>
      <c r="AF1471" s="25">
        <f>YEAR(Tabela1[[#This Row],[Criado em]])</f>
        <v>2025</v>
      </c>
      <c r="AG1471" s="25">
        <f>COUNTIFS(Tabela1[Mês],Tabela1[[#This Row],[Mês]])</f>
        <v>130</v>
      </c>
      <c r="AH1471" s="25">
        <f>COUNTIFS(Tabela1[Mês],Tabela1[[#This Row],[Mês]],Tabela1[Fase atual],"Recebido")</f>
        <v>100</v>
      </c>
      <c r="AI1471" s="26">
        <f>Tabela1[[#This Row],[Recebido_ Mes]]/Tabela1[[#This Row],[Total_Mes]]</f>
        <v>0.76923076923076927</v>
      </c>
      <c r="AJ1471" s="19">
        <f>COUNTIFS(Tabela1[Fase atual],"Recebido",Tabela1[Mês],Tabela1[[#This Row],[Mês]],Tabela1[Ano],Tabela1[[#This Row],[Ano]])/COUNTIF(Tabela1[Mês],Tabela1[[#This Row],[Mês]])</f>
        <v>0.76923076923076927</v>
      </c>
      <c r="AK1471" s="20">
        <f>100%</f>
        <v>1</v>
      </c>
    </row>
    <row r="1472" spans="1:37" ht="18" customHeight="1" x14ac:dyDescent="0.25">
      <c r="A1472">
        <v>1286847312</v>
      </c>
      <c r="B1472" t="s">
        <v>638</v>
      </c>
      <c r="C1472" t="s">
        <v>639</v>
      </c>
      <c r="D1472" t="s">
        <v>40</v>
      </c>
      <c r="E1472" t="s">
        <v>31</v>
      </c>
      <c r="F1472" s="2">
        <v>46045.919781805547</v>
      </c>
      <c r="AC1472" s="24">
        <f t="shared" ca="1" si="45"/>
        <v>88.080218194452755</v>
      </c>
      <c r="AD1472" s="25" t="str">
        <f t="shared" ca="1" si="46"/>
        <v>&gt;60 dias</v>
      </c>
      <c r="AE1472" s="25">
        <f>MONTH(Tabela1[[#This Row],[Criado em]])</f>
        <v>1</v>
      </c>
      <c r="AF1472" s="25">
        <f>YEAR(Tabela1[[#This Row],[Criado em]])</f>
        <v>2026</v>
      </c>
      <c r="AG1472" s="25">
        <f>COUNTIFS(Tabela1[Mês],Tabela1[[#This Row],[Mês]])</f>
        <v>222</v>
      </c>
      <c r="AH1472" s="25">
        <f>COUNTIFS(Tabela1[Mês],Tabela1[[#This Row],[Mês]],Tabela1[Fase atual],"Recebido")</f>
        <v>174</v>
      </c>
      <c r="AI1472" s="26">
        <f>Tabela1[[#This Row],[Recebido_ Mes]]/Tabela1[[#This Row],[Total_Mes]]</f>
        <v>0.78378378378378377</v>
      </c>
      <c r="AJ1472" s="19">
        <f>COUNTIFS(Tabela1[Fase atual],"Recebido",Tabela1[Mês],Tabela1[[#This Row],[Mês]],Tabela1[Ano],Tabela1[[#This Row],[Ano]])/COUNTIF(Tabela1[Mês],Tabela1[[#This Row],[Mês]])</f>
        <v>0.78378378378378377</v>
      </c>
      <c r="AK1472" s="20">
        <f>100%</f>
        <v>1</v>
      </c>
    </row>
    <row r="1473" spans="1:37" ht="18" customHeight="1" x14ac:dyDescent="0.25">
      <c r="A1473">
        <v>1213464959</v>
      </c>
      <c r="B1473" t="s">
        <v>638</v>
      </c>
      <c r="C1473" t="s">
        <v>639</v>
      </c>
      <c r="D1473" t="s">
        <v>37</v>
      </c>
      <c r="E1473" t="s">
        <v>31</v>
      </c>
      <c r="F1473" s="2">
        <v>45912.850195474537</v>
      </c>
      <c r="AC1473" s="24">
        <f t="shared" ca="1" si="45"/>
        <v>221.14980452546297</v>
      </c>
      <c r="AD1473" s="25" t="str">
        <f t="shared" ca="1" si="46"/>
        <v>&gt;60 dias</v>
      </c>
      <c r="AE1473" s="25">
        <f>MONTH(Tabela1[[#This Row],[Criado em]])</f>
        <v>9</v>
      </c>
      <c r="AF1473" s="25">
        <f>YEAR(Tabela1[[#This Row],[Criado em]])</f>
        <v>2025</v>
      </c>
      <c r="AG1473" s="25">
        <f>COUNTIFS(Tabela1[Mês],Tabela1[[#This Row],[Mês]])</f>
        <v>197</v>
      </c>
      <c r="AH1473" s="25">
        <f>COUNTIFS(Tabela1[Mês],Tabela1[[#This Row],[Mês]],Tabela1[Fase atual],"Recebido")</f>
        <v>152</v>
      </c>
      <c r="AI1473" s="26">
        <f>Tabela1[[#This Row],[Recebido_ Mes]]/Tabela1[[#This Row],[Total_Mes]]</f>
        <v>0.77157360406091369</v>
      </c>
      <c r="AJ1473" s="19">
        <f>COUNTIFS(Tabela1[Fase atual],"Recebido",Tabela1[Mês],Tabela1[[#This Row],[Mês]],Tabela1[Ano],Tabela1[[#This Row],[Ano]])/COUNTIF(Tabela1[Mês],Tabela1[[#This Row],[Mês]])</f>
        <v>0.77157360406091369</v>
      </c>
      <c r="AK1473" s="20">
        <f>100%</f>
        <v>1</v>
      </c>
    </row>
    <row r="1474" spans="1:37" ht="18" customHeight="1" x14ac:dyDescent="0.25">
      <c r="A1474">
        <v>1193959535</v>
      </c>
      <c r="B1474" t="s">
        <v>2110</v>
      </c>
      <c r="C1474" t="s">
        <v>2111</v>
      </c>
      <c r="D1474" t="s">
        <v>37</v>
      </c>
      <c r="E1474" t="s">
        <v>31</v>
      </c>
      <c r="F1474" s="2">
        <v>45881.850321874997</v>
      </c>
      <c r="AC1474" s="24">
        <f t="shared" ca="1" si="45"/>
        <v>252.14967812500254</v>
      </c>
      <c r="AD1474" s="25" t="str">
        <f t="shared" ca="1" si="46"/>
        <v>&gt;60 dias</v>
      </c>
      <c r="AE1474" s="25">
        <f>MONTH(Tabela1[[#This Row],[Criado em]])</f>
        <v>8</v>
      </c>
      <c r="AF1474" s="25">
        <f>YEAR(Tabela1[[#This Row],[Criado em]])</f>
        <v>2025</v>
      </c>
      <c r="AG1474" s="25">
        <f>COUNTIFS(Tabela1[Mês],Tabela1[[#This Row],[Mês]])</f>
        <v>146</v>
      </c>
      <c r="AH1474" s="25">
        <f>COUNTIFS(Tabela1[Mês],Tabela1[[#This Row],[Mês]],Tabela1[Fase atual],"Recebido")</f>
        <v>115</v>
      </c>
      <c r="AI1474" s="26">
        <f>Tabela1[[#This Row],[Recebido_ Mes]]/Tabela1[[#This Row],[Total_Mes]]</f>
        <v>0.78767123287671237</v>
      </c>
      <c r="AJ1474" s="19">
        <f>COUNTIFS(Tabela1[Fase atual],"Recebido",Tabela1[Mês],Tabela1[[#This Row],[Mês]],Tabela1[Ano],Tabela1[[#This Row],[Ano]])/COUNTIF(Tabela1[Mês],Tabela1[[#This Row],[Mês]])</f>
        <v>0.78767123287671237</v>
      </c>
      <c r="AK1474" s="20">
        <f>100%</f>
        <v>1</v>
      </c>
    </row>
    <row r="1475" spans="1:37" ht="18" customHeight="1" x14ac:dyDescent="0.25">
      <c r="A1475">
        <v>1226266140</v>
      </c>
      <c r="B1475" t="s">
        <v>2112</v>
      </c>
      <c r="C1475" t="s">
        <v>2113</v>
      </c>
      <c r="D1475" t="s">
        <v>37</v>
      </c>
      <c r="E1475" t="s">
        <v>31</v>
      </c>
      <c r="F1475" s="2">
        <v>45932.851481435187</v>
      </c>
      <c r="AC1475" s="24">
        <f t="shared" ref="AC1475:AC1535" ca="1" si="47">TODAY() - F1475</f>
        <v>201.14851856481255</v>
      </c>
      <c r="AD1475" s="25" t="str">
        <f t="shared" ref="AD1475:AD1538" ca="1" si="48">IF(AC1475&lt;=14,"0-14 dias",
IF(AC1475&lt;=19,"15-19 dias",
IF(AC1475&lt;=24,"20-24 dias",
IF(AC1475&lt;=30,"25-30 dias",
IF(AC1475&lt;=60,"31-60 dias",
"&gt;60 dias")))))</f>
        <v>&gt;60 dias</v>
      </c>
      <c r="AE1475" s="25">
        <f>MONTH(Tabela1[[#This Row],[Criado em]])</f>
        <v>10</v>
      </c>
      <c r="AF1475" s="25">
        <f>YEAR(Tabela1[[#This Row],[Criado em]])</f>
        <v>2025</v>
      </c>
      <c r="AG1475" s="25">
        <f>COUNTIFS(Tabela1[Mês],Tabela1[[#This Row],[Mês]])</f>
        <v>196</v>
      </c>
      <c r="AH1475" s="25">
        <f>COUNTIFS(Tabela1[Mês],Tabela1[[#This Row],[Mês]],Tabela1[Fase atual],"Recebido")</f>
        <v>138</v>
      </c>
      <c r="AI1475" s="26">
        <f>Tabela1[[#This Row],[Recebido_ Mes]]/Tabela1[[#This Row],[Total_Mes]]</f>
        <v>0.70408163265306123</v>
      </c>
      <c r="AJ1475" s="19">
        <f>COUNTIFS(Tabela1[Fase atual],"Recebido",Tabela1[Mês],Tabela1[[#This Row],[Mês]],Tabela1[Ano],Tabela1[[#This Row],[Ano]])/COUNTIF(Tabela1[Mês],Tabela1[[#This Row],[Mês]])</f>
        <v>0.70408163265306123</v>
      </c>
      <c r="AK1475" s="20">
        <f>100%</f>
        <v>1</v>
      </c>
    </row>
    <row r="1476" spans="1:37" ht="18" customHeight="1" x14ac:dyDescent="0.25">
      <c r="A1476">
        <v>1261738042</v>
      </c>
      <c r="B1476" t="s">
        <v>2114</v>
      </c>
      <c r="C1476" t="s">
        <v>2115</v>
      </c>
      <c r="D1476" t="s">
        <v>37</v>
      </c>
      <c r="E1476" t="s">
        <v>31</v>
      </c>
      <c r="F1476" s="2">
        <v>45992.541761597233</v>
      </c>
      <c r="AC1476" s="24">
        <f t="shared" ca="1" si="47"/>
        <v>141.45823840276717</v>
      </c>
      <c r="AD1476" s="25" t="str">
        <f t="shared" ca="1" si="48"/>
        <v>&gt;60 dias</v>
      </c>
      <c r="AE1476" s="25">
        <f>MONTH(Tabela1[[#This Row],[Criado em]])</f>
        <v>12</v>
      </c>
      <c r="AF1476" s="25">
        <f>YEAR(Tabela1[[#This Row],[Criado em]])</f>
        <v>2025</v>
      </c>
      <c r="AG1476" s="25">
        <f>COUNTIFS(Tabela1[Mês],Tabela1[[#This Row],[Mês]])</f>
        <v>207</v>
      </c>
      <c r="AH1476" s="25">
        <f>COUNTIFS(Tabela1[Mês],Tabela1[[#This Row],[Mês]],Tabela1[Fase atual],"Recebido")</f>
        <v>155</v>
      </c>
      <c r="AI1476" s="26">
        <f>Tabela1[[#This Row],[Recebido_ Mes]]/Tabela1[[#This Row],[Total_Mes]]</f>
        <v>0.74879227053140096</v>
      </c>
      <c r="AJ1476" s="19">
        <f>COUNTIFS(Tabela1[Fase atual],"Recebido",Tabela1[Mês],Tabela1[[#This Row],[Mês]],Tabela1[Ano],Tabela1[[#This Row],[Ano]])/COUNTIF(Tabela1[Mês],Tabela1[[#This Row],[Mês]])</f>
        <v>0.74879227053140096</v>
      </c>
      <c r="AK1476" s="20">
        <f>100%</f>
        <v>1</v>
      </c>
    </row>
    <row r="1477" spans="1:37" ht="18" customHeight="1" x14ac:dyDescent="0.25">
      <c r="A1477">
        <v>1268158280</v>
      </c>
      <c r="C1477" t="s">
        <v>2116</v>
      </c>
      <c r="D1477" t="s">
        <v>37</v>
      </c>
      <c r="E1477" t="s">
        <v>31</v>
      </c>
      <c r="F1477" s="2">
        <v>46005.753109305559</v>
      </c>
      <c r="AC1477" s="24">
        <f t="shared" ca="1" si="47"/>
        <v>128.24689069444139</v>
      </c>
      <c r="AD1477" s="25" t="str">
        <f t="shared" ca="1" si="48"/>
        <v>&gt;60 dias</v>
      </c>
      <c r="AE1477" s="25">
        <f>MONTH(Tabela1[[#This Row],[Criado em]])</f>
        <v>12</v>
      </c>
      <c r="AF1477" s="25">
        <f>YEAR(Tabela1[[#This Row],[Criado em]])</f>
        <v>2025</v>
      </c>
      <c r="AG1477" s="25">
        <f>COUNTIFS(Tabela1[Mês],Tabela1[[#This Row],[Mês]])</f>
        <v>207</v>
      </c>
      <c r="AH1477" s="25">
        <f>COUNTIFS(Tabela1[Mês],Tabela1[[#This Row],[Mês]],Tabela1[Fase atual],"Recebido")</f>
        <v>155</v>
      </c>
      <c r="AI1477" s="26">
        <f>Tabela1[[#This Row],[Recebido_ Mes]]/Tabela1[[#This Row],[Total_Mes]]</f>
        <v>0.74879227053140096</v>
      </c>
      <c r="AJ1477" s="19">
        <f>COUNTIFS(Tabela1[Fase atual],"Recebido",Tabela1[Mês],Tabela1[[#This Row],[Mês]],Tabela1[Ano],Tabela1[[#This Row],[Ano]])/COUNTIF(Tabela1[Mês],Tabela1[[#This Row],[Mês]])</f>
        <v>0.74879227053140096</v>
      </c>
      <c r="AK1477" s="20">
        <f>100%</f>
        <v>1</v>
      </c>
    </row>
    <row r="1478" spans="1:37" ht="18" customHeight="1" x14ac:dyDescent="0.25">
      <c r="A1478">
        <v>1220172572</v>
      </c>
      <c r="B1478" t="s">
        <v>2117</v>
      </c>
      <c r="C1478" t="s">
        <v>2118</v>
      </c>
      <c r="D1478" t="s">
        <v>37</v>
      </c>
      <c r="E1478" t="s">
        <v>31</v>
      </c>
      <c r="F1478" s="2">
        <v>45923.82198335648</v>
      </c>
      <c r="AC1478" s="24">
        <f t="shared" ca="1" si="47"/>
        <v>210.1780166435201</v>
      </c>
      <c r="AD1478" s="25" t="str">
        <f t="shared" ca="1" si="48"/>
        <v>&gt;60 dias</v>
      </c>
      <c r="AE1478" s="25">
        <f>MONTH(Tabela1[[#This Row],[Criado em]])</f>
        <v>9</v>
      </c>
      <c r="AF1478" s="25">
        <f>YEAR(Tabela1[[#This Row],[Criado em]])</f>
        <v>2025</v>
      </c>
      <c r="AG1478" s="25">
        <f>COUNTIFS(Tabela1[Mês],Tabela1[[#This Row],[Mês]])</f>
        <v>197</v>
      </c>
      <c r="AH1478" s="25">
        <f>COUNTIFS(Tabela1[Mês],Tabela1[[#This Row],[Mês]],Tabela1[Fase atual],"Recebido")</f>
        <v>152</v>
      </c>
      <c r="AI1478" s="26">
        <f>Tabela1[[#This Row],[Recebido_ Mes]]/Tabela1[[#This Row],[Total_Mes]]</f>
        <v>0.77157360406091369</v>
      </c>
      <c r="AJ1478" s="19">
        <f>COUNTIFS(Tabela1[Fase atual],"Recebido",Tabela1[Mês],Tabela1[[#This Row],[Mês]],Tabela1[Ano],Tabela1[[#This Row],[Ano]])/COUNTIF(Tabela1[Mês],Tabela1[[#This Row],[Mês]])</f>
        <v>0.77157360406091369</v>
      </c>
      <c r="AK1478" s="20">
        <f>100%</f>
        <v>1</v>
      </c>
    </row>
    <row r="1479" spans="1:37" ht="18" customHeight="1" x14ac:dyDescent="0.25">
      <c r="A1479">
        <v>1308286314</v>
      </c>
      <c r="B1479" t="s">
        <v>2117</v>
      </c>
      <c r="C1479" t="s">
        <v>2118</v>
      </c>
      <c r="D1479" t="s">
        <v>37</v>
      </c>
      <c r="E1479" t="s">
        <v>31</v>
      </c>
      <c r="F1479" s="2">
        <v>46084.721080150463</v>
      </c>
      <c r="AC1479" s="24">
        <f t="shared" ca="1" si="47"/>
        <v>49.278919849537488</v>
      </c>
      <c r="AD1479" s="25" t="str">
        <f t="shared" ca="1" si="48"/>
        <v>31-60 dias</v>
      </c>
      <c r="AE1479" s="25">
        <f>MONTH(Tabela1[[#This Row],[Criado em]])</f>
        <v>3</v>
      </c>
      <c r="AF1479" s="25">
        <f>YEAR(Tabela1[[#This Row],[Criado em]])</f>
        <v>2026</v>
      </c>
      <c r="AG1479" s="25">
        <f>COUNTIFS(Tabela1[Mês],Tabela1[[#This Row],[Mês]])</f>
        <v>62</v>
      </c>
      <c r="AH1479" s="25">
        <f>COUNTIFS(Tabela1[Mês],Tabela1[[#This Row],[Mês]],Tabela1[Fase atual],"Recebido")</f>
        <v>13</v>
      </c>
      <c r="AI1479" s="26">
        <f>Tabela1[[#This Row],[Recebido_ Mes]]/Tabela1[[#This Row],[Total_Mes]]</f>
        <v>0.20967741935483872</v>
      </c>
      <c r="AJ1479" s="19">
        <f>COUNTIFS(Tabela1[Fase atual],"Recebido",Tabela1[Mês],Tabela1[[#This Row],[Mês]],Tabela1[Ano],Tabela1[[#This Row],[Ano]])/COUNTIF(Tabela1[Mês],Tabela1[[#This Row],[Mês]])</f>
        <v>0.20967741935483872</v>
      </c>
      <c r="AK1479" s="20">
        <f>100%</f>
        <v>1</v>
      </c>
    </row>
    <row r="1480" spans="1:37" ht="18" customHeight="1" x14ac:dyDescent="0.25">
      <c r="A1480">
        <v>1171784272</v>
      </c>
      <c r="B1480" t="s">
        <v>2119</v>
      </c>
      <c r="C1480" t="s">
        <v>2120</v>
      </c>
      <c r="D1480" t="s">
        <v>37</v>
      </c>
      <c r="E1480" t="s">
        <v>31</v>
      </c>
      <c r="F1480" s="2">
        <v>45842.64335766204</v>
      </c>
      <c r="AC1480" s="24">
        <f t="shared" ca="1" si="47"/>
        <v>291.35664233795978</v>
      </c>
      <c r="AD1480" s="25" t="str">
        <f t="shared" ca="1" si="48"/>
        <v>&gt;60 dias</v>
      </c>
      <c r="AE1480" s="25">
        <f>MONTH(Tabela1[[#This Row],[Criado em]])</f>
        <v>7</v>
      </c>
      <c r="AF1480" s="25">
        <f>YEAR(Tabela1[[#This Row],[Criado em]])</f>
        <v>2025</v>
      </c>
      <c r="AG1480" s="25">
        <f>COUNTIFS(Tabela1[Mês],Tabela1[[#This Row],[Mês]])</f>
        <v>177</v>
      </c>
      <c r="AH1480" s="25">
        <f>COUNTIFS(Tabela1[Mês],Tabela1[[#This Row],[Mês]],Tabela1[Fase atual],"Recebido")</f>
        <v>130</v>
      </c>
      <c r="AI1480" s="26">
        <f>Tabela1[[#This Row],[Recebido_ Mes]]/Tabela1[[#This Row],[Total_Mes]]</f>
        <v>0.7344632768361582</v>
      </c>
      <c r="AJ1480" s="19">
        <f>COUNTIFS(Tabela1[Fase atual],"Recebido",Tabela1[Mês],Tabela1[[#This Row],[Mês]],Tabela1[Ano],Tabela1[[#This Row],[Ano]])/COUNTIF(Tabela1[Mês],Tabela1[[#This Row],[Mês]])</f>
        <v>0.7344632768361582</v>
      </c>
      <c r="AK1480" s="20">
        <f>100%</f>
        <v>1</v>
      </c>
    </row>
    <row r="1481" spans="1:37" ht="18" customHeight="1" x14ac:dyDescent="0.25">
      <c r="A1481">
        <v>1264272328</v>
      </c>
      <c r="B1481" t="s">
        <v>640</v>
      </c>
      <c r="C1481" t="s">
        <v>641</v>
      </c>
      <c r="D1481" t="s">
        <v>37</v>
      </c>
      <c r="E1481" t="s">
        <v>31</v>
      </c>
      <c r="F1481" s="2">
        <v>45995.797668460647</v>
      </c>
      <c r="AC1481" s="24">
        <f t="shared" ca="1" si="47"/>
        <v>138.2023315393526</v>
      </c>
      <c r="AD1481" s="25" t="str">
        <f t="shared" ca="1" si="48"/>
        <v>&gt;60 dias</v>
      </c>
      <c r="AE1481" s="25">
        <f>MONTH(Tabela1[[#This Row],[Criado em]])</f>
        <v>12</v>
      </c>
      <c r="AF1481" s="25">
        <f>YEAR(Tabela1[[#This Row],[Criado em]])</f>
        <v>2025</v>
      </c>
      <c r="AG1481" s="25">
        <f>COUNTIFS(Tabela1[Mês],Tabela1[[#This Row],[Mês]])</f>
        <v>207</v>
      </c>
      <c r="AH1481" s="25">
        <f>COUNTIFS(Tabela1[Mês],Tabela1[[#This Row],[Mês]],Tabela1[Fase atual],"Recebido")</f>
        <v>155</v>
      </c>
      <c r="AI1481" s="26">
        <f>Tabela1[[#This Row],[Recebido_ Mes]]/Tabela1[[#This Row],[Total_Mes]]</f>
        <v>0.74879227053140096</v>
      </c>
      <c r="AJ1481" s="19">
        <f>COUNTIFS(Tabela1[Fase atual],"Recebido",Tabela1[Mês],Tabela1[[#This Row],[Mês]],Tabela1[Ano],Tabela1[[#This Row],[Ano]])/COUNTIF(Tabela1[Mês],Tabela1[[#This Row],[Mês]])</f>
        <v>0.74879227053140096</v>
      </c>
      <c r="AK1481" s="20">
        <f>100%</f>
        <v>1</v>
      </c>
    </row>
    <row r="1482" spans="1:37" ht="18" customHeight="1" x14ac:dyDescent="0.25">
      <c r="A1482">
        <v>1278697858</v>
      </c>
      <c r="B1482" t="s">
        <v>640</v>
      </c>
      <c r="C1482" t="s">
        <v>641</v>
      </c>
      <c r="D1482" t="s">
        <v>37</v>
      </c>
      <c r="E1482" t="s">
        <v>31</v>
      </c>
      <c r="F1482" s="2">
        <v>46030.554385127311</v>
      </c>
      <c r="AC1482" s="24">
        <f t="shared" ca="1" si="47"/>
        <v>103.44561487268948</v>
      </c>
      <c r="AD1482" s="25" t="str">
        <f t="shared" ca="1" si="48"/>
        <v>&gt;60 dias</v>
      </c>
      <c r="AE1482" s="25">
        <f>MONTH(Tabela1[[#This Row],[Criado em]])</f>
        <v>1</v>
      </c>
      <c r="AF1482" s="25">
        <f>YEAR(Tabela1[[#This Row],[Criado em]])</f>
        <v>2026</v>
      </c>
      <c r="AG1482" s="25">
        <f>COUNTIFS(Tabela1[Mês],Tabela1[[#This Row],[Mês]])</f>
        <v>222</v>
      </c>
      <c r="AH1482" s="25">
        <f>COUNTIFS(Tabela1[Mês],Tabela1[[#This Row],[Mês]],Tabela1[Fase atual],"Recebido")</f>
        <v>174</v>
      </c>
      <c r="AI1482" s="26">
        <f>Tabela1[[#This Row],[Recebido_ Mes]]/Tabela1[[#This Row],[Total_Mes]]</f>
        <v>0.78378378378378377</v>
      </c>
      <c r="AJ1482" s="19">
        <f>COUNTIFS(Tabela1[Fase atual],"Recebido",Tabela1[Mês],Tabela1[[#This Row],[Mês]],Tabela1[Ano],Tabela1[[#This Row],[Ano]])/COUNTIF(Tabela1[Mês],Tabela1[[#This Row],[Mês]])</f>
        <v>0.78378378378378377</v>
      </c>
      <c r="AK1482" s="20">
        <f>100%</f>
        <v>1</v>
      </c>
    </row>
    <row r="1483" spans="1:37" ht="18" customHeight="1" x14ac:dyDescent="0.25">
      <c r="A1483">
        <v>1198885916</v>
      </c>
      <c r="B1483" t="s">
        <v>2121</v>
      </c>
      <c r="C1483" t="s">
        <v>2122</v>
      </c>
      <c r="D1483" t="s">
        <v>37</v>
      </c>
      <c r="E1483" t="s">
        <v>31</v>
      </c>
      <c r="F1483" s="2">
        <v>45889.850615289353</v>
      </c>
      <c r="AC1483" s="24">
        <f t="shared" ca="1" si="47"/>
        <v>244.1493847106467</v>
      </c>
      <c r="AD1483" s="25" t="str">
        <f t="shared" ca="1" si="48"/>
        <v>&gt;60 dias</v>
      </c>
      <c r="AE1483" s="25">
        <f>MONTH(Tabela1[[#This Row],[Criado em]])</f>
        <v>8</v>
      </c>
      <c r="AF1483" s="25">
        <f>YEAR(Tabela1[[#This Row],[Criado em]])</f>
        <v>2025</v>
      </c>
      <c r="AG1483" s="25">
        <f>COUNTIFS(Tabela1[Mês],Tabela1[[#This Row],[Mês]])</f>
        <v>146</v>
      </c>
      <c r="AH1483" s="25">
        <f>COUNTIFS(Tabela1[Mês],Tabela1[[#This Row],[Mês]],Tabela1[Fase atual],"Recebido")</f>
        <v>115</v>
      </c>
      <c r="AI1483" s="26">
        <f>Tabela1[[#This Row],[Recebido_ Mes]]/Tabela1[[#This Row],[Total_Mes]]</f>
        <v>0.78767123287671237</v>
      </c>
      <c r="AJ1483" s="19">
        <f>COUNTIFS(Tabela1[Fase atual],"Recebido",Tabela1[Mês],Tabela1[[#This Row],[Mês]],Tabela1[Ano],Tabela1[[#This Row],[Ano]])/COUNTIF(Tabela1[Mês],Tabela1[[#This Row],[Mês]])</f>
        <v>0.78767123287671237</v>
      </c>
      <c r="AK1483" s="20">
        <f>100%</f>
        <v>1</v>
      </c>
    </row>
    <row r="1484" spans="1:37" ht="18" customHeight="1" x14ac:dyDescent="0.25">
      <c r="A1484">
        <v>1284450173</v>
      </c>
      <c r="B1484" t="s">
        <v>642</v>
      </c>
      <c r="C1484" t="s">
        <v>643</v>
      </c>
      <c r="D1484" t="s">
        <v>37</v>
      </c>
      <c r="E1484" t="s">
        <v>31</v>
      </c>
      <c r="F1484" s="2">
        <v>46042.629278946762</v>
      </c>
      <c r="AC1484" s="24">
        <f t="shared" ca="1" si="47"/>
        <v>91.370721053237503</v>
      </c>
      <c r="AD1484" s="25" t="str">
        <f t="shared" ca="1" si="48"/>
        <v>&gt;60 dias</v>
      </c>
      <c r="AE1484" s="25">
        <f>MONTH(Tabela1[[#This Row],[Criado em]])</f>
        <v>1</v>
      </c>
      <c r="AF1484" s="25">
        <f>YEAR(Tabela1[[#This Row],[Criado em]])</f>
        <v>2026</v>
      </c>
      <c r="AG1484" s="25">
        <f>COUNTIFS(Tabela1[Mês],Tabela1[[#This Row],[Mês]])</f>
        <v>222</v>
      </c>
      <c r="AH1484" s="25">
        <f>COUNTIFS(Tabela1[Mês],Tabela1[[#This Row],[Mês]],Tabela1[Fase atual],"Recebido")</f>
        <v>174</v>
      </c>
      <c r="AI1484" s="26">
        <f>Tabela1[[#This Row],[Recebido_ Mes]]/Tabela1[[#This Row],[Total_Mes]]</f>
        <v>0.78378378378378377</v>
      </c>
      <c r="AJ1484" s="19">
        <f>COUNTIFS(Tabela1[Fase atual],"Recebido",Tabela1[Mês],Tabela1[[#This Row],[Mês]],Tabela1[Ano],Tabela1[[#This Row],[Ano]])/COUNTIF(Tabela1[Mês],Tabela1[[#This Row],[Mês]])</f>
        <v>0.78378378378378377</v>
      </c>
      <c r="AK1484" s="20">
        <f>100%</f>
        <v>1</v>
      </c>
    </row>
    <row r="1485" spans="1:37" ht="18" customHeight="1" x14ac:dyDescent="0.25">
      <c r="A1485">
        <v>1281729174</v>
      </c>
      <c r="B1485" t="s">
        <v>642</v>
      </c>
      <c r="C1485" t="s">
        <v>643</v>
      </c>
      <c r="D1485" t="s">
        <v>37</v>
      </c>
      <c r="E1485" t="s">
        <v>31</v>
      </c>
      <c r="F1485" s="2">
        <v>46036.627383125</v>
      </c>
      <c r="AC1485" s="24">
        <f t="shared" ca="1" si="47"/>
        <v>97.372616874999949</v>
      </c>
      <c r="AD1485" s="25" t="str">
        <f t="shared" ca="1" si="48"/>
        <v>&gt;60 dias</v>
      </c>
      <c r="AE1485" s="25">
        <f>MONTH(Tabela1[[#This Row],[Criado em]])</f>
        <v>1</v>
      </c>
      <c r="AF1485" s="25">
        <f>YEAR(Tabela1[[#This Row],[Criado em]])</f>
        <v>2026</v>
      </c>
      <c r="AG1485" s="25">
        <f>COUNTIFS(Tabela1[Mês],Tabela1[[#This Row],[Mês]])</f>
        <v>222</v>
      </c>
      <c r="AH1485" s="25">
        <f>COUNTIFS(Tabela1[Mês],Tabela1[[#This Row],[Mês]],Tabela1[Fase atual],"Recebido")</f>
        <v>174</v>
      </c>
      <c r="AI1485" s="26">
        <f>Tabela1[[#This Row],[Recebido_ Mes]]/Tabela1[[#This Row],[Total_Mes]]</f>
        <v>0.78378378378378377</v>
      </c>
      <c r="AJ1485" s="19">
        <f>COUNTIFS(Tabela1[Fase atual],"Recebido",Tabela1[Mês],Tabela1[[#This Row],[Mês]],Tabela1[Ano],Tabela1[[#This Row],[Ano]])/COUNTIF(Tabela1[Mês],Tabela1[[#This Row],[Mês]])</f>
        <v>0.78378378378378377</v>
      </c>
      <c r="AK1485" s="20">
        <f>100%</f>
        <v>1</v>
      </c>
    </row>
    <row r="1486" spans="1:37" ht="18" customHeight="1" x14ac:dyDescent="0.25">
      <c r="A1486">
        <v>1294033226</v>
      </c>
      <c r="B1486" t="s">
        <v>644</v>
      </c>
      <c r="C1486" t="s">
        <v>645</v>
      </c>
      <c r="D1486" t="s">
        <v>37</v>
      </c>
      <c r="E1486" t="s">
        <v>31</v>
      </c>
      <c r="F1486" s="2">
        <v>46058.920414664353</v>
      </c>
      <c r="AC1486" s="24">
        <f t="shared" ca="1" si="47"/>
        <v>75.079585335646698</v>
      </c>
      <c r="AD1486" s="25" t="str">
        <f t="shared" ca="1" si="48"/>
        <v>&gt;60 dias</v>
      </c>
      <c r="AE1486" s="25">
        <f>MONTH(Tabela1[[#This Row],[Criado em]])</f>
        <v>2</v>
      </c>
      <c r="AF1486" s="25">
        <f>YEAR(Tabela1[[#This Row],[Criado em]])</f>
        <v>2026</v>
      </c>
      <c r="AG1486" s="25">
        <f>COUNTIFS(Tabela1[Mês],Tabela1[[#This Row],[Mês]])</f>
        <v>197</v>
      </c>
      <c r="AH1486" s="25">
        <f>COUNTIFS(Tabela1[Mês],Tabela1[[#This Row],[Mês]],Tabela1[Fase atual],"Recebido")</f>
        <v>124</v>
      </c>
      <c r="AI1486" s="26">
        <f>Tabela1[[#This Row],[Recebido_ Mes]]/Tabela1[[#This Row],[Total_Mes]]</f>
        <v>0.62944162436548223</v>
      </c>
      <c r="AJ1486" s="19">
        <f>COUNTIFS(Tabela1[Fase atual],"Recebido",Tabela1[Mês],Tabela1[[#This Row],[Mês]],Tabela1[Ano],Tabela1[[#This Row],[Ano]])/COUNTIF(Tabela1[Mês],Tabela1[[#This Row],[Mês]])</f>
        <v>0.62944162436548223</v>
      </c>
      <c r="AK1486" s="20">
        <f>100%</f>
        <v>1</v>
      </c>
    </row>
    <row r="1487" spans="1:37" ht="18" customHeight="1" x14ac:dyDescent="0.25">
      <c r="A1487">
        <v>1215275456</v>
      </c>
      <c r="B1487" t="s">
        <v>2123</v>
      </c>
      <c r="C1487" t="s">
        <v>2124</v>
      </c>
      <c r="D1487" t="s">
        <v>37</v>
      </c>
      <c r="E1487" t="s">
        <v>31</v>
      </c>
      <c r="F1487" s="2">
        <v>45916.64180805556</v>
      </c>
      <c r="AC1487" s="24">
        <f t="shared" ca="1" si="47"/>
        <v>217.35819194444048</v>
      </c>
      <c r="AD1487" s="25" t="str">
        <f t="shared" ca="1" si="48"/>
        <v>&gt;60 dias</v>
      </c>
      <c r="AE1487" s="25">
        <f>MONTH(Tabela1[[#This Row],[Criado em]])</f>
        <v>9</v>
      </c>
      <c r="AF1487" s="25">
        <f>YEAR(Tabela1[[#This Row],[Criado em]])</f>
        <v>2025</v>
      </c>
      <c r="AG1487" s="25">
        <f>COUNTIFS(Tabela1[Mês],Tabela1[[#This Row],[Mês]])</f>
        <v>197</v>
      </c>
      <c r="AH1487" s="25">
        <f>COUNTIFS(Tabela1[Mês],Tabela1[[#This Row],[Mês]],Tabela1[Fase atual],"Recebido")</f>
        <v>152</v>
      </c>
      <c r="AI1487" s="26">
        <f>Tabela1[[#This Row],[Recebido_ Mes]]/Tabela1[[#This Row],[Total_Mes]]</f>
        <v>0.77157360406091369</v>
      </c>
      <c r="AJ1487" s="19">
        <f>COUNTIFS(Tabela1[Fase atual],"Recebido",Tabela1[Mês],Tabela1[[#This Row],[Mês]],Tabela1[Ano],Tabela1[[#This Row],[Ano]])/COUNTIF(Tabela1[Mês],Tabela1[[#This Row],[Mês]])</f>
        <v>0.77157360406091369</v>
      </c>
      <c r="AK1487" s="20">
        <f>100%</f>
        <v>1</v>
      </c>
    </row>
    <row r="1488" spans="1:37" ht="18" customHeight="1" x14ac:dyDescent="0.25">
      <c r="A1488">
        <v>1219993713</v>
      </c>
      <c r="B1488" t="s">
        <v>2123</v>
      </c>
      <c r="C1488" t="s">
        <v>2125</v>
      </c>
      <c r="D1488" t="s">
        <v>37</v>
      </c>
      <c r="E1488" t="s">
        <v>31</v>
      </c>
      <c r="F1488" s="2">
        <v>45923.642474490742</v>
      </c>
      <c r="AC1488" s="24">
        <f t="shared" ca="1" si="47"/>
        <v>210.35752550925827</v>
      </c>
      <c r="AD1488" s="25" t="str">
        <f t="shared" ca="1" si="48"/>
        <v>&gt;60 dias</v>
      </c>
      <c r="AE1488" s="25">
        <f>MONTH(Tabela1[[#This Row],[Criado em]])</f>
        <v>9</v>
      </c>
      <c r="AF1488" s="25">
        <f>YEAR(Tabela1[[#This Row],[Criado em]])</f>
        <v>2025</v>
      </c>
      <c r="AG1488" s="25">
        <f>COUNTIFS(Tabela1[Mês],Tabela1[[#This Row],[Mês]])</f>
        <v>197</v>
      </c>
      <c r="AH1488" s="25">
        <f>COUNTIFS(Tabela1[Mês],Tabela1[[#This Row],[Mês]],Tabela1[Fase atual],"Recebido")</f>
        <v>152</v>
      </c>
      <c r="AI1488" s="26">
        <f>Tabela1[[#This Row],[Recebido_ Mes]]/Tabela1[[#This Row],[Total_Mes]]</f>
        <v>0.77157360406091369</v>
      </c>
      <c r="AJ1488" s="19">
        <f>COUNTIFS(Tabela1[Fase atual],"Recebido",Tabela1[Mês],Tabela1[[#This Row],[Mês]],Tabela1[Ano],Tabela1[[#This Row],[Ano]])/COUNTIF(Tabela1[Mês],Tabela1[[#This Row],[Mês]])</f>
        <v>0.77157360406091369</v>
      </c>
      <c r="AK1488" s="20">
        <f>100%</f>
        <v>1</v>
      </c>
    </row>
    <row r="1489" spans="1:37" ht="18" customHeight="1" x14ac:dyDescent="0.25">
      <c r="A1489">
        <v>1269142774</v>
      </c>
      <c r="B1489" t="s">
        <v>646</v>
      </c>
      <c r="C1489" t="s">
        <v>647</v>
      </c>
      <c r="D1489" t="s">
        <v>37</v>
      </c>
      <c r="E1489" t="s">
        <v>31</v>
      </c>
      <c r="F1489" s="2">
        <v>46007.796977638893</v>
      </c>
      <c r="AC1489" s="24">
        <f t="shared" ca="1" si="47"/>
        <v>126.20302236110729</v>
      </c>
      <c r="AD1489" s="25" t="str">
        <f t="shared" ca="1" si="48"/>
        <v>&gt;60 dias</v>
      </c>
      <c r="AE1489" s="25">
        <f>MONTH(Tabela1[[#This Row],[Criado em]])</f>
        <v>12</v>
      </c>
      <c r="AF1489" s="25">
        <f>YEAR(Tabela1[[#This Row],[Criado em]])</f>
        <v>2025</v>
      </c>
      <c r="AG1489" s="25">
        <f>COUNTIFS(Tabela1[Mês],Tabela1[[#This Row],[Mês]])</f>
        <v>207</v>
      </c>
      <c r="AH1489" s="25">
        <f>COUNTIFS(Tabela1[Mês],Tabela1[[#This Row],[Mês]],Tabela1[Fase atual],"Recebido")</f>
        <v>155</v>
      </c>
      <c r="AI1489" s="26">
        <f>Tabela1[[#This Row],[Recebido_ Mes]]/Tabela1[[#This Row],[Total_Mes]]</f>
        <v>0.74879227053140096</v>
      </c>
      <c r="AJ1489" s="19">
        <f>COUNTIFS(Tabela1[Fase atual],"Recebido",Tabela1[Mês],Tabela1[[#This Row],[Mês]],Tabela1[Ano],Tabela1[[#This Row],[Ano]])/COUNTIF(Tabela1[Mês],Tabela1[[#This Row],[Mês]])</f>
        <v>0.74879227053140096</v>
      </c>
      <c r="AK1489" s="20">
        <f>100%</f>
        <v>1</v>
      </c>
    </row>
    <row r="1490" spans="1:37" ht="18" customHeight="1" x14ac:dyDescent="0.25">
      <c r="A1490">
        <v>1288419788</v>
      </c>
      <c r="B1490" t="s">
        <v>646</v>
      </c>
      <c r="C1490" t="s">
        <v>647</v>
      </c>
      <c r="D1490" t="s">
        <v>37</v>
      </c>
      <c r="E1490" t="s">
        <v>31</v>
      </c>
      <c r="F1490" s="2">
        <v>46048.920427256948</v>
      </c>
      <c r="AC1490" s="24">
        <f t="shared" ca="1" si="47"/>
        <v>85.079572743052267</v>
      </c>
      <c r="AD1490" s="25" t="str">
        <f t="shared" ca="1" si="48"/>
        <v>&gt;60 dias</v>
      </c>
      <c r="AE1490" s="25">
        <f>MONTH(Tabela1[[#This Row],[Criado em]])</f>
        <v>1</v>
      </c>
      <c r="AF1490" s="25">
        <f>YEAR(Tabela1[[#This Row],[Criado em]])</f>
        <v>2026</v>
      </c>
      <c r="AG1490" s="25">
        <f>COUNTIFS(Tabela1[Mês],Tabela1[[#This Row],[Mês]])</f>
        <v>222</v>
      </c>
      <c r="AH1490" s="25">
        <f>COUNTIFS(Tabela1[Mês],Tabela1[[#This Row],[Mês]],Tabela1[Fase atual],"Recebido")</f>
        <v>174</v>
      </c>
      <c r="AI1490" s="26">
        <f>Tabela1[[#This Row],[Recebido_ Mes]]/Tabela1[[#This Row],[Total_Mes]]</f>
        <v>0.78378378378378377</v>
      </c>
      <c r="AJ1490" s="19">
        <f>COUNTIFS(Tabela1[Fase atual],"Recebido",Tabela1[Mês],Tabela1[[#This Row],[Mês]],Tabela1[Ano],Tabela1[[#This Row],[Ano]])/COUNTIF(Tabela1[Mês],Tabela1[[#This Row],[Mês]])</f>
        <v>0.78378378378378377</v>
      </c>
      <c r="AK1490" s="20">
        <f>100%</f>
        <v>1</v>
      </c>
    </row>
    <row r="1491" spans="1:37" ht="18" customHeight="1" x14ac:dyDescent="0.25">
      <c r="A1491">
        <v>1296887499</v>
      </c>
      <c r="B1491" t="s">
        <v>648</v>
      </c>
      <c r="C1491" t="s">
        <v>2281</v>
      </c>
      <c r="D1491" t="s">
        <v>37</v>
      </c>
      <c r="E1491" t="s">
        <v>31</v>
      </c>
      <c r="F1491" s="2">
        <v>46065.627783657401</v>
      </c>
      <c r="AC1491" s="24">
        <f t="shared" ca="1" si="47"/>
        <v>68.372216342599131</v>
      </c>
      <c r="AD1491" s="25" t="str">
        <f t="shared" ca="1" si="48"/>
        <v>&gt;60 dias</v>
      </c>
      <c r="AE1491" s="25">
        <f>MONTH(Tabela1[[#This Row],[Criado em]])</f>
        <v>2</v>
      </c>
      <c r="AF1491" s="25">
        <f>YEAR(Tabela1[[#This Row],[Criado em]])</f>
        <v>2026</v>
      </c>
      <c r="AG1491" s="25">
        <f>COUNTIFS(Tabela1[Mês],Tabela1[[#This Row],[Mês]])</f>
        <v>197</v>
      </c>
      <c r="AH1491" s="25">
        <f>COUNTIFS(Tabela1[Mês],Tabela1[[#This Row],[Mês]],Tabela1[Fase atual],"Recebido")</f>
        <v>124</v>
      </c>
      <c r="AI1491" s="26">
        <f>Tabela1[[#This Row],[Recebido_ Mes]]/Tabela1[[#This Row],[Total_Mes]]</f>
        <v>0.62944162436548223</v>
      </c>
      <c r="AJ1491" s="19">
        <f>COUNTIFS(Tabela1[Fase atual],"Recebido",Tabela1[Mês],Tabela1[[#This Row],[Mês]],Tabela1[Ano],Tabela1[[#This Row],[Ano]])/COUNTIF(Tabela1[Mês],Tabela1[[#This Row],[Mês]])</f>
        <v>0.62944162436548223</v>
      </c>
      <c r="AK1491" s="20">
        <f>100%</f>
        <v>1</v>
      </c>
    </row>
    <row r="1492" spans="1:37" ht="18" customHeight="1" x14ac:dyDescent="0.25">
      <c r="A1492">
        <v>1265386892</v>
      </c>
      <c r="B1492" t="s">
        <v>812</v>
      </c>
      <c r="C1492" t="s">
        <v>2126</v>
      </c>
      <c r="D1492" t="s">
        <v>40</v>
      </c>
      <c r="E1492" t="s">
        <v>31</v>
      </c>
      <c r="F1492" s="2">
        <v>45999.632237106482</v>
      </c>
      <c r="AC1492" s="24">
        <f t="shared" ca="1" si="47"/>
        <v>134.36776289351837</v>
      </c>
      <c r="AD1492" s="25" t="str">
        <f t="shared" ca="1" si="48"/>
        <v>&gt;60 dias</v>
      </c>
      <c r="AE1492" s="25">
        <f>MONTH(Tabela1[[#This Row],[Criado em]])</f>
        <v>12</v>
      </c>
      <c r="AF1492" s="25">
        <f>YEAR(Tabela1[[#This Row],[Criado em]])</f>
        <v>2025</v>
      </c>
      <c r="AG1492" s="25">
        <f>COUNTIFS(Tabela1[Mês],Tabela1[[#This Row],[Mês]])</f>
        <v>207</v>
      </c>
      <c r="AH1492" s="25">
        <f>COUNTIFS(Tabela1[Mês],Tabela1[[#This Row],[Mês]],Tabela1[Fase atual],"Recebido")</f>
        <v>155</v>
      </c>
      <c r="AI1492" s="26">
        <f>Tabela1[[#This Row],[Recebido_ Mes]]/Tabela1[[#This Row],[Total_Mes]]</f>
        <v>0.74879227053140096</v>
      </c>
      <c r="AJ1492" s="19">
        <f>COUNTIFS(Tabela1[Fase atual],"Recebido",Tabela1[Mês],Tabela1[[#This Row],[Mês]],Tabela1[Ano],Tabela1[[#This Row],[Ano]])/COUNTIF(Tabela1[Mês],Tabela1[[#This Row],[Mês]])</f>
        <v>0.74879227053140096</v>
      </c>
      <c r="AK1492" s="20">
        <f>100%</f>
        <v>1</v>
      </c>
    </row>
    <row r="1493" spans="1:37" ht="18" customHeight="1" x14ac:dyDescent="0.25">
      <c r="A1493">
        <v>1245434998</v>
      </c>
      <c r="B1493" t="s">
        <v>2127</v>
      </c>
      <c r="C1493" t="s">
        <v>2128</v>
      </c>
      <c r="D1493" t="s">
        <v>37</v>
      </c>
      <c r="E1493" t="s">
        <v>31</v>
      </c>
      <c r="F1493" s="2">
        <v>45957.706579710648</v>
      </c>
      <c r="AC1493" s="24">
        <f t="shared" ca="1" si="47"/>
        <v>176.29342028935207</v>
      </c>
      <c r="AD1493" s="25" t="str">
        <f t="shared" ca="1" si="48"/>
        <v>&gt;60 dias</v>
      </c>
      <c r="AE1493" s="25">
        <f>MONTH(Tabela1[[#This Row],[Criado em]])</f>
        <v>10</v>
      </c>
      <c r="AF1493" s="25">
        <f>YEAR(Tabela1[[#This Row],[Criado em]])</f>
        <v>2025</v>
      </c>
      <c r="AG1493" s="25">
        <f>COUNTIFS(Tabela1[Mês],Tabela1[[#This Row],[Mês]])</f>
        <v>196</v>
      </c>
      <c r="AH1493" s="25">
        <f>COUNTIFS(Tabela1[Mês],Tabela1[[#This Row],[Mês]],Tabela1[Fase atual],"Recebido")</f>
        <v>138</v>
      </c>
      <c r="AI1493" s="26">
        <f>Tabela1[[#This Row],[Recebido_ Mes]]/Tabela1[[#This Row],[Total_Mes]]</f>
        <v>0.70408163265306123</v>
      </c>
      <c r="AJ1493" s="19">
        <f>COUNTIFS(Tabela1[Fase atual],"Recebido",Tabela1[Mês],Tabela1[[#This Row],[Mês]],Tabela1[Ano],Tabela1[[#This Row],[Ano]])/COUNTIF(Tabela1[Mês],Tabela1[[#This Row],[Mês]])</f>
        <v>0.70408163265306123</v>
      </c>
      <c r="AK1493" s="20">
        <f>100%</f>
        <v>1</v>
      </c>
    </row>
    <row r="1494" spans="1:37" ht="18" customHeight="1" x14ac:dyDescent="0.25">
      <c r="A1494">
        <v>1298247914</v>
      </c>
      <c r="C1494" t="s">
        <v>649</v>
      </c>
      <c r="D1494" t="s">
        <v>37</v>
      </c>
      <c r="E1494" t="s">
        <v>31</v>
      </c>
      <c r="F1494" s="2">
        <v>46069.540621689812</v>
      </c>
      <c r="AC1494" s="24">
        <f t="shared" ca="1" si="47"/>
        <v>64.459378310188185</v>
      </c>
      <c r="AD1494" s="25" t="str">
        <f t="shared" ca="1" si="48"/>
        <v>&gt;60 dias</v>
      </c>
      <c r="AE1494" s="25">
        <f>MONTH(Tabela1[[#This Row],[Criado em]])</f>
        <v>2</v>
      </c>
      <c r="AF1494" s="25">
        <f>YEAR(Tabela1[[#This Row],[Criado em]])</f>
        <v>2026</v>
      </c>
      <c r="AG1494" s="25">
        <f>COUNTIFS(Tabela1[Mês],Tabela1[[#This Row],[Mês]])</f>
        <v>197</v>
      </c>
      <c r="AH1494" s="25">
        <f>COUNTIFS(Tabela1[Mês],Tabela1[[#This Row],[Mês]],Tabela1[Fase atual],"Recebido")</f>
        <v>124</v>
      </c>
      <c r="AI1494" s="26">
        <f>Tabela1[[#This Row],[Recebido_ Mes]]/Tabela1[[#This Row],[Total_Mes]]</f>
        <v>0.62944162436548223</v>
      </c>
      <c r="AJ1494" s="19">
        <f>COUNTIFS(Tabela1[Fase atual],"Recebido",Tabela1[Mês],Tabela1[[#This Row],[Mês]],Tabela1[Ano],Tabela1[[#This Row],[Ano]])/COUNTIF(Tabela1[Mês],Tabela1[[#This Row],[Mês]])</f>
        <v>0.62944162436548223</v>
      </c>
      <c r="AK1494" s="20">
        <f>100%</f>
        <v>1</v>
      </c>
    </row>
    <row r="1495" spans="1:37" ht="18" customHeight="1" x14ac:dyDescent="0.25">
      <c r="A1495">
        <v>1217221672</v>
      </c>
      <c r="B1495" t="s">
        <v>2037</v>
      </c>
      <c r="C1495" t="s">
        <v>2129</v>
      </c>
      <c r="D1495" t="s">
        <v>37</v>
      </c>
      <c r="E1495" t="s">
        <v>31</v>
      </c>
      <c r="F1495" s="2">
        <v>45919.642882164349</v>
      </c>
      <c r="AC1495" s="24">
        <f t="shared" ca="1" si="47"/>
        <v>214.35711783565057</v>
      </c>
      <c r="AD1495" s="25" t="str">
        <f t="shared" ca="1" si="48"/>
        <v>&gt;60 dias</v>
      </c>
      <c r="AE1495" s="25">
        <f>MONTH(Tabela1[[#This Row],[Criado em]])</f>
        <v>9</v>
      </c>
      <c r="AF1495" s="25">
        <f>YEAR(Tabela1[[#This Row],[Criado em]])</f>
        <v>2025</v>
      </c>
      <c r="AG1495" s="25">
        <f>COUNTIFS(Tabela1[Mês],Tabela1[[#This Row],[Mês]])</f>
        <v>197</v>
      </c>
      <c r="AH1495" s="25">
        <f>COUNTIFS(Tabela1[Mês],Tabela1[[#This Row],[Mês]],Tabela1[Fase atual],"Recebido")</f>
        <v>152</v>
      </c>
      <c r="AI1495" s="26">
        <f>Tabela1[[#This Row],[Recebido_ Mes]]/Tabela1[[#This Row],[Total_Mes]]</f>
        <v>0.77157360406091369</v>
      </c>
      <c r="AJ1495" s="19">
        <f>COUNTIFS(Tabela1[Fase atual],"Recebido",Tabela1[Mês],Tabela1[[#This Row],[Mês]],Tabela1[Ano],Tabela1[[#This Row],[Ano]])/COUNTIF(Tabela1[Mês],Tabela1[[#This Row],[Mês]])</f>
        <v>0.77157360406091369</v>
      </c>
      <c r="AK1495" s="20">
        <f>100%</f>
        <v>1</v>
      </c>
    </row>
    <row r="1496" spans="1:37" ht="18" customHeight="1" x14ac:dyDescent="0.25">
      <c r="A1496">
        <v>1234463637</v>
      </c>
      <c r="B1496" t="s">
        <v>2130</v>
      </c>
      <c r="C1496" t="s">
        <v>2131</v>
      </c>
      <c r="D1496" t="s">
        <v>37</v>
      </c>
      <c r="E1496" t="s">
        <v>31</v>
      </c>
      <c r="F1496" s="2">
        <v>45943.811551435181</v>
      </c>
      <c r="AC1496" s="24">
        <f t="shared" ca="1" si="47"/>
        <v>190.18844856481883</v>
      </c>
      <c r="AD1496" s="25" t="str">
        <f t="shared" ca="1" si="48"/>
        <v>&gt;60 dias</v>
      </c>
      <c r="AE1496" s="25">
        <f>MONTH(Tabela1[[#This Row],[Criado em]])</f>
        <v>10</v>
      </c>
      <c r="AF1496" s="25">
        <f>YEAR(Tabela1[[#This Row],[Criado em]])</f>
        <v>2025</v>
      </c>
      <c r="AG1496" s="25">
        <f>COUNTIFS(Tabela1[Mês],Tabela1[[#This Row],[Mês]])</f>
        <v>196</v>
      </c>
      <c r="AH1496" s="25">
        <f>COUNTIFS(Tabela1[Mês],Tabela1[[#This Row],[Mês]],Tabela1[Fase atual],"Recebido")</f>
        <v>138</v>
      </c>
      <c r="AI1496" s="26">
        <f>Tabela1[[#This Row],[Recebido_ Mes]]/Tabela1[[#This Row],[Total_Mes]]</f>
        <v>0.70408163265306123</v>
      </c>
      <c r="AJ1496" s="19">
        <f>COUNTIFS(Tabela1[Fase atual],"Recebido",Tabela1[Mês],Tabela1[[#This Row],[Mês]],Tabela1[Ano],Tabela1[[#This Row],[Ano]])/COUNTIF(Tabela1[Mês],Tabela1[[#This Row],[Mês]])</f>
        <v>0.70408163265306123</v>
      </c>
      <c r="AK1496" s="20">
        <f>100%</f>
        <v>1</v>
      </c>
    </row>
    <row r="1497" spans="1:37" ht="18" customHeight="1" x14ac:dyDescent="0.25">
      <c r="A1497">
        <v>1232373501</v>
      </c>
      <c r="B1497" t="s">
        <v>2132</v>
      </c>
      <c r="C1497" t="s">
        <v>2133</v>
      </c>
      <c r="D1497" t="s">
        <v>37</v>
      </c>
      <c r="E1497" t="s">
        <v>31</v>
      </c>
      <c r="F1497" s="2">
        <v>45940.816079814816</v>
      </c>
      <c r="AC1497" s="24">
        <f t="shared" ca="1" si="47"/>
        <v>193.18392018518352</v>
      </c>
      <c r="AD1497" s="25" t="str">
        <f t="shared" ca="1" si="48"/>
        <v>&gt;60 dias</v>
      </c>
      <c r="AE1497" s="25">
        <f>MONTH(Tabela1[[#This Row],[Criado em]])</f>
        <v>10</v>
      </c>
      <c r="AF1497" s="25">
        <f>YEAR(Tabela1[[#This Row],[Criado em]])</f>
        <v>2025</v>
      </c>
      <c r="AG1497" s="25">
        <f>COUNTIFS(Tabela1[Mês],Tabela1[[#This Row],[Mês]])</f>
        <v>196</v>
      </c>
      <c r="AH1497" s="25">
        <f>COUNTIFS(Tabela1[Mês],Tabela1[[#This Row],[Mês]],Tabela1[Fase atual],"Recebido")</f>
        <v>138</v>
      </c>
      <c r="AI1497" s="26">
        <f>Tabela1[[#This Row],[Recebido_ Mes]]/Tabela1[[#This Row],[Total_Mes]]</f>
        <v>0.70408163265306123</v>
      </c>
      <c r="AJ1497" s="19">
        <f>COUNTIFS(Tabela1[Fase atual],"Recebido",Tabela1[Mês],Tabela1[[#This Row],[Mês]],Tabela1[Ano],Tabela1[[#This Row],[Ano]])/COUNTIF(Tabela1[Mês],Tabela1[[#This Row],[Mês]])</f>
        <v>0.70408163265306123</v>
      </c>
      <c r="AK1497" s="20">
        <f>100%</f>
        <v>1</v>
      </c>
    </row>
    <row r="1498" spans="1:37" ht="18" customHeight="1" x14ac:dyDescent="0.25">
      <c r="A1498">
        <v>1290428221</v>
      </c>
      <c r="B1498" t="s">
        <v>381</v>
      </c>
      <c r="C1498" t="s">
        <v>650</v>
      </c>
      <c r="D1498" t="s">
        <v>37</v>
      </c>
      <c r="E1498" t="s">
        <v>31</v>
      </c>
      <c r="F1498" s="2">
        <v>46051.688376793987</v>
      </c>
      <c r="AC1498" s="24">
        <f t="shared" ca="1" si="47"/>
        <v>82.311623206012882</v>
      </c>
      <c r="AD1498" s="25" t="str">
        <f t="shared" ca="1" si="48"/>
        <v>&gt;60 dias</v>
      </c>
      <c r="AE1498" s="25">
        <f>MONTH(Tabela1[[#This Row],[Criado em]])</f>
        <v>1</v>
      </c>
      <c r="AF1498" s="25">
        <f>YEAR(Tabela1[[#This Row],[Criado em]])</f>
        <v>2026</v>
      </c>
      <c r="AG1498" s="25">
        <f>COUNTIFS(Tabela1[Mês],Tabela1[[#This Row],[Mês]])</f>
        <v>222</v>
      </c>
      <c r="AH1498" s="25">
        <f>COUNTIFS(Tabela1[Mês],Tabela1[[#This Row],[Mês]],Tabela1[Fase atual],"Recebido")</f>
        <v>174</v>
      </c>
      <c r="AI1498" s="26">
        <f>Tabela1[[#This Row],[Recebido_ Mes]]/Tabela1[[#This Row],[Total_Mes]]</f>
        <v>0.78378378378378377</v>
      </c>
      <c r="AJ1498" s="19">
        <f>COUNTIFS(Tabela1[Fase atual],"Recebido",Tabela1[Mês],Tabela1[[#This Row],[Mês]],Tabela1[Ano],Tabela1[[#This Row],[Ano]])/COUNTIF(Tabela1[Mês],Tabela1[[#This Row],[Mês]])</f>
        <v>0.78378378378378377</v>
      </c>
      <c r="AK1498" s="20">
        <f>100%</f>
        <v>1</v>
      </c>
    </row>
    <row r="1499" spans="1:37" ht="18" customHeight="1" x14ac:dyDescent="0.25">
      <c r="A1499">
        <v>1279608226</v>
      </c>
      <c r="B1499" t="s">
        <v>381</v>
      </c>
      <c r="C1499" t="s">
        <v>651</v>
      </c>
      <c r="D1499" t="s">
        <v>40</v>
      </c>
      <c r="E1499" t="s">
        <v>31</v>
      </c>
      <c r="F1499" s="2">
        <v>46031.79418247685</v>
      </c>
      <c r="AC1499" s="24">
        <f t="shared" ca="1" si="47"/>
        <v>102.20581752315047</v>
      </c>
      <c r="AD1499" s="25" t="str">
        <f t="shared" ca="1" si="48"/>
        <v>&gt;60 dias</v>
      </c>
      <c r="AE1499" s="25">
        <f>MONTH(Tabela1[[#This Row],[Criado em]])</f>
        <v>1</v>
      </c>
      <c r="AF1499" s="25">
        <f>YEAR(Tabela1[[#This Row],[Criado em]])</f>
        <v>2026</v>
      </c>
      <c r="AG1499" s="25">
        <f>COUNTIFS(Tabela1[Mês],Tabela1[[#This Row],[Mês]])</f>
        <v>222</v>
      </c>
      <c r="AH1499" s="25">
        <f>COUNTIFS(Tabela1[Mês],Tabela1[[#This Row],[Mês]],Tabela1[Fase atual],"Recebido")</f>
        <v>174</v>
      </c>
      <c r="AI1499" s="26">
        <f>Tabela1[[#This Row],[Recebido_ Mes]]/Tabela1[[#This Row],[Total_Mes]]</f>
        <v>0.78378378378378377</v>
      </c>
      <c r="AJ1499" s="19">
        <f>COUNTIFS(Tabela1[Fase atual],"Recebido",Tabela1[Mês],Tabela1[[#This Row],[Mês]],Tabela1[Ano],Tabela1[[#This Row],[Ano]])/COUNTIF(Tabela1[Mês],Tabela1[[#This Row],[Mês]])</f>
        <v>0.78378378378378377</v>
      </c>
      <c r="AK1499" s="20">
        <f>100%</f>
        <v>1</v>
      </c>
    </row>
    <row r="1500" spans="1:37" ht="18" customHeight="1" x14ac:dyDescent="0.25">
      <c r="A1500">
        <v>1296050134</v>
      </c>
      <c r="B1500" t="s">
        <v>381</v>
      </c>
      <c r="C1500" t="s">
        <v>652</v>
      </c>
      <c r="D1500" t="s">
        <v>40</v>
      </c>
      <c r="E1500" t="s">
        <v>31</v>
      </c>
      <c r="F1500" s="2">
        <v>46063.853486261571</v>
      </c>
      <c r="AC1500" s="24">
        <f t="shared" ca="1" si="47"/>
        <v>70.146513738429348</v>
      </c>
      <c r="AD1500" s="25" t="str">
        <f t="shared" ca="1" si="48"/>
        <v>&gt;60 dias</v>
      </c>
      <c r="AE1500" s="25">
        <f>MONTH(Tabela1[[#This Row],[Criado em]])</f>
        <v>2</v>
      </c>
      <c r="AF1500" s="25">
        <f>YEAR(Tabela1[[#This Row],[Criado em]])</f>
        <v>2026</v>
      </c>
      <c r="AG1500" s="25">
        <f>COUNTIFS(Tabela1[Mês],Tabela1[[#This Row],[Mês]])</f>
        <v>197</v>
      </c>
      <c r="AH1500" s="25">
        <f>COUNTIFS(Tabela1[Mês],Tabela1[[#This Row],[Mês]],Tabela1[Fase atual],"Recebido")</f>
        <v>124</v>
      </c>
      <c r="AI1500" s="26">
        <f>Tabela1[[#This Row],[Recebido_ Mes]]/Tabela1[[#This Row],[Total_Mes]]</f>
        <v>0.62944162436548223</v>
      </c>
      <c r="AJ1500" s="19">
        <f>COUNTIFS(Tabela1[Fase atual],"Recebido",Tabela1[Mês],Tabela1[[#This Row],[Mês]],Tabela1[Ano],Tabela1[[#This Row],[Ano]])/COUNTIF(Tabela1[Mês],Tabela1[[#This Row],[Mês]])</f>
        <v>0.62944162436548223</v>
      </c>
      <c r="AK1500" s="20">
        <f>100%</f>
        <v>1</v>
      </c>
    </row>
    <row r="1501" spans="1:37" ht="18" customHeight="1" x14ac:dyDescent="0.25">
      <c r="A1501">
        <v>1195218370</v>
      </c>
      <c r="B1501" t="s">
        <v>653</v>
      </c>
      <c r="C1501" t="s">
        <v>2134</v>
      </c>
      <c r="D1501" t="s">
        <v>37</v>
      </c>
      <c r="E1501" t="s">
        <v>31</v>
      </c>
      <c r="F1501" s="2">
        <v>45883.642415787042</v>
      </c>
      <c r="AC1501" s="24">
        <f t="shared" ca="1" si="47"/>
        <v>250.35758421295759</v>
      </c>
      <c r="AD1501" s="25" t="str">
        <f t="shared" ca="1" si="48"/>
        <v>&gt;60 dias</v>
      </c>
      <c r="AE1501" s="25">
        <f>MONTH(Tabela1[[#This Row],[Criado em]])</f>
        <v>8</v>
      </c>
      <c r="AF1501" s="25">
        <f>YEAR(Tabela1[[#This Row],[Criado em]])</f>
        <v>2025</v>
      </c>
      <c r="AG1501" s="25">
        <f>COUNTIFS(Tabela1[Mês],Tabela1[[#This Row],[Mês]])</f>
        <v>146</v>
      </c>
      <c r="AH1501" s="25">
        <f>COUNTIFS(Tabela1[Mês],Tabela1[[#This Row],[Mês]],Tabela1[Fase atual],"Recebido")</f>
        <v>115</v>
      </c>
      <c r="AI1501" s="26">
        <f>Tabela1[[#This Row],[Recebido_ Mes]]/Tabela1[[#This Row],[Total_Mes]]</f>
        <v>0.78767123287671237</v>
      </c>
      <c r="AJ1501" s="19">
        <f>COUNTIFS(Tabela1[Fase atual],"Recebido",Tabela1[Mês],Tabela1[[#This Row],[Mês]],Tabela1[Ano],Tabela1[[#This Row],[Ano]])/COUNTIF(Tabela1[Mês],Tabela1[[#This Row],[Mês]])</f>
        <v>0.78767123287671237</v>
      </c>
      <c r="AK1501" s="20">
        <f>100%</f>
        <v>1</v>
      </c>
    </row>
    <row r="1502" spans="1:37" ht="18" customHeight="1" x14ac:dyDescent="0.25">
      <c r="A1502">
        <v>1297056500</v>
      </c>
      <c r="B1502" t="s">
        <v>653</v>
      </c>
      <c r="C1502" t="s">
        <v>654</v>
      </c>
      <c r="D1502" t="s">
        <v>37</v>
      </c>
      <c r="E1502" t="s">
        <v>31</v>
      </c>
      <c r="F1502" s="2">
        <v>46065.797097418981</v>
      </c>
      <c r="AC1502" s="24">
        <f t="shared" ca="1" si="47"/>
        <v>68.202902581018861</v>
      </c>
      <c r="AD1502" s="25" t="str">
        <f t="shared" ca="1" si="48"/>
        <v>&gt;60 dias</v>
      </c>
      <c r="AE1502" s="25">
        <f>MONTH(Tabela1[[#This Row],[Criado em]])</f>
        <v>2</v>
      </c>
      <c r="AF1502" s="25">
        <f>YEAR(Tabela1[[#This Row],[Criado em]])</f>
        <v>2026</v>
      </c>
      <c r="AG1502" s="25">
        <f>COUNTIFS(Tabela1[Mês],Tabela1[[#This Row],[Mês]])</f>
        <v>197</v>
      </c>
      <c r="AH1502" s="25">
        <f>COUNTIFS(Tabela1[Mês],Tabela1[[#This Row],[Mês]],Tabela1[Fase atual],"Recebido")</f>
        <v>124</v>
      </c>
      <c r="AI1502" s="26">
        <f>Tabela1[[#This Row],[Recebido_ Mes]]/Tabela1[[#This Row],[Total_Mes]]</f>
        <v>0.62944162436548223</v>
      </c>
      <c r="AJ1502" s="19">
        <f>COUNTIFS(Tabela1[Fase atual],"Recebido",Tabela1[Mês],Tabela1[[#This Row],[Mês]],Tabela1[Ano],Tabela1[[#This Row],[Ano]])/COUNTIF(Tabela1[Mês],Tabela1[[#This Row],[Mês]])</f>
        <v>0.62944162436548223</v>
      </c>
      <c r="AK1502" s="20">
        <f>100%</f>
        <v>1</v>
      </c>
    </row>
    <row r="1503" spans="1:37" ht="18" customHeight="1" x14ac:dyDescent="0.25">
      <c r="A1503">
        <v>1300236330</v>
      </c>
      <c r="B1503" t="s">
        <v>655</v>
      </c>
      <c r="C1503" t="s">
        <v>656</v>
      </c>
      <c r="D1503" t="s">
        <v>40</v>
      </c>
      <c r="E1503" t="s">
        <v>31</v>
      </c>
      <c r="F1503" s="2">
        <v>46073.628056759262</v>
      </c>
      <c r="AC1503" s="24">
        <f t="shared" ca="1" si="47"/>
        <v>60.371943240737892</v>
      </c>
      <c r="AD1503" s="25" t="str">
        <f t="shared" ca="1" si="48"/>
        <v>&gt;60 dias</v>
      </c>
      <c r="AE1503" s="25">
        <f>MONTH(Tabela1[[#This Row],[Criado em]])</f>
        <v>2</v>
      </c>
      <c r="AF1503" s="25">
        <f>YEAR(Tabela1[[#This Row],[Criado em]])</f>
        <v>2026</v>
      </c>
      <c r="AG1503" s="25">
        <f>COUNTIFS(Tabela1[Mês],Tabela1[[#This Row],[Mês]])</f>
        <v>197</v>
      </c>
      <c r="AH1503" s="25">
        <f>COUNTIFS(Tabela1[Mês],Tabela1[[#This Row],[Mês]],Tabela1[Fase atual],"Recebido")</f>
        <v>124</v>
      </c>
      <c r="AI1503" s="26">
        <f>Tabela1[[#This Row],[Recebido_ Mes]]/Tabela1[[#This Row],[Total_Mes]]</f>
        <v>0.62944162436548223</v>
      </c>
      <c r="AJ1503" s="19">
        <f>COUNTIFS(Tabela1[Fase atual],"Recebido",Tabela1[Mês],Tabela1[[#This Row],[Mês]],Tabela1[Ano],Tabela1[[#This Row],[Ano]])/COUNTIF(Tabela1[Mês],Tabela1[[#This Row],[Mês]])</f>
        <v>0.62944162436548223</v>
      </c>
      <c r="AK1503" s="20">
        <f>100%</f>
        <v>1</v>
      </c>
    </row>
    <row r="1504" spans="1:37" ht="18" customHeight="1" x14ac:dyDescent="0.25">
      <c r="A1504">
        <v>1282439420</v>
      </c>
      <c r="B1504" t="s">
        <v>657</v>
      </c>
      <c r="C1504" t="s">
        <v>658</v>
      </c>
      <c r="D1504" t="s">
        <v>37</v>
      </c>
      <c r="E1504" t="s">
        <v>31</v>
      </c>
      <c r="F1504" s="2">
        <v>46037.795588935187</v>
      </c>
      <c r="AC1504" s="24">
        <f t="shared" ca="1" si="47"/>
        <v>96.20441106481303</v>
      </c>
      <c r="AD1504" s="25" t="str">
        <f t="shared" ca="1" si="48"/>
        <v>&gt;60 dias</v>
      </c>
      <c r="AE1504" s="25">
        <f>MONTH(Tabela1[[#This Row],[Criado em]])</f>
        <v>1</v>
      </c>
      <c r="AF1504" s="25">
        <f>YEAR(Tabela1[[#This Row],[Criado em]])</f>
        <v>2026</v>
      </c>
      <c r="AG1504" s="25">
        <f>COUNTIFS(Tabela1[Mês],Tabela1[[#This Row],[Mês]])</f>
        <v>222</v>
      </c>
      <c r="AH1504" s="25">
        <f>COUNTIFS(Tabela1[Mês],Tabela1[[#This Row],[Mês]],Tabela1[Fase atual],"Recebido")</f>
        <v>174</v>
      </c>
      <c r="AI1504" s="26">
        <f>Tabela1[[#This Row],[Recebido_ Mes]]/Tabela1[[#This Row],[Total_Mes]]</f>
        <v>0.78378378378378377</v>
      </c>
      <c r="AJ1504" s="19">
        <f>COUNTIFS(Tabela1[Fase atual],"Recebido",Tabela1[Mês],Tabela1[[#This Row],[Mês]],Tabela1[Ano],Tabela1[[#This Row],[Ano]])/COUNTIF(Tabela1[Mês],Tabela1[[#This Row],[Mês]])</f>
        <v>0.78378378378378377</v>
      </c>
      <c r="AK1504" s="20">
        <f>100%</f>
        <v>1</v>
      </c>
    </row>
    <row r="1505" spans="1:37" ht="18" customHeight="1" x14ac:dyDescent="0.25">
      <c r="A1505">
        <v>1299039490</v>
      </c>
      <c r="B1505" t="s">
        <v>659</v>
      </c>
      <c r="C1505" t="s">
        <v>660</v>
      </c>
      <c r="D1505" t="s">
        <v>37</v>
      </c>
      <c r="E1505" t="s">
        <v>31</v>
      </c>
      <c r="F1505" s="2">
        <v>46071.795369039348</v>
      </c>
      <c r="AC1505" s="24">
        <f t="shared" ca="1" si="47"/>
        <v>62.204630960652139</v>
      </c>
      <c r="AD1505" s="25" t="str">
        <f t="shared" ca="1" si="48"/>
        <v>&gt;60 dias</v>
      </c>
      <c r="AE1505" s="25">
        <f>MONTH(Tabela1[[#This Row],[Criado em]])</f>
        <v>2</v>
      </c>
      <c r="AF1505" s="25">
        <f>YEAR(Tabela1[[#This Row],[Criado em]])</f>
        <v>2026</v>
      </c>
      <c r="AG1505" s="25">
        <f>COUNTIFS(Tabela1[Mês],Tabela1[[#This Row],[Mês]])</f>
        <v>197</v>
      </c>
      <c r="AH1505" s="25">
        <f>COUNTIFS(Tabela1[Mês],Tabela1[[#This Row],[Mês]],Tabela1[Fase atual],"Recebido")</f>
        <v>124</v>
      </c>
      <c r="AI1505" s="26">
        <f>Tabela1[[#This Row],[Recebido_ Mes]]/Tabela1[[#This Row],[Total_Mes]]</f>
        <v>0.62944162436548223</v>
      </c>
      <c r="AJ1505" s="19">
        <f>COUNTIFS(Tabela1[Fase atual],"Recebido",Tabela1[Mês],Tabela1[[#This Row],[Mês]],Tabela1[Ano],Tabela1[[#This Row],[Ano]])/COUNTIF(Tabela1[Mês],Tabela1[[#This Row],[Mês]])</f>
        <v>0.62944162436548223</v>
      </c>
      <c r="AK1505" s="20">
        <f>100%</f>
        <v>1</v>
      </c>
    </row>
    <row r="1506" spans="1:37" ht="18" customHeight="1" x14ac:dyDescent="0.25">
      <c r="A1506">
        <v>1237690866</v>
      </c>
      <c r="B1506" t="s">
        <v>2135</v>
      </c>
      <c r="C1506" t="s">
        <v>2136</v>
      </c>
      <c r="D1506" t="s">
        <v>37</v>
      </c>
      <c r="E1506" t="s">
        <v>31</v>
      </c>
      <c r="F1506" s="2">
        <v>45946.79587962963</v>
      </c>
      <c r="AC1506" s="24">
        <f t="shared" ca="1" si="47"/>
        <v>187.20412037037022</v>
      </c>
      <c r="AD1506" s="25" t="str">
        <f t="shared" ca="1" si="48"/>
        <v>&gt;60 dias</v>
      </c>
      <c r="AE1506" s="25">
        <f>MONTH(Tabela1[[#This Row],[Criado em]])</f>
        <v>10</v>
      </c>
      <c r="AF1506" s="25">
        <f>YEAR(Tabela1[[#This Row],[Criado em]])</f>
        <v>2025</v>
      </c>
      <c r="AG1506" s="25">
        <f>COUNTIFS(Tabela1[Mês],Tabela1[[#This Row],[Mês]])</f>
        <v>196</v>
      </c>
      <c r="AH1506" s="25">
        <f>COUNTIFS(Tabela1[Mês],Tabela1[[#This Row],[Mês]],Tabela1[Fase atual],"Recebido")</f>
        <v>138</v>
      </c>
      <c r="AI1506" s="26">
        <f>Tabela1[[#This Row],[Recebido_ Mes]]/Tabela1[[#This Row],[Total_Mes]]</f>
        <v>0.70408163265306123</v>
      </c>
      <c r="AJ1506" s="19">
        <f>COUNTIFS(Tabela1[Fase atual],"Recebido",Tabela1[Mês],Tabela1[[#This Row],[Mês]],Tabela1[Ano],Tabela1[[#This Row],[Ano]])/COUNTIF(Tabela1[Mês],Tabela1[[#This Row],[Mês]])</f>
        <v>0.70408163265306123</v>
      </c>
      <c r="AK1506" s="20">
        <f>100%</f>
        <v>1</v>
      </c>
    </row>
    <row r="1507" spans="1:37" ht="18" customHeight="1" x14ac:dyDescent="0.25">
      <c r="A1507">
        <v>1250548100</v>
      </c>
      <c r="B1507" t="s">
        <v>2137</v>
      </c>
      <c r="C1507" t="s">
        <v>2138</v>
      </c>
      <c r="D1507" t="s">
        <v>37</v>
      </c>
      <c r="E1507" t="s">
        <v>31</v>
      </c>
      <c r="F1507" s="2">
        <v>45966.91855884259</v>
      </c>
      <c r="AC1507" s="24">
        <f t="shared" ca="1" si="47"/>
        <v>167.08144115741015</v>
      </c>
      <c r="AD1507" s="25" t="str">
        <f t="shared" ca="1" si="48"/>
        <v>&gt;60 dias</v>
      </c>
      <c r="AE1507" s="25">
        <f>MONTH(Tabela1[[#This Row],[Criado em]])</f>
        <v>11</v>
      </c>
      <c r="AF1507" s="25">
        <f>YEAR(Tabela1[[#This Row],[Criado em]])</f>
        <v>2025</v>
      </c>
      <c r="AG1507" s="25">
        <f>COUNTIFS(Tabela1[Mês],Tabela1[[#This Row],[Mês]])</f>
        <v>130</v>
      </c>
      <c r="AH1507" s="25">
        <f>COUNTIFS(Tabela1[Mês],Tabela1[[#This Row],[Mês]],Tabela1[Fase atual],"Recebido")</f>
        <v>100</v>
      </c>
      <c r="AI1507" s="26">
        <f>Tabela1[[#This Row],[Recebido_ Mes]]/Tabela1[[#This Row],[Total_Mes]]</f>
        <v>0.76923076923076927</v>
      </c>
      <c r="AJ1507" s="19">
        <f>COUNTIFS(Tabela1[Fase atual],"Recebido",Tabela1[Mês],Tabela1[[#This Row],[Mês]],Tabela1[Ano],Tabela1[[#This Row],[Ano]])/COUNTIF(Tabela1[Mês],Tabela1[[#This Row],[Mês]])</f>
        <v>0.76923076923076927</v>
      </c>
      <c r="AK1507" s="20">
        <f>100%</f>
        <v>1</v>
      </c>
    </row>
    <row r="1508" spans="1:37" ht="18" customHeight="1" x14ac:dyDescent="0.25">
      <c r="A1508">
        <v>1180381558</v>
      </c>
      <c r="B1508" t="s">
        <v>2139</v>
      </c>
      <c r="C1508" t="s">
        <v>2140</v>
      </c>
      <c r="D1508" t="s">
        <v>37</v>
      </c>
      <c r="E1508" t="s">
        <v>441</v>
      </c>
      <c r="F1508" s="2">
        <v>45859.81286085648</v>
      </c>
      <c r="AC1508" s="24">
        <f t="shared" ca="1" si="47"/>
        <v>274.18713914351974</v>
      </c>
      <c r="AD1508" s="25" t="str">
        <f t="shared" ca="1" si="48"/>
        <v>&gt;60 dias</v>
      </c>
      <c r="AE1508" s="25">
        <f>MONTH(Tabela1[[#This Row],[Criado em]])</f>
        <v>7</v>
      </c>
      <c r="AF1508" s="25">
        <f>YEAR(Tabela1[[#This Row],[Criado em]])</f>
        <v>2025</v>
      </c>
      <c r="AG1508" s="25">
        <f>COUNTIFS(Tabela1[Mês],Tabela1[[#This Row],[Mês]])</f>
        <v>177</v>
      </c>
      <c r="AH1508" s="25">
        <f>COUNTIFS(Tabela1[Mês],Tabela1[[#This Row],[Mês]],Tabela1[Fase atual],"Recebido")</f>
        <v>130</v>
      </c>
      <c r="AI1508" s="26">
        <f>Tabela1[[#This Row],[Recebido_ Mes]]/Tabela1[[#This Row],[Total_Mes]]</f>
        <v>0.7344632768361582</v>
      </c>
      <c r="AJ1508" s="19">
        <f>COUNTIFS(Tabela1[Fase atual],"Recebido",Tabela1[Mês],Tabela1[[#This Row],[Mês]],Tabela1[Ano],Tabela1[[#This Row],[Ano]])/COUNTIF(Tabela1[Mês],Tabela1[[#This Row],[Mês]])</f>
        <v>0.7344632768361582</v>
      </c>
      <c r="AK1508" s="20">
        <f>100%</f>
        <v>1</v>
      </c>
    </row>
    <row r="1509" spans="1:37" ht="18" customHeight="1" x14ac:dyDescent="0.25">
      <c r="A1509">
        <v>1297690950</v>
      </c>
      <c r="B1509" t="s">
        <v>661</v>
      </c>
      <c r="C1509" t="s">
        <v>662</v>
      </c>
      <c r="D1509" t="s">
        <v>40</v>
      </c>
      <c r="E1509" t="s">
        <v>31</v>
      </c>
      <c r="F1509" s="2">
        <v>46066.796413124997</v>
      </c>
      <c r="AC1509" s="24">
        <f t="shared" ca="1" si="47"/>
        <v>67.203586875002657</v>
      </c>
      <c r="AD1509" s="25" t="str">
        <f t="shared" ca="1" si="48"/>
        <v>&gt;60 dias</v>
      </c>
      <c r="AE1509" s="25">
        <f>MONTH(Tabela1[[#This Row],[Criado em]])</f>
        <v>2</v>
      </c>
      <c r="AF1509" s="25">
        <f>YEAR(Tabela1[[#This Row],[Criado em]])</f>
        <v>2026</v>
      </c>
      <c r="AG1509" s="25">
        <f>COUNTIFS(Tabela1[Mês],Tabela1[[#This Row],[Mês]])</f>
        <v>197</v>
      </c>
      <c r="AH1509" s="25">
        <f>COUNTIFS(Tabela1[Mês],Tabela1[[#This Row],[Mês]],Tabela1[Fase atual],"Recebido")</f>
        <v>124</v>
      </c>
      <c r="AI1509" s="26">
        <f>Tabela1[[#This Row],[Recebido_ Mes]]/Tabela1[[#This Row],[Total_Mes]]</f>
        <v>0.62944162436548223</v>
      </c>
      <c r="AJ1509" s="19">
        <f>COUNTIFS(Tabela1[Fase atual],"Recebido",Tabela1[Mês],Tabela1[[#This Row],[Mês]],Tabela1[Ano],Tabela1[[#This Row],[Ano]])/COUNTIF(Tabela1[Mês],Tabela1[[#This Row],[Mês]])</f>
        <v>0.62944162436548223</v>
      </c>
      <c r="AK1509" s="20">
        <f>100%</f>
        <v>1</v>
      </c>
    </row>
    <row r="1510" spans="1:37" ht="18" customHeight="1" x14ac:dyDescent="0.25">
      <c r="A1510">
        <v>1186005383</v>
      </c>
      <c r="B1510" t="s">
        <v>162</v>
      </c>
      <c r="C1510" t="s">
        <v>2141</v>
      </c>
      <c r="D1510" t="s">
        <v>784</v>
      </c>
      <c r="E1510" t="s">
        <v>31</v>
      </c>
      <c r="F1510" s="2">
        <v>45868.851766354157</v>
      </c>
      <c r="AC1510" s="24">
        <f t="shared" ca="1" si="47"/>
        <v>265.14823364584299</v>
      </c>
      <c r="AD1510" s="25" t="str">
        <f t="shared" ca="1" si="48"/>
        <v>&gt;60 dias</v>
      </c>
      <c r="AE1510" s="25">
        <f>MONTH(Tabela1[[#This Row],[Criado em]])</f>
        <v>7</v>
      </c>
      <c r="AF1510" s="25">
        <f>YEAR(Tabela1[[#This Row],[Criado em]])</f>
        <v>2025</v>
      </c>
      <c r="AG1510" s="25">
        <f>COUNTIFS(Tabela1[Mês],Tabela1[[#This Row],[Mês]])</f>
        <v>177</v>
      </c>
      <c r="AH1510" s="25">
        <f>COUNTIFS(Tabela1[Mês],Tabela1[[#This Row],[Mês]],Tabela1[Fase atual],"Recebido")</f>
        <v>130</v>
      </c>
      <c r="AI1510" s="26">
        <f>Tabela1[[#This Row],[Recebido_ Mes]]/Tabela1[[#This Row],[Total_Mes]]</f>
        <v>0.7344632768361582</v>
      </c>
      <c r="AJ1510" s="19">
        <f>COUNTIFS(Tabela1[Fase atual],"Recebido",Tabela1[Mês],Tabela1[[#This Row],[Mês]],Tabela1[Ano],Tabela1[[#This Row],[Ano]])/COUNTIF(Tabela1[Mês],Tabela1[[#This Row],[Mês]])</f>
        <v>0.7344632768361582</v>
      </c>
      <c r="AK1510" s="20">
        <f>100%</f>
        <v>1</v>
      </c>
    </row>
    <row r="1511" spans="1:37" ht="18" customHeight="1" x14ac:dyDescent="0.25">
      <c r="A1511">
        <v>1282984108</v>
      </c>
      <c r="B1511" t="s">
        <v>162</v>
      </c>
      <c r="C1511" t="s">
        <v>663</v>
      </c>
      <c r="D1511" t="s">
        <v>37</v>
      </c>
      <c r="E1511" t="s">
        <v>31</v>
      </c>
      <c r="F1511" s="2">
        <v>46038.797098773153</v>
      </c>
      <c r="AC1511" s="24">
        <f t="shared" ca="1" si="47"/>
        <v>95.202901226846734</v>
      </c>
      <c r="AD1511" s="25" t="str">
        <f t="shared" ca="1" si="48"/>
        <v>&gt;60 dias</v>
      </c>
      <c r="AE1511" s="25">
        <f>MONTH(Tabela1[[#This Row],[Criado em]])</f>
        <v>1</v>
      </c>
      <c r="AF1511" s="25">
        <f>YEAR(Tabela1[[#This Row],[Criado em]])</f>
        <v>2026</v>
      </c>
      <c r="AG1511" s="25">
        <f>COUNTIFS(Tabela1[Mês],Tabela1[[#This Row],[Mês]])</f>
        <v>222</v>
      </c>
      <c r="AH1511" s="25">
        <f>COUNTIFS(Tabela1[Mês],Tabela1[[#This Row],[Mês]],Tabela1[Fase atual],"Recebido")</f>
        <v>174</v>
      </c>
      <c r="AI1511" s="26">
        <f>Tabela1[[#This Row],[Recebido_ Mes]]/Tabela1[[#This Row],[Total_Mes]]</f>
        <v>0.78378378378378377</v>
      </c>
      <c r="AJ1511" s="19">
        <f>COUNTIFS(Tabela1[Fase atual],"Recebido",Tabela1[Mês],Tabela1[[#This Row],[Mês]],Tabela1[Ano],Tabela1[[#This Row],[Ano]])/COUNTIF(Tabela1[Mês],Tabela1[[#This Row],[Mês]])</f>
        <v>0.78378378378378377</v>
      </c>
      <c r="AK1511" s="20">
        <f>100%</f>
        <v>1</v>
      </c>
    </row>
    <row r="1512" spans="1:37" ht="18" customHeight="1" x14ac:dyDescent="0.25">
      <c r="A1512">
        <v>1284077963</v>
      </c>
      <c r="B1512" t="s">
        <v>162</v>
      </c>
      <c r="C1512" t="s">
        <v>664</v>
      </c>
      <c r="D1512" t="s">
        <v>37</v>
      </c>
      <c r="E1512" t="s">
        <v>31</v>
      </c>
      <c r="F1512" s="2">
        <v>46041.794665254631</v>
      </c>
      <c r="AC1512" s="24">
        <f t="shared" ca="1" si="47"/>
        <v>92.205334745369328</v>
      </c>
      <c r="AD1512" s="25" t="str">
        <f t="shared" ca="1" si="48"/>
        <v>&gt;60 dias</v>
      </c>
      <c r="AE1512" s="25">
        <f>MONTH(Tabela1[[#This Row],[Criado em]])</f>
        <v>1</v>
      </c>
      <c r="AF1512" s="25">
        <f>YEAR(Tabela1[[#This Row],[Criado em]])</f>
        <v>2026</v>
      </c>
      <c r="AG1512" s="25">
        <f>COUNTIFS(Tabela1[Mês],Tabela1[[#This Row],[Mês]])</f>
        <v>222</v>
      </c>
      <c r="AH1512" s="25">
        <f>COUNTIFS(Tabela1[Mês],Tabela1[[#This Row],[Mês]],Tabela1[Fase atual],"Recebido")</f>
        <v>174</v>
      </c>
      <c r="AI1512" s="26">
        <f>Tabela1[[#This Row],[Recebido_ Mes]]/Tabela1[[#This Row],[Total_Mes]]</f>
        <v>0.78378378378378377</v>
      </c>
      <c r="AJ1512" s="19">
        <f>COUNTIFS(Tabela1[Fase atual],"Recebido",Tabela1[Mês],Tabela1[[#This Row],[Mês]],Tabela1[Ano],Tabela1[[#This Row],[Ano]])/COUNTIF(Tabela1[Mês],Tabela1[[#This Row],[Mês]])</f>
        <v>0.78378378378378377</v>
      </c>
      <c r="AK1512" s="20">
        <f>100%</f>
        <v>1</v>
      </c>
    </row>
    <row r="1513" spans="1:37" ht="18" customHeight="1" x14ac:dyDescent="0.25">
      <c r="A1513">
        <v>1292065047</v>
      </c>
      <c r="B1513" t="s">
        <v>665</v>
      </c>
      <c r="C1513" t="s">
        <v>666</v>
      </c>
      <c r="D1513" t="s">
        <v>40</v>
      </c>
      <c r="E1513" t="s">
        <v>31</v>
      </c>
      <c r="F1513" s="2">
        <v>46055.796081053239</v>
      </c>
      <c r="AC1513" s="24">
        <f t="shared" ca="1" si="47"/>
        <v>78.203918946761405</v>
      </c>
      <c r="AD1513" s="25" t="str">
        <f t="shared" ca="1" si="48"/>
        <v>&gt;60 dias</v>
      </c>
      <c r="AE1513" s="25">
        <f>MONTH(Tabela1[[#This Row],[Criado em]])</f>
        <v>2</v>
      </c>
      <c r="AF1513" s="25">
        <f>YEAR(Tabela1[[#This Row],[Criado em]])</f>
        <v>2026</v>
      </c>
      <c r="AG1513" s="25">
        <f>COUNTIFS(Tabela1[Mês],Tabela1[[#This Row],[Mês]])</f>
        <v>197</v>
      </c>
      <c r="AH1513" s="25">
        <f>COUNTIFS(Tabela1[Mês],Tabela1[[#This Row],[Mês]],Tabela1[Fase atual],"Recebido")</f>
        <v>124</v>
      </c>
      <c r="AI1513" s="26">
        <f>Tabela1[[#This Row],[Recebido_ Mes]]/Tabela1[[#This Row],[Total_Mes]]</f>
        <v>0.62944162436548223</v>
      </c>
      <c r="AJ1513" s="19">
        <f>COUNTIFS(Tabela1[Fase atual],"Recebido",Tabela1[Mês],Tabela1[[#This Row],[Mês]],Tabela1[Ano],Tabela1[[#This Row],[Ano]])/COUNTIF(Tabela1[Mês],Tabela1[[#This Row],[Mês]])</f>
        <v>0.62944162436548223</v>
      </c>
      <c r="AK1513" s="20">
        <f>100%</f>
        <v>1</v>
      </c>
    </row>
    <row r="1514" spans="1:37" ht="18" customHeight="1" x14ac:dyDescent="0.25">
      <c r="A1514">
        <v>1266705462</v>
      </c>
      <c r="B1514" t="s">
        <v>661</v>
      </c>
      <c r="C1514" t="s">
        <v>666</v>
      </c>
      <c r="D1514" t="s">
        <v>40</v>
      </c>
      <c r="E1514" t="s">
        <v>31</v>
      </c>
      <c r="F1514" s="2">
        <v>46001.797548680552</v>
      </c>
      <c r="AC1514" s="24">
        <f t="shared" ca="1" si="47"/>
        <v>132.2024513194483</v>
      </c>
      <c r="AD1514" s="25" t="str">
        <f t="shared" ca="1" si="48"/>
        <v>&gt;60 dias</v>
      </c>
      <c r="AE1514" s="25">
        <f>MONTH(Tabela1[[#This Row],[Criado em]])</f>
        <v>12</v>
      </c>
      <c r="AF1514" s="25">
        <f>YEAR(Tabela1[[#This Row],[Criado em]])</f>
        <v>2025</v>
      </c>
      <c r="AG1514" s="25">
        <f>COUNTIFS(Tabela1[Mês],Tabela1[[#This Row],[Mês]])</f>
        <v>207</v>
      </c>
      <c r="AH1514" s="25">
        <f>COUNTIFS(Tabela1[Mês],Tabela1[[#This Row],[Mês]],Tabela1[Fase atual],"Recebido")</f>
        <v>155</v>
      </c>
      <c r="AI1514" s="26">
        <f>Tabela1[[#This Row],[Recebido_ Mes]]/Tabela1[[#This Row],[Total_Mes]]</f>
        <v>0.74879227053140096</v>
      </c>
      <c r="AJ1514" s="19">
        <f>COUNTIFS(Tabela1[Fase atual],"Recebido",Tabela1[Mês],Tabela1[[#This Row],[Mês]],Tabela1[Ano],Tabela1[[#This Row],[Ano]])/COUNTIF(Tabela1[Mês],Tabela1[[#This Row],[Mês]])</f>
        <v>0.74879227053140096</v>
      </c>
      <c r="AK1514" s="20">
        <f>100%</f>
        <v>1</v>
      </c>
    </row>
    <row r="1515" spans="1:37" ht="18" customHeight="1" x14ac:dyDescent="0.25">
      <c r="A1515">
        <v>1216184440</v>
      </c>
      <c r="B1515" t="s">
        <v>162</v>
      </c>
      <c r="C1515" t="s">
        <v>2142</v>
      </c>
      <c r="D1515" t="s">
        <v>784</v>
      </c>
      <c r="E1515" t="s">
        <v>31</v>
      </c>
      <c r="F1515" s="2">
        <v>45917.849849861122</v>
      </c>
      <c r="AC1515" s="24">
        <f t="shared" ca="1" si="47"/>
        <v>216.15015013887751</v>
      </c>
      <c r="AD1515" s="25" t="str">
        <f t="shared" ca="1" si="48"/>
        <v>&gt;60 dias</v>
      </c>
      <c r="AE1515" s="25">
        <f>MONTH(Tabela1[[#This Row],[Criado em]])</f>
        <v>9</v>
      </c>
      <c r="AF1515" s="25">
        <f>YEAR(Tabela1[[#This Row],[Criado em]])</f>
        <v>2025</v>
      </c>
      <c r="AG1515" s="25">
        <f>COUNTIFS(Tabela1[Mês],Tabela1[[#This Row],[Mês]])</f>
        <v>197</v>
      </c>
      <c r="AH1515" s="25">
        <f>COUNTIFS(Tabela1[Mês],Tabela1[[#This Row],[Mês]],Tabela1[Fase atual],"Recebido")</f>
        <v>152</v>
      </c>
      <c r="AI1515" s="26">
        <f>Tabela1[[#This Row],[Recebido_ Mes]]/Tabela1[[#This Row],[Total_Mes]]</f>
        <v>0.77157360406091369</v>
      </c>
      <c r="AJ1515" s="19">
        <f>COUNTIFS(Tabela1[Fase atual],"Recebido",Tabela1[Mês],Tabela1[[#This Row],[Mês]],Tabela1[Ano],Tabela1[[#This Row],[Ano]])/COUNTIF(Tabela1[Mês],Tabela1[[#This Row],[Mês]])</f>
        <v>0.77157360406091369</v>
      </c>
      <c r="AK1515" s="20">
        <f>100%</f>
        <v>1</v>
      </c>
    </row>
    <row r="1516" spans="1:37" ht="18" customHeight="1" x14ac:dyDescent="0.25">
      <c r="A1516">
        <v>1248339350</v>
      </c>
      <c r="B1516" t="s">
        <v>162</v>
      </c>
      <c r="C1516" t="s">
        <v>2142</v>
      </c>
      <c r="D1516" t="s">
        <v>37</v>
      </c>
      <c r="E1516" t="s">
        <v>31</v>
      </c>
      <c r="F1516" s="2">
        <v>45961.920367141203</v>
      </c>
      <c r="AC1516" s="24">
        <f t="shared" ca="1" si="47"/>
        <v>172.07963285879669</v>
      </c>
      <c r="AD1516" s="25" t="str">
        <f t="shared" ca="1" si="48"/>
        <v>&gt;60 dias</v>
      </c>
      <c r="AE1516" s="25">
        <f>MONTH(Tabela1[[#This Row],[Criado em]])</f>
        <v>10</v>
      </c>
      <c r="AF1516" s="25">
        <f>YEAR(Tabela1[[#This Row],[Criado em]])</f>
        <v>2025</v>
      </c>
      <c r="AG1516" s="25">
        <f>COUNTIFS(Tabela1[Mês],Tabela1[[#This Row],[Mês]])</f>
        <v>196</v>
      </c>
      <c r="AH1516" s="25">
        <f>COUNTIFS(Tabela1[Mês],Tabela1[[#This Row],[Mês]],Tabela1[Fase atual],"Recebido")</f>
        <v>138</v>
      </c>
      <c r="AI1516" s="26">
        <f>Tabela1[[#This Row],[Recebido_ Mes]]/Tabela1[[#This Row],[Total_Mes]]</f>
        <v>0.70408163265306123</v>
      </c>
      <c r="AJ1516" s="19">
        <f>COUNTIFS(Tabela1[Fase atual],"Recebido",Tabela1[Mês],Tabela1[[#This Row],[Mês]],Tabela1[Ano],Tabela1[[#This Row],[Ano]])/COUNTIF(Tabela1[Mês],Tabela1[[#This Row],[Mês]])</f>
        <v>0.70408163265306123</v>
      </c>
      <c r="AK1516" s="20">
        <f>100%</f>
        <v>1</v>
      </c>
    </row>
    <row r="1517" spans="1:37" ht="18" customHeight="1" x14ac:dyDescent="0.25">
      <c r="A1517">
        <v>1282980957</v>
      </c>
      <c r="B1517" t="s">
        <v>162</v>
      </c>
      <c r="C1517" t="s">
        <v>667</v>
      </c>
      <c r="D1517" t="s">
        <v>37</v>
      </c>
      <c r="E1517" t="s">
        <v>31</v>
      </c>
      <c r="F1517" s="2">
        <v>46038.793655289352</v>
      </c>
      <c r="AC1517" s="24">
        <f t="shared" ca="1" si="47"/>
        <v>95.206344710648409</v>
      </c>
      <c r="AD1517" s="25" t="str">
        <f t="shared" ca="1" si="48"/>
        <v>&gt;60 dias</v>
      </c>
      <c r="AE1517" s="25">
        <f>MONTH(Tabela1[[#This Row],[Criado em]])</f>
        <v>1</v>
      </c>
      <c r="AF1517" s="25">
        <f>YEAR(Tabela1[[#This Row],[Criado em]])</f>
        <v>2026</v>
      </c>
      <c r="AG1517" s="25">
        <f>COUNTIFS(Tabela1[Mês],Tabela1[[#This Row],[Mês]])</f>
        <v>222</v>
      </c>
      <c r="AH1517" s="25">
        <f>COUNTIFS(Tabela1[Mês],Tabela1[[#This Row],[Mês]],Tabela1[Fase atual],"Recebido")</f>
        <v>174</v>
      </c>
      <c r="AI1517" s="26">
        <f>Tabela1[[#This Row],[Recebido_ Mes]]/Tabela1[[#This Row],[Total_Mes]]</f>
        <v>0.78378378378378377</v>
      </c>
      <c r="AJ1517" s="19">
        <f>COUNTIFS(Tabela1[Fase atual],"Recebido",Tabela1[Mês],Tabela1[[#This Row],[Mês]],Tabela1[Ano],Tabela1[[#This Row],[Ano]])/COUNTIF(Tabela1[Mês],Tabela1[[#This Row],[Mês]])</f>
        <v>0.78378378378378377</v>
      </c>
      <c r="AK1517" s="20">
        <f>100%</f>
        <v>1</v>
      </c>
    </row>
    <row r="1518" spans="1:37" ht="18" customHeight="1" x14ac:dyDescent="0.25">
      <c r="A1518">
        <v>1223940543</v>
      </c>
      <c r="B1518" t="s">
        <v>2143</v>
      </c>
      <c r="C1518" t="s">
        <v>2144</v>
      </c>
      <c r="D1518" t="s">
        <v>784</v>
      </c>
      <c r="E1518" t="s">
        <v>31</v>
      </c>
      <c r="F1518" s="2">
        <v>45929.850706898149</v>
      </c>
      <c r="AC1518" s="24">
        <f t="shared" ca="1" si="47"/>
        <v>204.14929310185107</v>
      </c>
      <c r="AD1518" s="25" t="str">
        <f t="shared" ca="1" si="48"/>
        <v>&gt;60 dias</v>
      </c>
      <c r="AE1518" s="25">
        <f>MONTH(Tabela1[[#This Row],[Criado em]])</f>
        <v>9</v>
      </c>
      <c r="AF1518" s="25">
        <f>YEAR(Tabela1[[#This Row],[Criado em]])</f>
        <v>2025</v>
      </c>
      <c r="AG1518" s="25">
        <f>COUNTIFS(Tabela1[Mês],Tabela1[[#This Row],[Mês]])</f>
        <v>197</v>
      </c>
      <c r="AH1518" s="25">
        <f>COUNTIFS(Tabela1[Mês],Tabela1[[#This Row],[Mês]],Tabela1[Fase atual],"Recebido")</f>
        <v>152</v>
      </c>
      <c r="AI1518" s="26">
        <f>Tabela1[[#This Row],[Recebido_ Mes]]/Tabela1[[#This Row],[Total_Mes]]</f>
        <v>0.77157360406091369</v>
      </c>
      <c r="AJ1518" s="19">
        <f>COUNTIFS(Tabela1[Fase atual],"Recebido",Tabela1[Mês],Tabela1[[#This Row],[Mês]],Tabela1[Ano],Tabela1[[#This Row],[Ano]])/COUNTIF(Tabela1[Mês],Tabela1[[#This Row],[Mês]])</f>
        <v>0.77157360406091369</v>
      </c>
      <c r="AK1518" s="20">
        <f>100%</f>
        <v>1</v>
      </c>
    </row>
    <row r="1519" spans="1:37" ht="18" customHeight="1" x14ac:dyDescent="0.25">
      <c r="A1519">
        <v>1270228037</v>
      </c>
      <c r="B1519" t="s">
        <v>162</v>
      </c>
      <c r="C1519" t="s">
        <v>2145</v>
      </c>
      <c r="D1519" t="s">
        <v>37</v>
      </c>
      <c r="E1519" t="s">
        <v>31</v>
      </c>
      <c r="F1519" s="2">
        <v>46009.843970393507</v>
      </c>
      <c r="AC1519" s="24">
        <f t="shared" ca="1" si="47"/>
        <v>124.15602960649267</v>
      </c>
      <c r="AD1519" s="25" t="str">
        <f t="shared" ca="1" si="48"/>
        <v>&gt;60 dias</v>
      </c>
      <c r="AE1519" s="25">
        <f>MONTH(Tabela1[[#This Row],[Criado em]])</f>
        <v>12</v>
      </c>
      <c r="AF1519" s="25">
        <f>YEAR(Tabela1[[#This Row],[Criado em]])</f>
        <v>2025</v>
      </c>
      <c r="AG1519" s="25">
        <f>COUNTIFS(Tabela1[Mês],Tabela1[[#This Row],[Mês]])</f>
        <v>207</v>
      </c>
      <c r="AH1519" s="25">
        <f>COUNTIFS(Tabela1[Mês],Tabela1[[#This Row],[Mês]],Tabela1[Fase atual],"Recebido")</f>
        <v>155</v>
      </c>
      <c r="AI1519" s="26">
        <f>Tabela1[[#This Row],[Recebido_ Mes]]/Tabela1[[#This Row],[Total_Mes]]</f>
        <v>0.74879227053140096</v>
      </c>
      <c r="AJ1519" s="19">
        <f>COUNTIFS(Tabela1[Fase atual],"Recebido",Tabela1[Mês],Tabela1[[#This Row],[Mês]],Tabela1[Ano],Tabela1[[#This Row],[Ano]])/COUNTIF(Tabela1[Mês],Tabela1[[#This Row],[Mês]])</f>
        <v>0.74879227053140096</v>
      </c>
      <c r="AK1519" s="20">
        <f>100%</f>
        <v>1</v>
      </c>
    </row>
    <row r="1520" spans="1:37" ht="18" customHeight="1" x14ac:dyDescent="0.25">
      <c r="A1520">
        <v>1288419382</v>
      </c>
      <c r="B1520" t="s">
        <v>668</v>
      </c>
      <c r="C1520" t="s">
        <v>2282</v>
      </c>
      <c r="D1520" t="s">
        <v>37</v>
      </c>
      <c r="E1520" t="s">
        <v>31</v>
      </c>
      <c r="F1520" s="2">
        <v>46048.919779363423</v>
      </c>
      <c r="AC1520" s="24">
        <f t="shared" ca="1" si="47"/>
        <v>85.080220636576996</v>
      </c>
      <c r="AD1520" s="25" t="str">
        <f t="shared" ca="1" si="48"/>
        <v>&gt;60 dias</v>
      </c>
      <c r="AE1520" s="25">
        <f>MONTH(Tabela1[[#This Row],[Criado em]])</f>
        <v>1</v>
      </c>
      <c r="AF1520" s="25">
        <f>YEAR(Tabela1[[#This Row],[Criado em]])</f>
        <v>2026</v>
      </c>
      <c r="AG1520" s="25">
        <f>COUNTIFS(Tabela1[Mês],Tabela1[[#This Row],[Mês]])</f>
        <v>222</v>
      </c>
      <c r="AH1520" s="25">
        <f>COUNTIFS(Tabela1[Mês],Tabela1[[#This Row],[Mês]],Tabela1[Fase atual],"Recebido")</f>
        <v>174</v>
      </c>
      <c r="AI1520" s="26">
        <f>Tabela1[[#This Row],[Recebido_ Mes]]/Tabela1[[#This Row],[Total_Mes]]</f>
        <v>0.78378378378378377</v>
      </c>
      <c r="AJ1520" s="19">
        <f>COUNTIFS(Tabela1[Fase atual],"Recebido",Tabela1[Mês],Tabela1[[#This Row],[Mês]],Tabela1[Ano],Tabela1[[#This Row],[Ano]])/COUNTIF(Tabela1[Mês],Tabela1[[#This Row],[Mês]])</f>
        <v>0.78378378378378377</v>
      </c>
      <c r="AK1520" s="20">
        <f>100%</f>
        <v>1</v>
      </c>
    </row>
    <row r="1521" spans="1:37" ht="18" customHeight="1" x14ac:dyDescent="0.25">
      <c r="A1521">
        <v>1217095115</v>
      </c>
      <c r="B1521" t="s">
        <v>668</v>
      </c>
      <c r="C1521" t="s">
        <v>2146</v>
      </c>
      <c r="D1521" t="s">
        <v>37</v>
      </c>
      <c r="E1521" t="s">
        <v>441</v>
      </c>
      <c r="F1521" s="2">
        <v>45919.51710261574</v>
      </c>
      <c r="AC1521" s="24">
        <f t="shared" ca="1" si="47"/>
        <v>214.48289738425956</v>
      </c>
      <c r="AD1521" s="25" t="str">
        <f t="shared" ca="1" si="48"/>
        <v>&gt;60 dias</v>
      </c>
      <c r="AE1521" s="25">
        <f>MONTH(Tabela1[[#This Row],[Criado em]])</f>
        <v>9</v>
      </c>
      <c r="AF1521" s="25">
        <f>YEAR(Tabela1[[#This Row],[Criado em]])</f>
        <v>2025</v>
      </c>
      <c r="AG1521" s="25">
        <f>COUNTIFS(Tabela1[Mês],Tabela1[[#This Row],[Mês]])</f>
        <v>197</v>
      </c>
      <c r="AH1521" s="25">
        <f>COUNTIFS(Tabela1[Mês],Tabela1[[#This Row],[Mês]],Tabela1[Fase atual],"Recebido")</f>
        <v>152</v>
      </c>
      <c r="AI1521" s="26">
        <f>Tabela1[[#This Row],[Recebido_ Mes]]/Tabela1[[#This Row],[Total_Mes]]</f>
        <v>0.77157360406091369</v>
      </c>
      <c r="AJ1521" s="19">
        <f>COUNTIFS(Tabela1[Fase atual],"Recebido",Tabela1[Mês],Tabela1[[#This Row],[Mês]],Tabela1[Ano],Tabela1[[#This Row],[Ano]])/COUNTIF(Tabela1[Mês],Tabela1[[#This Row],[Mês]])</f>
        <v>0.77157360406091369</v>
      </c>
      <c r="AK1521" s="20">
        <f>100%</f>
        <v>1</v>
      </c>
    </row>
    <row r="1522" spans="1:37" ht="18" customHeight="1" x14ac:dyDescent="0.25">
      <c r="A1522">
        <v>1176109136</v>
      </c>
      <c r="B1522" t="s">
        <v>668</v>
      </c>
      <c r="C1522" t="s">
        <v>2147</v>
      </c>
      <c r="D1522" t="s">
        <v>37</v>
      </c>
      <c r="E1522" t="s">
        <v>31</v>
      </c>
      <c r="F1522" s="2">
        <v>45852.749083344897</v>
      </c>
      <c r="AC1522" s="24">
        <f t="shared" ca="1" si="47"/>
        <v>281.25091665510263</v>
      </c>
      <c r="AD1522" s="25" t="str">
        <f t="shared" ca="1" si="48"/>
        <v>&gt;60 dias</v>
      </c>
      <c r="AE1522" s="25">
        <f>MONTH(Tabela1[[#This Row],[Criado em]])</f>
        <v>7</v>
      </c>
      <c r="AF1522" s="25">
        <f>YEAR(Tabela1[[#This Row],[Criado em]])</f>
        <v>2025</v>
      </c>
      <c r="AG1522" s="25">
        <f>COUNTIFS(Tabela1[Mês],Tabela1[[#This Row],[Mês]])</f>
        <v>177</v>
      </c>
      <c r="AH1522" s="25">
        <f>COUNTIFS(Tabela1[Mês],Tabela1[[#This Row],[Mês]],Tabela1[Fase atual],"Recebido")</f>
        <v>130</v>
      </c>
      <c r="AI1522" s="26">
        <f>Tabela1[[#This Row],[Recebido_ Mes]]/Tabela1[[#This Row],[Total_Mes]]</f>
        <v>0.7344632768361582</v>
      </c>
      <c r="AJ1522" s="19">
        <f>COUNTIFS(Tabela1[Fase atual],"Recebido",Tabela1[Mês],Tabela1[[#This Row],[Mês]],Tabela1[Ano],Tabela1[[#This Row],[Ano]])/COUNTIF(Tabela1[Mês],Tabela1[[#This Row],[Mês]])</f>
        <v>0.7344632768361582</v>
      </c>
      <c r="AK1522" s="20">
        <f>100%</f>
        <v>1</v>
      </c>
    </row>
    <row r="1523" spans="1:37" ht="18" customHeight="1" x14ac:dyDescent="0.25">
      <c r="A1523">
        <v>1211721756</v>
      </c>
      <c r="B1523" t="s">
        <v>668</v>
      </c>
      <c r="C1523" t="s">
        <v>2148</v>
      </c>
      <c r="D1523" t="s">
        <v>37</v>
      </c>
      <c r="E1523" t="s">
        <v>441</v>
      </c>
      <c r="F1523" s="2">
        <v>45910.572354537027</v>
      </c>
      <c r="AC1523" s="24">
        <f t="shared" ca="1" si="47"/>
        <v>223.42764546297258</v>
      </c>
      <c r="AD1523" s="25" t="str">
        <f t="shared" ca="1" si="48"/>
        <v>&gt;60 dias</v>
      </c>
      <c r="AE1523" s="25">
        <f>MONTH(Tabela1[[#This Row],[Criado em]])</f>
        <v>9</v>
      </c>
      <c r="AF1523" s="25">
        <f>YEAR(Tabela1[[#This Row],[Criado em]])</f>
        <v>2025</v>
      </c>
      <c r="AG1523" s="25">
        <f>COUNTIFS(Tabela1[Mês],Tabela1[[#This Row],[Mês]])</f>
        <v>197</v>
      </c>
      <c r="AH1523" s="25">
        <f>COUNTIFS(Tabela1[Mês],Tabela1[[#This Row],[Mês]],Tabela1[Fase atual],"Recebido")</f>
        <v>152</v>
      </c>
      <c r="AI1523" s="26">
        <f>Tabela1[[#This Row],[Recebido_ Mes]]/Tabela1[[#This Row],[Total_Mes]]</f>
        <v>0.77157360406091369</v>
      </c>
      <c r="AJ1523" s="19">
        <f>COUNTIFS(Tabela1[Fase atual],"Recebido",Tabela1[Mês],Tabela1[[#This Row],[Mês]],Tabela1[Ano],Tabela1[[#This Row],[Ano]])/COUNTIF(Tabela1[Mês],Tabela1[[#This Row],[Mês]])</f>
        <v>0.77157360406091369</v>
      </c>
      <c r="AK1523" s="20">
        <f>100%</f>
        <v>1</v>
      </c>
    </row>
    <row r="1524" spans="1:37" ht="18" customHeight="1" x14ac:dyDescent="0.25">
      <c r="A1524">
        <v>1270478146</v>
      </c>
      <c r="B1524" t="s">
        <v>2149</v>
      </c>
      <c r="C1524" t="s">
        <v>2150</v>
      </c>
      <c r="D1524" t="s">
        <v>37</v>
      </c>
      <c r="E1524" t="s">
        <v>31</v>
      </c>
      <c r="F1524" s="2">
        <v>46010.553857824067</v>
      </c>
      <c r="AC1524" s="24">
        <f t="shared" ca="1" si="47"/>
        <v>123.44614217593335</v>
      </c>
      <c r="AD1524" s="25" t="str">
        <f t="shared" ca="1" si="48"/>
        <v>&gt;60 dias</v>
      </c>
      <c r="AE1524" s="25">
        <f>MONTH(Tabela1[[#This Row],[Criado em]])</f>
        <v>12</v>
      </c>
      <c r="AF1524" s="25">
        <f>YEAR(Tabela1[[#This Row],[Criado em]])</f>
        <v>2025</v>
      </c>
      <c r="AG1524" s="25">
        <f>COUNTIFS(Tabela1[Mês],Tabela1[[#This Row],[Mês]])</f>
        <v>207</v>
      </c>
      <c r="AH1524" s="25">
        <f>COUNTIFS(Tabela1[Mês],Tabela1[[#This Row],[Mês]],Tabela1[Fase atual],"Recebido")</f>
        <v>155</v>
      </c>
      <c r="AI1524" s="26">
        <f>Tabela1[[#This Row],[Recebido_ Mes]]/Tabela1[[#This Row],[Total_Mes]]</f>
        <v>0.74879227053140096</v>
      </c>
      <c r="AJ1524" s="19">
        <f>COUNTIFS(Tabela1[Fase atual],"Recebido",Tabela1[Mês],Tabela1[[#This Row],[Mês]],Tabela1[Ano],Tabela1[[#This Row],[Ano]])/COUNTIF(Tabela1[Mês],Tabela1[[#This Row],[Mês]])</f>
        <v>0.74879227053140096</v>
      </c>
      <c r="AK1524" s="20">
        <f>100%</f>
        <v>1</v>
      </c>
    </row>
    <row r="1525" spans="1:37" ht="18" customHeight="1" x14ac:dyDescent="0.25">
      <c r="A1525">
        <v>1270581034</v>
      </c>
      <c r="B1525" t="s">
        <v>2149</v>
      </c>
      <c r="C1525" t="s">
        <v>2150</v>
      </c>
      <c r="D1525" t="s">
        <v>37</v>
      </c>
      <c r="E1525" t="s">
        <v>31</v>
      </c>
      <c r="F1525" s="2">
        <v>46010.631419641199</v>
      </c>
      <c r="AC1525" s="24">
        <f t="shared" ca="1" si="47"/>
        <v>123.36858035880141</v>
      </c>
      <c r="AD1525" s="25" t="str">
        <f t="shared" ca="1" si="48"/>
        <v>&gt;60 dias</v>
      </c>
      <c r="AE1525" s="25">
        <f>MONTH(Tabela1[[#This Row],[Criado em]])</f>
        <v>12</v>
      </c>
      <c r="AF1525" s="25">
        <f>YEAR(Tabela1[[#This Row],[Criado em]])</f>
        <v>2025</v>
      </c>
      <c r="AG1525" s="25">
        <f>COUNTIFS(Tabela1[Mês],Tabela1[[#This Row],[Mês]])</f>
        <v>207</v>
      </c>
      <c r="AH1525" s="25">
        <f>COUNTIFS(Tabela1[Mês],Tabela1[[#This Row],[Mês]],Tabela1[Fase atual],"Recebido")</f>
        <v>155</v>
      </c>
      <c r="AI1525" s="26">
        <f>Tabela1[[#This Row],[Recebido_ Mes]]/Tabela1[[#This Row],[Total_Mes]]</f>
        <v>0.74879227053140096</v>
      </c>
      <c r="AJ1525" s="19">
        <f>COUNTIFS(Tabela1[Fase atual],"Recebido",Tabela1[Mês],Tabela1[[#This Row],[Mês]],Tabela1[Ano],Tabela1[[#This Row],[Ano]])/COUNTIF(Tabela1[Mês],Tabela1[[#This Row],[Mês]])</f>
        <v>0.74879227053140096</v>
      </c>
      <c r="AK1525" s="20">
        <f>100%</f>
        <v>1</v>
      </c>
    </row>
    <row r="1526" spans="1:37" ht="18" customHeight="1" x14ac:dyDescent="0.25">
      <c r="A1526">
        <v>1172781947</v>
      </c>
      <c r="B1526" t="s">
        <v>272</v>
      </c>
      <c r="C1526" t="s">
        <v>2151</v>
      </c>
      <c r="D1526" t="s">
        <v>37</v>
      </c>
      <c r="E1526" t="s">
        <v>31</v>
      </c>
      <c r="F1526" s="2">
        <v>45845.852134421293</v>
      </c>
      <c r="AC1526" s="24">
        <f t="shared" ca="1" si="47"/>
        <v>288.14786557870684</v>
      </c>
      <c r="AD1526" s="25" t="str">
        <f t="shared" ca="1" si="48"/>
        <v>&gt;60 dias</v>
      </c>
      <c r="AE1526" s="25">
        <f>MONTH(Tabela1[[#This Row],[Criado em]])</f>
        <v>7</v>
      </c>
      <c r="AF1526" s="25">
        <f>YEAR(Tabela1[[#This Row],[Criado em]])</f>
        <v>2025</v>
      </c>
      <c r="AG1526" s="25">
        <f>COUNTIFS(Tabela1[Mês],Tabela1[[#This Row],[Mês]])</f>
        <v>177</v>
      </c>
      <c r="AH1526" s="25">
        <f>COUNTIFS(Tabela1[Mês],Tabela1[[#This Row],[Mês]],Tabela1[Fase atual],"Recebido")</f>
        <v>130</v>
      </c>
      <c r="AI1526" s="26">
        <f>Tabela1[[#This Row],[Recebido_ Mes]]/Tabela1[[#This Row],[Total_Mes]]</f>
        <v>0.7344632768361582</v>
      </c>
      <c r="AJ1526" s="19">
        <f>COUNTIFS(Tabela1[Fase atual],"Recebido",Tabela1[Mês],Tabela1[[#This Row],[Mês]],Tabela1[Ano],Tabela1[[#This Row],[Ano]])/COUNTIF(Tabela1[Mês],Tabela1[[#This Row],[Mês]])</f>
        <v>0.7344632768361582</v>
      </c>
      <c r="AK1526" s="20">
        <f>100%</f>
        <v>1</v>
      </c>
    </row>
    <row r="1527" spans="1:37" ht="18" customHeight="1" x14ac:dyDescent="0.25">
      <c r="A1527">
        <v>1248230209</v>
      </c>
      <c r="B1527" t="s">
        <v>272</v>
      </c>
      <c r="C1527" t="s">
        <v>2151</v>
      </c>
      <c r="D1527" t="s">
        <v>37</v>
      </c>
      <c r="E1527" t="s">
        <v>31</v>
      </c>
      <c r="F1527" s="2">
        <v>45961.795398622693</v>
      </c>
      <c r="AC1527" s="24">
        <f t="shared" ca="1" si="47"/>
        <v>172.20460137730697</v>
      </c>
      <c r="AD1527" s="25" t="str">
        <f t="shared" ca="1" si="48"/>
        <v>&gt;60 dias</v>
      </c>
      <c r="AE1527" s="25">
        <f>MONTH(Tabela1[[#This Row],[Criado em]])</f>
        <v>10</v>
      </c>
      <c r="AF1527" s="25">
        <f>YEAR(Tabela1[[#This Row],[Criado em]])</f>
        <v>2025</v>
      </c>
      <c r="AG1527" s="25">
        <f>COUNTIFS(Tabela1[Mês],Tabela1[[#This Row],[Mês]])</f>
        <v>196</v>
      </c>
      <c r="AH1527" s="25">
        <f>COUNTIFS(Tabela1[Mês],Tabela1[[#This Row],[Mês]],Tabela1[Fase atual],"Recebido")</f>
        <v>138</v>
      </c>
      <c r="AI1527" s="26">
        <f>Tabela1[[#This Row],[Recebido_ Mes]]/Tabela1[[#This Row],[Total_Mes]]</f>
        <v>0.70408163265306123</v>
      </c>
      <c r="AJ1527" s="19">
        <f>COUNTIFS(Tabela1[Fase atual],"Recebido",Tabela1[Mês],Tabela1[[#This Row],[Mês]],Tabela1[Ano],Tabela1[[#This Row],[Ano]])/COUNTIF(Tabela1[Mês],Tabela1[[#This Row],[Mês]])</f>
        <v>0.70408163265306123</v>
      </c>
      <c r="AK1527" s="20">
        <f>100%</f>
        <v>1</v>
      </c>
    </row>
    <row r="1528" spans="1:37" ht="18" customHeight="1" x14ac:dyDescent="0.25">
      <c r="A1528">
        <v>1182151713</v>
      </c>
      <c r="B1528" t="s">
        <v>2152</v>
      </c>
      <c r="C1528" t="s">
        <v>2153</v>
      </c>
      <c r="D1528" t="s">
        <v>37</v>
      </c>
      <c r="E1528" t="s">
        <v>31</v>
      </c>
      <c r="F1528" s="2">
        <v>45861.852225879629</v>
      </c>
      <c r="AC1528" s="24">
        <f t="shared" ca="1" si="47"/>
        <v>272.14777412037074</v>
      </c>
      <c r="AD1528" s="25" t="str">
        <f t="shared" ca="1" si="48"/>
        <v>&gt;60 dias</v>
      </c>
      <c r="AE1528" s="25">
        <f>MONTH(Tabela1[[#This Row],[Criado em]])</f>
        <v>7</v>
      </c>
      <c r="AF1528" s="25">
        <f>YEAR(Tabela1[[#This Row],[Criado em]])</f>
        <v>2025</v>
      </c>
      <c r="AG1528" s="25">
        <f>COUNTIFS(Tabela1[Mês],Tabela1[[#This Row],[Mês]])</f>
        <v>177</v>
      </c>
      <c r="AH1528" s="25">
        <f>COUNTIFS(Tabela1[Mês],Tabela1[[#This Row],[Mês]],Tabela1[Fase atual],"Recebido")</f>
        <v>130</v>
      </c>
      <c r="AI1528" s="26">
        <f>Tabela1[[#This Row],[Recebido_ Mes]]/Tabela1[[#This Row],[Total_Mes]]</f>
        <v>0.7344632768361582</v>
      </c>
      <c r="AJ1528" s="19">
        <f>COUNTIFS(Tabela1[Fase atual],"Recebido",Tabela1[Mês],Tabela1[[#This Row],[Mês]],Tabela1[Ano],Tabela1[[#This Row],[Ano]])/COUNTIF(Tabela1[Mês],Tabela1[[#This Row],[Mês]])</f>
        <v>0.7344632768361582</v>
      </c>
      <c r="AK1528" s="20">
        <f>100%</f>
        <v>1</v>
      </c>
    </row>
    <row r="1529" spans="1:37" ht="18" customHeight="1" x14ac:dyDescent="0.25">
      <c r="A1529">
        <v>1270411875</v>
      </c>
      <c r="B1529" t="s">
        <v>2154</v>
      </c>
      <c r="C1529" t="s">
        <v>2155</v>
      </c>
      <c r="D1529" t="s">
        <v>40</v>
      </c>
      <c r="E1529" t="s">
        <v>31</v>
      </c>
      <c r="F1529" s="2">
        <v>46010.514644594907</v>
      </c>
      <c r="AC1529" s="24">
        <f t="shared" ca="1" si="47"/>
        <v>123.48535540509329</v>
      </c>
      <c r="AD1529" s="25" t="str">
        <f t="shared" ca="1" si="48"/>
        <v>&gt;60 dias</v>
      </c>
      <c r="AE1529" s="25">
        <f>MONTH(Tabela1[[#This Row],[Criado em]])</f>
        <v>12</v>
      </c>
      <c r="AF1529" s="25">
        <f>YEAR(Tabela1[[#This Row],[Criado em]])</f>
        <v>2025</v>
      </c>
      <c r="AG1529" s="25">
        <f>COUNTIFS(Tabela1[Mês],Tabela1[[#This Row],[Mês]])</f>
        <v>207</v>
      </c>
      <c r="AH1529" s="25">
        <f>COUNTIFS(Tabela1[Mês],Tabela1[[#This Row],[Mês]],Tabela1[Fase atual],"Recebido")</f>
        <v>155</v>
      </c>
      <c r="AI1529" s="26">
        <f>Tabela1[[#This Row],[Recebido_ Mes]]/Tabela1[[#This Row],[Total_Mes]]</f>
        <v>0.74879227053140096</v>
      </c>
      <c r="AJ1529" s="19">
        <f>COUNTIFS(Tabela1[Fase atual],"Recebido",Tabela1[Mês],Tabela1[[#This Row],[Mês]],Tabela1[Ano],Tabela1[[#This Row],[Ano]])/COUNTIF(Tabela1[Mês],Tabela1[[#This Row],[Mês]])</f>
        <v>0.74879227053140096</v>
      </c>
      <c r="AK1529" s="20">
        <f>100%</f>
        <v>1</v>
      </c>
    </row>
    <row r="1530" spans="1:37" ht="18" customHeight="1" x14ac:dyDescent="0.25">
      <c r="A1530">
        <v>1198094651</v>
      </c>
      <c r="B1530" t="s">
        <v>1348</v>
      </c>
      <c r="C1530" t="s">
        <v>2156</v>
      </c>
      <c r="D1530" t="s">
        <v>784</v>
      </c>
      <c r="E1530" t="s">
        <v>31</v>
      </c>
      <c r="F1530" s="2">
        <v>45888.851107905088</v>
      </c>
      <c r="AC1530" s="24">
        <f t="shared" ca="1" si="47"/>
        <v>245.1488920949123</v>
      </c>
      <c r="AD1530" s="25" t="str">
        <f t="shared" ca="1" si="48"/>
        <v>&gt;60 dias</v>
      </c>
      <c r="AE1530" s="25">
        <f>MONTH(Tabela1[[#This Row],[Criado em]])</f>
        <v>8</v>
      </c>
      <c r="AF1530" s="25">
        <f>YEAR(Tabela1[[#This Row],[Criado em]])</f>
        <v>2025</v>
      </c>
      <c r="AG1530" s="25">
        <f>COUNTIFS(Tabela1[Mês],Tabela1[[#This Row],[Mês]])</f>
        <v>146</v>
      </c>
      <c r="AH1530" s="25">
        <f>COUNTIFS(Tabela1[Mês],Tabela1[[#This Row],[Mês]],Tabela1[Fase atual],"Recebido")</f>
        <v>115</v>
      </c>
      <c r="AI1530" s="26">
        <f>Tabela1[[#This Row],[Recebido_ Mes]]/Tabela1[[#This Row],[Total_Mes]]</f>
        <v>0.78767123287671237</v>
      </c>
      <c r="AJ1530" s="19">
        <f>COUNTIFS(Tabela1[Fase atual],"Recebido",Tabela1[Mês],Tabela1[[#This Row],[Mês]],Tabela1[Ano],Tabela1[[#This Row],[Ano]])/COUNTIF(Tabela1[Mês],Tabela1[[#This Row],[Mês]])</f>
        <v>0.78767123287671237</v>
      </c>
      <c r="AK1530" s="20">
        <f>100%</f>
        <v>1</v>
      </c>
    </row>
    <row r="1531" spans="1:37" ht="18" customHeight="1" x14ac:dyDescent="0.25">
      <c r="A1531">
        <v>1185363457</v>
      </c>
      <c r="B1531" t="s">
        <v>2157</v>
      </c>
      <c r="C1531" t="s">
        <v>2158</v>
      </c>
      <c r="D1531" t="s">
        <v>37</v>
      </c>
      <c r="E1531" t="s">
        <v>31</v>
      </c>
      <c r="F1531" s="2">
        <v>45867.850261412037</v>
      </c>
      <c r="AC1531" s="24">
        <f t="shared" ca="1" si="47"/>
        <v>266.14973858796293</v>
      </c>
      <c r="AD1531" s="25" t="str">
        <f t="shared" ca="1" si="48"/>
        <v>&gt;60 dias</v>
      </c>
      <c r="AE1531" s="25">
        <f>MONTH(Tabela1[[#This Row],[Criado em]])</f>
        <v>7</v>
      </c>
      <c r="AF1531" s="25">
        <f>YEAR(Tabela1[[#This Row],[Criado em]])</f>
        <v>2025</v>
      </c>
      <c r="AG1531" s="25">
        <f>COUNTIFS(Tabela1[Mês],Tabela1[[#This Row],[Mês]])</f>
        <v>177</v>
      </c>
      <c r="AH1531" s="25">
        <f>COUNTIFS(Tabela1[Mês],Tabela1[[#This Row],[Mês]],Tabela1[Fase atual],"Recebido")</f>
        <v>130</v>
      </c>
      <c r="AI1531" s="26">
        <f>Tabela1[[#This Row],[Recebido_ Mes]]/Tabela1[[#This Row],[Total_Mes]]</f>
        <v>0.7344632768361582</v>
      </c>
      <c r="AJ1531" s="19">
        <f>COUNTIFS(Tabela1[Fase atual],"Recebido",Tabela1[Mês],Tabela1[[#This Row],[Mês]],Tabela1[Ano],Tabela1[[#This Row],[Ano]])/COUNTIF(Tabela1[Mês],Tabela1[[#This Row],[Mês]])</f>
        <v>0.7344632768361582</v>
      </c>
      <c r="AK1531" s="20">
        <f>100%</f>
        <v>1</v>
      </c>
    </row>
    <row r="1532" spans="1:37" ht="18" customHeight="1" x14ac:dyDescent="0.25">
      <c r="A1532">
        <v>1240025682</v>
      </c>
      <c r="B1532" t="s">
        <v>2157</v>
      </c>
      <c r="C1532" t="s">
        <v>2159</v>
      </c>
      <c r="D1532" t="s">
        <v>784</v>
      </c>
      <c r="E1532" t="s">
        <v>31</v>
      </c>
      <c r="F1532" s="2">
        <v>45950.793726111107</v>
      </c>
      <c r="AC1532" s="24">
        <f t="shared" ca="1" si="47"/>
        <v>183.20627388889261</v>
      </c>
      <c r="AD1532" s="25" t="str">
        <f t="shared" ca="1" si="48"/>
        <v>&gt;60 dias</v>
      </c>
      <c r="AE1532" s="25">
        <f>MONTH(Tabela1[[#This Row],[Criado em]])</f>
        <v>10</v>
      </c>
      <c r="AF1532" s="25">
        <f>YEAR(Tabela1[[#This Row],[Criado em]])</f>
        <v>2025</v>
      </c>
      <c r="AG1532" s="25">
        <f>COUNTIFS(Tabela1[Mês],Tabela1[[#This Row],[Mês]])</f>
        <v>196</v>
      </c>
      <c r="AH1532" s="25">
        <f>COUNTIFS(Tabela1[Mês],Tabela1[[#This Row],[Mês]],Tabela1[Fase atual],"Recebido")</f>
        <v>138</v>
      </c>
      <c r="AI1532" s="26">
        <f>Tabela1[[#This Row],[Recebido_ Mes]]/Tabela1[[#This Row],[Total_Mes]]</f>
        <v>0.70408163265306123</v>
      </c>
      <c r="AJ1532" s="19">
        <f>COUNTIFS(Tabela1[Fase atual],"Recebido",Tabela1[Mês],Tabela1[[#This Row],[Mês]],Tabela1[Ano],Tabela1[[#This Row],[Ano]])/COUNTIF(Tabela1[Mês],Tabela1[[#This Row],[Mês]])</f>
        <v>0.70408163265306123</v>
      </c>
      <c r="AK1532" s="20">
        <f>100%</f>
        <v>1</v>
      </c>
    </row>
    <row r="1533" spans="1:37" ht="18" customHeight="1" x14ac:dyDescent="0.25">
      <c r="A1533">
        <v>1225456138</v>
      </c>
      <c r="B1533" t="s">
        <v>2160</v>
      </c>
      <c r="C1533" t="s">
        <v>2161</v>
      </c>
      <c r="D1533" t="s">
        <v>37</v>
      </c>
      <c r="E1533" t="s">
        <v>31</v>
      </c>
      <c r="F1533" s="2">
        <v>45931.851313981482</v>
      </c>
      <c r="AC1533" s="24">
        <f t="shared" ca="1" si="47"/>
        <v>202.14868601851776</v>
      </c>
      <c r="AD1533" s="25" t="str">
        <f t="shared" ca="1" si="48"/>
        <v>&gt;60 dias</v>
      </c>
      <c r="AE1533" s="25">
        <f>MONTH(Tabela1[[#This Row],[Criado em]])</f>
        <v>10</v>
      </c>
      <c r="AF1533" s="25">
        <f>YEAR(Tabela1[[#This Row],[Criado em]])</f>
        <v>2025</v>
      </c>
      <c r="AG1533" s="25">
        <f>COUNTIFS(Tabela1[Mês],Tabela1[[#This Row],[Mês]])</f>
        <v>196</v>
      </c>
      <c r="AH1533" s="25">
        <f>COUNTIFS(Tabela1[Mês],Tabela1[[#This Row],[Mês]],Tabela1[Fase atual],"Recebido")</f>
        <v>138</v>
      </c>
      <c r="AI1533" s="26">
        <f>Tabela1[[#This Row],[Recebido_ Mes]]/Tabela1[[#This Row],[Total_Mes]]</f>
        <v>0.70408163265306123</v>
      </c>
      <c r="AJ1533" s="19">
        <f>COUNTIFS(Tabela1[Fase atual],"Recebido",Tabela1[Mês],Tabela1[[#This Row],[Mês]],Tabela1[Ano],Tabela1[[#This Row],[Ano]])/COUNTIF(Tabela1[Mês],Tabela1[[#This Row],[Mês]])</f>
        <v>0.70408163265306123</v>
      </c>
      <c r="AK1533" s="20">
        <f>100%</f>
        <v>1</v>
      </c>
    </row>
    <row r="1534" spans="1:37" ht="18" customHeight="1" x14ac:dyDescent="0.25">
      <c r="A1534">
        <v>1194838699</v>
      </c>
      <c r="B1534" t="s">
        <v>2162</v>
      </c>
      <c r="C1534" t="s">
        <v>2163</v>
      </c>
      <c r="D1534" t="s">
        <v>37</v>
      </c>
      <c r="E1534" t="s">
        <v>31</v>
      </c>
      <c r="F1534" s="2">
        <v>45883.017263298607</v>
      </c>
      <c r="AC1534" s="24">
        <f t="shared" ca="1" si="47"/>
        <v>250.98273670139315</v>
      </c>
      <c r="AD1534" s="25" t="str">
        <f t="shared" ca="1" si="48"/>
        <v>&gt;60 dias</v>
      </c>
      <c r="AE1534" s="25">
        <f>MONTH(Tabela1[[#This Row],[Criado em]])</f>
        <v>8</v>
      </c>
      <c r="AF1534" s="25">
        <f>YEAR(Tabela1[[#This Row],[Criado em]])</f>
        <v>2025</v>
      </c>
      <c r="AG1534" s="25">
        <f>COUNTIFS(Tabela1[Mês],Tabela1[[#This Row],[Mês]])</f>
        <v>146</v>
      </c>
      <c r="AH1534" s="25">
        <f>COUNTIFS(Tabela1[Mês],Tabela1[[#This Row],[Mês]],Tabela1[Fase atual],"Recebido")</f>
        <v>115</v>
      </c>
      <c r="AI1534" s="26">
        <f>Tabela1[[#This Row],[Recebido_ Mes]]/Tabela1[[#This Row],[Total_Mes]]</f>
        <v>0.78767123287671237</v>
      </c>
      <c r="AJ1534" s="19">
        <f>COUNTIFS(Tabela1[Fase atual],"Recebido",Tabela1[Mês],Tabela1[[#This Row],[Mês]],Tabela1[Ano],Tabela1[[#This Row],[Ano]])/COUNTIF(Tabela1[Mês],Tabela1[[#This Row],[Mês]])</f>
        <v>0.78767123287671237</v>
      </c>
      <c r="AK1534" s="20">
        <f>100%</f>
        <v>1</v>
      </c>
    </row>
    <row r="1535" spans="1:37" ht="18" customHeight="1" x14ac:dyDescent="0.25">
      <c r="A1535">
        <v>1250548230</v>
      </c>
      <c r="B1535" t="s">
        <v>2164</v>
      </c>
      <c r="C1535" t="s">
        <v>2165</v>
      </c>
      <c r="D1535" t="s">
        <v>37</v>
      </c>
      <c r="E1535" t="s">
        <v>31</v>
      </c>
      <c r="F1535" s="2">
        <v>45966.918714907413</v>
      </c>
      <c r="AC1535" s="24">
        <f t="shared" ca="1" si="47"/>
        <v>167.08128509258677</v>
      </c>
      <c r="AD1535" s="25" t="str">
        <f t="shared" ca="1" si="48"/>
        <v>&gt;60 dias</v>
      </c>
      <c r="AE1535" s="25">
        <f>MONTH(Tabela1[[#This Row],[Criado em]])</f>
        <v>11</v>
      </c>
      <c r="AF1535" s="25">
        <f>YEAR(Tabela1[[#This Row],[Criado em]])</f>
        <v>2025</v>
      </c>
      <c r="AG1535" s="25">
        <f>COUNTIFS(Tabela1[Mês],Tabela1[[#This Row],[Mês]])</f>
        <v>130</v>
      </c>
      <c r="AH1535" s="25">
        <f>COUNTIFS(Tabela1[Mês],Tabela1[[#This Row],[Mês]],Tabela1[Fase atual],"Recebido")</f>
        <v>100</v>
      </c>
      <c r="AI1535" s="26">
        <f>Tabela1[[#This Row],[Recebido_ Mes]]/Tabela1[[#This Row],[Total_Mes]]</f>
        <v>0.76923076923076927</v>
      </c>
      <c r="AJ1535" s="19">
        <f>COUNTIFS(Tabela1[Fase atual],"Recebido",Tabela1[Mês],Tabela1[[#This Row],[Mês]],Tabela1[Ano],Tabela1[[#This Row],[Ano]])/COUNTIF(Tabela1[Mês],Tabela1[[#This Row],[Mês]])</f>
        <v>0.76923076923076927</v>
      </c>
      <c r="AK1535" s="20">
        <f>100%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4A2A-0A6D-4548-8135-3847A5BE4E93}">
  <dimension ref="A1:H20"/>
  <sheetViews>
    <sheetView showGridLines="0" zoomScale="85" zoomScaleNormal="85" workbookViewId="0">
      <selection activeCell="J5" sqref="J5"/>
    </sheetView>
  </sheetViews>
  <sheetFormatPr defaultRowHeight="13.8" x14ac:dyDescent="0.25"/>
  <cols>
    <col min="1" max="1" width="25.09765625" bestFit="1" customWidth="1"/>
    <col min="2" max="2" width="19.5" bestFit="1" customWidth="1"/>
    <col min="3" max="3" width="23.5" bestFit="1" customWidth="1"/>
    <col min="4" max="4" width="28.59765625" bestFit="1" customWidth="1"/>
    <col min="5" max="5" width="19.69921875" bestFit="1" customWidth="1"/>
    <col min="6" max="6" width="20.09765625" bestFit="1" customWidth="1"/>
    <col min="7" max="7" width="20.8984375" bestFit="1" customWidth="1"/>
    <col min="8" max="8" width="10.69921875" bestFit="1" customWidth="1"/>
    <col min="9" max="9" width="19.69921875" bestFit="1" customWidth="1"/>
    <col min="10" max="10" width="24.69921875" bestFit="1" customWidth="1"/>
    <col min="11" max="11" width="19.69921875" bestFit="1" customWidth="1"/>
    <col min="12" max="12" width="24.69921875" bestFit="1" customWidth="1"/>
    <col min="13" max="13" width="19.69921875" bestFit="1" customWidth="1"/>
    <col min="14" max="14" width="29.69921875" bestFit="1" customWidth="1"/>
    <col min="15" max="15" width="24.59765625" bestFit="1" customWidth="1"/>
    <col min="16" max="16" width="18.69921875" bestFit="1" customWidth="1"/>
    <col min="17" max="17" width="28.59765625" bestFit="1" customWidth="1"/>
    <col min="18" max="18" width="20.8984375" bestFit="1" customWidth="1"/>
    <col min="19" max="19" width="14.69921875" bestFit="1" customWidth="1"/>
    <col min="20" max="20" width="10.69921875" bestFit="1" customWidth="1"/>
    <col min="21" max="21" width="8.8984375" bestFit="1" customWidth="1"/>
    <col min="22" max="22" width="7.8984375" bestFit="1" customWidth="1"/>
    <col min="23" max="23" width="8.8984375" bestFit="1" customWidth="1"/>
    <col min="24" max="24" width="7.8984375" bestFit="1" customWidth="1"/>
    <col min="25" max="39" width="8.8984375" bestFit="1" customWidth="1"/>
    <col min="40" max="40" width="7.8984375" bestFit="1" customWidth="1"/>
    <col min="41" max="46" width="8.8984375" bestFit="1" customWidth="1"/>
    <col min="47" max="47" width="7.8984375" bestFit="1" customWidth="1"/>
    <col min="48" max="59" width="8.8984375" bestFit="1" customWidth="1"/>
    <col min="60" max="60" width="7.8984375" bestFit="1" customWidth="1"/>
    <col min="61" max="63" width="8.8984375" bestFit="1" customWidth="1"/>
    <col min="64" max="64" width="7.8984375" bestFit="1" customWidth="1"/>
    <col min="65" max="70" width="8.8984375" bestFit="1" customWidth="1"/>
    <col min="71" max="71" width="7.8984375" bestFit="1" customWidth="1"/>
    <col min="72" max="91" width="8.8984375" bestFit="1" customWidth="1"/>
    <col min="92" max="92" width="6.8984375" bestFit="1" customWidth="1"/>
    <col min="93" max="93" width="11.8984375" bestFit="1" customWidth="1"/>
    <col min="94" max="94" width="10.69921875" bestFit="1" customWidth="1"/>
  </cols>
  <sheetData>
    <row r="1" spans="1:8" x14ac:dyDescent="0.25">
      <c r="A1" s="4" t="s">
        <v>679</v>
      </c>
      <c r="B1" s="4" t="s">
        <v>678</v>
      </c>
    </row>
    <row r="2" spans="1:8" x14ac:dyDescent="0.25">
      <c r="A2" s="4" t="s">
        <v>671</v>
      </c>
      <c r="B2" t="s">
        <v>34</v>
      </c>
      <c r="C2" t="s">
        <v>43</v>
      </c>
      <c r="D2" t="s">
        <v>40</v>
      </c>
      <c r="E2" t="s">
        <v>30</v>
      </c>
      <c r="F2" t="s">
        <v>62</v>
      </c>
      <c r="G2" t="s">
        <v>56</v>
      </c>
      <c r="H2" t="s">
        <v>672</v>
      </c>
    </row>
    <row r="3" spans="1:8" x14ac:dyDescent="0.25">
      <c r="A3" s="5" t="s">
        <v>673</v>
      </c>
      <c r="C3">
        <v>84</v>
      </c>
      <c r="D3">
        <v>2</v>
      </c>
      <c r="F3">
        <v>1</v>
      </c>
      <c r="H3">
        <v>87</v>
      </c>
    </row>
    <row r="4" spans="1:8" x14ac:dyDescent="0.25">
      <c r="A4" s="5" t="s">
        <v>674</v>
      </c>
      <c r="B4">
        <v>6</v>
      </c>
      <c r="C4">
        <v>2</v>
      </c>
      <c r="D4">
        <v>8</v>
      </c>
      <c r="E4">
        <v>10</v>
      </c>
      <c r="F4">
        <v>7</v>
      </c>
      <c r="H4">
        <v>33</v>
      </c>
    </row>
    <row r="5" spans="1:8" x14ac:dyDescent="0.25">
      <c r="A5" s="5" t="s">
        <v>676</v>
      </c>
      <c r="B5">
        <v>2</v>
      </c>
      <c r="D5">
        <v>24</v>
      </c>
      <c r="G5">
        <v>3</v>
      </c>
      <c r="H5">
        <v>29</v>
      </c>
    </row>
    <row r="6" spans="1:8" x14ac:dyDescent="0.25">
      <c r="A6" s="5" t="s">
        <v>677</v>
      </c>
      <c r="D6">
        <v>9</v>
      </c>
      <c r="H6">
        <v>9</v>
      </c>
    </row>
    <row r="7" spans="1:8" x14ac:dyDescent="0.25">
      <c r="A7" s="5" t="s">
        <v>675</v>
      </c>
      <c r="B7">
        <v>6</v>
      </c>
      <c r="D7">
        <v>56</v>
      </c>
      <c r="G7">
        <v>3</v>
      </c>
      <c r="H7">
        <v>65</v>
      </c>
    </row>
    <row r="8" spans="1:8" x14ac:dyDescent="0.25">
      <c r="A8" s="5" t="s">
        <v>2166</v>
      </c>
      <c r="B8">
        <v>16</v>
      </c>
      <c r="D8">
        <v>180</v>
      </c>
      <c r="G8">
        <v>1</v>
      </c>
      <c r="H8">
        <v>197</v>
      </c>
    </row>
    <row r="9" spans="1:8" x14ac:dyDescent="0.25">
      <c r="A9" s="5" t="s">
        <v>672</v>
      </c>
      <c r="B9">
        <v>30</v>
      </c>
      <c r="C9">
        <v>86</v>
      </c>
      <c r="D9">
        <v>279</v>
      </c>
      <c r="E9">
        <v>10</v>
      </c>
      <c r="F9">
        <v>8</v>
      </c>
      <c r="G9">
        <v>7</v>
      </c>
      <c r="H9">
        <v>420</v>
      </c>
    </row>
    <row r="12" spans="1:8" x14ac:dyDescent="0.25">
      <c r="A12" s="7"/>
      <c r="B12" s="7"/>
    </row>
    <row r="13" spans="1:8" x14ac:dyDescent="0.25">
      <c r="A13" s="6" t="s">
        <v>669</v>
      </c>
      <c r="B13" s="7" t="s">
        <v>34</v>
      </c>
      <c r="C13" s="7" t="s">
        <v>43</v>
      </c>
      <c r="D13" s="7" t="s">
        <v>40</v>
      </c>
      <c r="E13" s="7" t="s">
        <v>30</v>
      </c>
      <c r="F13" s="7" t="s">
        <v>62</v>
      </c>
      <c r="G13" s="7" t="s">
        <v>56</v>
      </c>
      <c r="H13" s="7" t="s">
        <v>672</v>
      </c>
    </row>
    <row r="14" spans="1:8" x14ac:dyDescent="0.25">
      <c r="A14" s="8" t="s">
        <v>673</v>
      </c>
      <c r="B14" s="8">
        <v>1</v>
      </c>
      <c r="C14" s="8">
        <v>86</v>
      </c>
      <c r="D14" s="8">
        <v>2</v>
      </c>
      <c r="E14" s="8">
        <v>9</v>
      </c>
      <c r="F14" s="8">
        <v>1</v>
      </c>
      <c r="G14" s="8"/>
      <c r="H14" s="8">
        <v>99</v>
      </c>
    </row>
    <row r="15" spans="1:8" x14ac:dyDescent="0.25">
      <c r="A15" s="8" t="s">
        <v>674</v>
      </c>
      <c r="B15" s="8">
        <v>5</v>
      </c>
      <c r="C15" s="8"/>
      <c r="D15" s="8">
        <v>8</v>
      </c>
      <c r="E15" s="8">
        <v>1</v>
      </c>
      <c r="F15" s="8">
        <v>7</v>
      </c>
      <c r="G15" s="8"/>
      <c r="H15" s="8">
        <v>21</v>
      </c>
    </row>
    <row r="16" spans="1:8" x14ac:dyDescent="0.25">
      <c r="A16" s="8" t="s">
        <v>676</v>
      </c>
      <c r="B16" s="8">
        <v>2</v>
      </c>
      <c r="C16" s="8"/>
      <c r="D16" s="8">
        <v>26</v>
      </c>
      <c r="E16" s="8"/>
      <c r="F16" s="8"/>
      <c r="G16" s="8">
        <v>3</v>
      </c>
      <c r="H16" s="8">
        <v>31</v>
      </c>
    </row>
    <row r="17" spans="1:8" x14ac:dyDescent="0.25">
      <c r="A17" s="8" t="s">
        <v>677</v>
      </c>
      <c r="B17" s="8"/>
      <c r="C17" s="8"/>
      <c r="D17" s="8">
        <v>10</v>
      </c>
      <c r="E17" s="8"/>
      <c r="F17" s="8"/>
      <c r="G17" s="8"/>
      <c r="H17" s="8">
        <v>10</v>
      </c>
    </row>
    <row r="18" spans="1:8" x14ac:dyDescent="0.25">
      <c r="A18" s="8" t="s">
        <v>675</v>
      </c>
      <c r="B18" s="8">
        <v>6</v>
      </c>
      <c r="C18" s="8"/>
      <c r="D18" s="8">
        <v>53</v>
      </c>
      <c r="E18" s="8"/>
      <c r="F18" s="8"/>
      <c r="G18" s="8">
        <v>3</v>
      </c>
      <c r="H18" s="8">
        <v>62</v>
      </c>
    </row>
    <row r="19" spans="1:8" x14ac:dyDescent="0.25">
      <c r="A19" s="8" t="s">
        <v>2166</v>
      </c>
      <c r="B19" s="8">
        <v>16</v>
      </c>
      <c r="C19" s="8"/>
      <c r="D19" s="8">
        <v>180</v>
      </c>
      <c r="E19" s="8"/>
      <c r="F19" s="8"/>
      <c r="G19" s="8">
        <v>1</v>
      </c>
      <c r="H19" s="8">
        <v>197</v>
      </c>
    </row>
    <row r="20" spans="1:8" x14ac:dyDescent="0.25">
      <c r="A20" t="s">
        <v>672</v>
      </c>
      <c r="B20">
        <v>30</v>
      </c>
      <c r="C20">
        <v>86</v>
      </c>
      <c r="D20">
        <v>279</v>
      </c>
      <c r="E20">
        <v>10</v>
      </c>
      <c r="F20">
        <v>8</v>
      </c>
      <c r="G20">
        <v>7</v>
      </c>
      <c r="H20">
        <v>420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5A7B-B6D5-4AA3-961C-09DD7A4B2BFF}">
  <dimension ref="A1:C2933"/>
  <sheetViews>
    <sheetView showGridLines="0" workbookViewId="0">
      <selection activeCell="A4" sqref="A4:B4"/>
      <pivotSelection pane="bottomRight" showHeader="1" extendable="1" axis="axisRow" max="9" activeRow="3" previousRow="3" click="1" r:id="rId1">
        <pivotArea dataOnly="0" fieldPosition="0">
          <references count="2">
            <reference field="3" count="1" selected="0">
              <x v="8"/>
            </reference>
            <reference field="30" count="1">
              <x v="0"/>
            </reference>
          </references>
        </pivotArea>
      </pivotSelection>
    </sheetView>
  </sheetViews>
  <sheetFormatPr defaultRowHeight="13.8" x14ac:dyDescent="0.25"/>
  <cols>
    <col min="1" max="1" width="18" style="11" bestFit="1" customWidth="1"/>
    <col min="2" max="2" width="22.5" bestFit="1" customWidth="1"/>
    <col min="3" max="3" width="23.19921875" bestFit="1" customWidth="1"/>
  </cols>
  <sheetData>
    <row r="1" spans="1:3" x14ac:dyDescent="0.25">
      <c r="A1" s="4" t="s">
        <v>3</v>
      </c>
      <c r="B1" t="s">
        <v>37</v>
      </c>
    </row>
    <row r="3" spans="1:3" x14ac:dyDescent="0.25">
      <c r="A3" s="4" t="s">
        <v>671</v>
      </c>
      <c r="B3" t="s">
        <v>2168</v>
      </c>
    </row>
    <row r="4" spans="1:3" x14ac:dyDescent="0.25">
      <c r="A4" s="5">
        <v>12</v>
      </c>
      <c r="B4" s="10">
        <v>0.15053763440860216</v>
      </c>
    </row>
    <row r="5" spans="1:3" x14ac:dyDescent="0.25">
      <c r="A5" s="5">
        <v>11</v>
      </c>
      <c r="B5" s="10">
        <v>9.3548387096774197E-2</v>
      </c>
    </row>
    <row r="6" spans="1:3" x14ac:dyDescent="0.25">
      <c r="A6" s="5">
        <v>10</v>
      </c>
      <c r="B6" s="10">
        <v>0.14193548387096774</v>
      </c>
    </row>
    <row r="7" spans="1:3" x14ac:dyDescent="0.25">
      <c r="A7" s="5">
        <v>9</v>
      </c>
      <c r="B7" s="10">
        <v>0.16021505376344086</v>
      </c>
    </row>
    <row r="8" spans="1:3" x14ac:dyDescent="0.25">
      <c r="A8" s="5">
        <v>8</v>
      </c>
      <c r="B8" s="10">
        <v>0.12043010752688173</v>
      </c>
    </row>
    <row r="9" spans="1:3" x14ac:dyDescent="0.25">
      <c r="A9" s="5">
        <v>7</v>
      </c>
      <c r="B9" s="10">
        <v>0.13978494623655913</v>
      </c>
    </row>
    <row r="10" spans="1:3" x14ac:dyDescent="0.25">
      <c r="A10" s="5">
        <v>2</v>
      </c>
      <c r="B10" s="10">
        <v>3.5483870967741936E-2</v>
      </c>
    </row>
    <row r="11" spans="1:3" x14ac:dyDescent="0.25">
      <c r="A11" s="5">
        <v>1</v>
      </c>
      <c r="B11" s="10">
        <v>0.15806451612903225</v>
      </c>
    </row>
    <row r="12" spans="1:3" x14ac:dyDescent="0.25">
      <c r="A12" s="12" t="s">
        <v>672</v>
      </c>
      <c r="B12" s="10">
        <v>1</v>
      </c>
    </row>
    <row r="13" spans="1:3" x14ac:dyDescent="0.25">
      <c r="A13"/>
    </row>
    <row r="14" spans="1:3" x14ac:dyDescent="0.25">
      <c r="A14"/>
    </row>
    <row r="15" spans="1:3" x14ac:dyDescent="0.25">
      <c r="A15" s="13" t="s">
        <v>671</v>
      </c>
      <c r="B15" s="13" t="s">
        <v>2168</v>
      </c>
      <c r="C15" s="14" t="s">
        <v>2167</v>
      </c>
    </row>
    <row r="16" spans="1:3" x14ac:dyDescent="0.25">
      <c r="A16" s="15">
        <v>46023</v>
      </c>
      <c r="B16" s="14">
        <v>147</v>
      </c>
      <c r="C16" s="16">
        <f>B16/B24</f>
        <v>0.15806451612903225</v>
      </c>
    </row>
    <row r="17" spans="1:3" x14ac:dyDescent="0.25">
      <c r="A17" s="15">
        <v>46054</v>
      </c>
      <c r="B17" s="14">
        <v>33</v>
      </c>
      <c r="C17" s="16">
        <f>B17/B24</f>
        <v>3.5483870967741936E-2</v>
      </c>
    </row>
    <row r="18" spans="1:3" x14ac:dyDescent="0.25">
      <c r="A18" s="15">
        <v>45839</v>
      </c>
      <c r="B18" s="14">
        <v>130</v>
      </c>
      <c r="C18" s="16">
        <f>B18/B24</f>
        <v>0.13978494623655913</v>
      </c>
    </row>
    <row r="19" spans="1:3" x14ac:dyDescent="0.25">
      <c r="A19" s="15">
        <v>45870</v>
      </c>
      <c r="B19" s="14">
        <v>112</v>
      </c>
      <c r="C19" s="16">
        <f>B19/B24</f>
        <v>0.12043010752688173</v>
      </c>
    </row>
    <row r="20" spans="1:3" x14ac:dyDescent="0.25">
      <c r="A20" s="15">
        <v>45901</v>
      </c>
      <c r="B20" s="14">
        <v>149</v>
      </c>
      <c r="C20" s="16">
        <f>B20/B24</f>
        <v>0.16021505376344086</v>
      </c>
    </row>
    <row r="21" spans="1:3" x14ac:dyDescent="0.25">
      <c r="A21" s="15">
        <v>45931</v>
      </c>
      <c r="B21" s="14">
        <v>132</v>
      </c>
      <c r="C21" s="16">
        <f>B21/B24</f>
        <v>0.14193548387096774</v>
      </c>
    </row>
    <row r="22" spans="1:3" x14ac:dyDescent="0.25">
      <c r="A22" s="15">
        <v>45962</v>
      </c>
      <c r="B22" s="14">
        <v>87</v>
      </c>
      <c r="C22" s="16">
        <f>B22/B24</f>
        <v>9.3548387096774197E-2</v>
      </c>
    </row>
    <row r="23" spans="1:3" x14ac:dyDescent="0.25">
      <c r="A23" s="15">
        <v>45992</v>
      </c>
      <c r="B23" s="14">
        <v>140</v>
      </c>
      <c r="C23" s="16">
        <f>B23/B24</f>
        <v>0.15053763440860216</v>
      </c>
    </row>
    <row r="24" spans="1:3" x14ac:dyDescent="0.25">
      <c r="A24" s="13" t="s">
        <v>672</v>
      </c>
      <c r="B24" s="14">
        <v>930</v>
      </c>
      <c r="C24" s="16">
        <f>B24/B24</f>
        <v>1</v>
      </c>
    </row>
    <row r="25" spans="1:3" x14ac:dyDescent="0.25">
      <c r="A25"/>
    </row>
    <row r="26" spans="1:3" x14ac:dyDescent="0.25">
      <c r="A26"/>
    </row>
    <row r="27" spans="1:3" x14ac:dyDescent="0.25">
      <c r="A27"/>
    </row>
    <row r="28" spans="1:3" x14ac:dyDescent="0.25">
      <c r="A28"/>
    </row>
    <row r="29" spans="1:3" x14ac:dyDescent="0.25">
      <c r="A29"/>
    </row>
    <row r="30" spans="1:3" x14ac:dyDescent="0.25">
      <c r="A30"/>
    </row>
    <row r="31" spans="1:3" x14ac:dyDescent="0.25">
      <c r="A31"/>
    </row>
    <row r="32" spans="1:3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2CDC-9F8C-4F90-806A-298FE3B49EC0}">
  <dimension ref="R1:T12"/>
  <sheetViews>
    <sheetView showGridLines="0" topLeftCell="Q18" zoomScale="90" zoomScaleNormal="90" workbookViewId="0">
      <selection activeCell="T1" sqref="T1"/>
    </sheetView>
  </sheetViews>
  <sheetFormatPr defaultRowHeight="13.8" x14ac:dyDescent="0.25"/>
  <cols>
    <col min="18" max="18" width="18" bestFit="1" customWidth="1"/>
    <col min="19" max="19" width="20.8984375" bestFit="1" customWidth="1"/>
    <col min="20" max="20" width="14" bestFit="1" customWidth="1"/>
  </cols>
  <sheetData>
    <row r="1" spans="18:20" x14ac:dyDescent="0.25">
      <c r="R1" s="4" t="s">
        <v>671</v>
      </c>
      <c r="S1" t="s">
        <v>2175</v>
      </c>
      <c r="T1" t="s">
        <v>2177</v>
      </c>
    </row>
    <row r="2" spans="18:20" x14ac:dyDescent="0.25">
      <c r="R2" s="5">
        <v>2025</v>
      </c>
      <c r="S2" s="10">
        <v>0.71225071225070524</v>
      </c>
      <c r="T2" s="18">
        <v>1</v>
      </c>
    </row>
    <row r="3" spans="18:20" x14ac:dyDescent="0.25">
      <c r="R3" s="17">
        <v>7</v>
      </c>
      <c r="S3" s="10">
        <v>0.73446327683615542</v>
      </c>
      <c r="T3" s="18">
        <v>1</v>
      </c>
    </row>
    <row r="4" spans="18:20" x14ac:dyDescent="0.25">
      <c r="R4" s="17">
        <v>8</v>
      </c>
      <c r="S4" s="10">
        <v>0.7671232876712355</v>
      </c>
      <c r="T4" s="18">
        <v>1</v>
      </c>
    </row>
    <row r="5" spans="18:20" x14ac:dyDescent="0.25">
      <c r="R5" s="17">
        <v>9</v>
      </c>
      <c r="S5" s="10">
        <v>0.75634517766497145</v>
      </c>
      <c r="T5" s="18">
        <v>1</v>
      </c>
    </row>
    <row r="6" spans="18:20" x14ac:dyDescent="0.25">
      <c r="R6" s="17">
        <v>10</v>
      </c>
      <c r="S6" s="10">
        <v>0.67692307692307563</v>
      </c>
      <c r="T6" s="18">
        <v>1</v>
      </c>
    </row>
    <row r="7" spans="18:20" x14ac:dyDescent="0.25">
      <c r="R7" s="17">
        <v>11</v>
      </c>
      <c r="S7" s="10">
        <v>0.6641221374045797</v>
      </c>
      <c r="T7" s="18">
        <v>1</v>
      </c>
    </row>
    <row r="8" spans="18:20" x14ac:dyDescent="0.25">
      <c r="R8" s="17">
        <v>12</v>
      </c>
      <c r="S8" s="10">
        <v>0.6763285024154585</v>
      </c>
      <c r="T8" s="18">
        <v>1</v>
      </c>
    </row>
    <row r="9" spans="18:20" x14ac:dyDescent="0.25">
      <c r="R9" s="5">
        <v>2026</v>
      </c>
      <c r="S9" s="10">
        <v>0.43689320388349212</v>
      </c>
      <c r="T9" s="18">
        <v>1</v>
      </c>
    </row>
    <row r="10" spans="18:20" x14ac:dyDescent="0.25">
      <c r="R10" s="17">
        <v>1</v>
      </c>
      <c r="S10" s="10">
        <v>0.65919282511211152</v>
      </c>
      <c r="T10" s="18">
        <v>1</v>
      </c>
    </row>
    <row r="11" spans="18:20" x14ac:dyDescent="0.25">
      <c r="R11" s="17">
        <v>2</v>
      </c>
      <c r="S11" s="10">
        <v>0.17460317460317426</v>
      </c>
      <c r="T11" s="18">
        <v>1</v>
      </c>
    </row>
    <row r="12" spans="18:20" x14ac:dyDescent="0.25">
      <c r="R12" s="5" t="s">
        <v>672</v>
      </c>
      <c r="S12" s="10">
        <v>0.63481228668940637</v>
      </c>
      <c r="T12" s="18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Report</vt:lpstr>
      <vt:lpstr>Analise Aging</vt:lpstr>
      <vt:lpstr>%Devolvidos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Bueno</dc:creator>
  <cp:lastModifiedBy>Julio Bueno</cp:lastModifiedBy>
  <dcterms:created xsi:type="dcterms:W3CDTF">2026-02-25T17:44:29Z</dcterms:created>
  <dcterms:modified xsi:type="dcterms:W3CDTF">2026-04-22T13:54:40Z</dcterms:modified>
</cp:coreProperties>
</file>