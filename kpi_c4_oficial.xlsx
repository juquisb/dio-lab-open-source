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lio Bueno\Downloads\"/>
    </mc:Choice>
  </mc:AlternateContent>
  <xr:revisionPtr revIDLastSave="0" documentId="13_ncr:1_{FD96E384-3253-4C18-A270-DE7DB5AFC5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  <sheet name="Aging do Backlog de Devoluções" sheetId="2" r:id="rId2"/>
    <sheet name="% De Pedidos Devolvidos" sheetId="3" r:id="rId3"/>
    <sheet name="KPIs" sheetId="4" r:id="rId4"/>
  </sheets>
  <definedNames>
    <definedName name="_xlnm._FilterDatabase" localSheetId="0" hidden="1">Report!$A$1:$D$1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I3" i="1"/>
  <c r="I4" i="1"/>
  <c r="K4" i="1" s="1"/>
  <c r="I5" i="1"/>
  <c r="K5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J3" i="1"/>
  <c r="J4" i="1"/>
  <c r="J5" i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K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2" i="1"/>
  <c r="H2" i="1"/>
  <c r="G2" i="1"/>
  <c r="E2" i="1"/>
  <c r="F2" i="1" s="1"/>
  <c r="J2" i="1" l="1"/>
  <c r="I2" i="1"/>
  <c r="K2" i="1" l="1"/>
</calcChain>
</file>

<file path=xl/sharedStrings.xml><?xml version="1.0" encoding="utf-8"?>
<sst xmlns="http://schemas.openxmlformats.org/spreadsheetml/2006/main" count="985" uniqueCount="455">
  <si>
    <t>Código</t>
  </si>
  <si>
    <t>Título</t>
  </si>
  <si>
    <t>Fase atual</t>
  </si>
  <si>
    <t>Criado em</t>
  </si>
  <si>
    <t xml:space="preserve"> Bruno Leonardo Dantas de Assis e Medeiros Batista </t>
  </si>
  <si>
    <t>Recebido</t>
  </si>
  <si>
    <t xml:space="preserve"> Caio Vinícius Torres Costa Moura</t>
  </si>
  <si>
    <t>Equipamentos a receber</t>
  </si>
  <si>
    <t xml:space="preserve"> Eduardo Paranhos Campos</t>
  </si>
  <si>
    <t xml:space="preserve"> Ilse Maria Layter</t>
  </si>
  <si>
    <t xml:space="preserve"> Jaqueline da Silva Luiz </t>
  </si>
  <si>
    <t>Pedido na AMLabs</t>
  </si>
  <si>
    <t xml:space="preserve"> Nicolas Bortot de Almeida</t>
  </si>
  <si>
    <t>Adherbal de Carvalho Neto</t>
  </si>
  <si>
    <t>Adriana Covizzi Queiroz</t>
  </si>
  <si>
    <t>Em rota de entrega</t>
  </si>
  <si>
    <t>Adriana Covizzi Queiroz - bloqueado</t>
  </si>
  <si>
    <t>Alex</t>
  </si>
  <si>
    <t>Régua de cobrança - Parcial</t>
  </si>
  <si>
    <t>ALEX RIOS DOS SANTOS</t>
  </si>
  <si>
    <t>Alex- bloqueado</t>
  </si>
  <si>
    <t>Bloqueio parcial</t>
  </si>
  <si>
    <t>Alexandre</t>
  </si>
  <si>
    <t>Aline Marques Mateus Lima</t>
  </si>
  <si>
    <t xml:space="preserve">Aline Vanso Bortot </t>
  </si>
  <si>
    <t>Allan Andrade</t>
  </si>
  <si>
    <t>AM BOGALHAO COM E SERV COMBINADOS</t>
  </si>
  <si>
    <t>Amanda  Branchet</t>
  </si>
  <si>
    <t xml:space="preserve">Amanda moreno da silva </t>
  </si>
  <si>
    <t>Ana paula leal da paixao - eem rota</t>
  </si>
  <si>
    <t>Antonia Carla da Silva Fonseca</t>
  </si>
  <si>
    <t>Arthur Felipe Ferreira Simão</t>
  </si>
  <si>
    <t>As Três Marias Market Store ltda</t>
  </si>
  <si>
    <t xml:space="preserve">Aurora Mercadex </t>
  </si>
  <si>
    <t xml:space="preserve">borgatto comercio de produtos </t>
  </si>
  <si>
    <t>Bright Comércio de alimentos Paulínia ltda.</t>
  </si>
  <si>
    <t>BRUNA DE AMORIM BEZIAZACINAI</t>
  </si>
  <si>
    <t>Bruno Justen de carvalho costa Ltda</t>
  </si>
  <si>
    <t>Bruno Luis Silva Penteado</t>
  </si>
  <si>
    <t>Bruno Pereira</t>
  </si>
  <si>
    <t xml:space="preserve">Bruno Pereira Galarani </t>
  </si>
  <si>
    <t>Budega in Casa</t>
  </si>
  <si>
    <t>Buy At Home</t>
  </si>
  <si>
    <t>Buy at Home Comércio Varejista de conveniência LTDA</t>
  </si>
  <si>
    <t>Carla Carolinny de Oliveira Lira</t>
  </si>
  <si>
    <t>Carlos Alexandre</t>
  </si>
  <si>
    <t xml:space="preserve">Carlos Eduardo Silva </t>
  </si>
  <si>
    <t>Cennario Market Ltda</t>
  </si>
  <si>
    <t xml:space="preserve">CHRM EASYMARKET E INSTALACOES LTDA </t>
  </si>
  <si>
    <t>Claudiane Pereira de Oliveira</t>
  </si>
  <si>
    <t>Compra rápida APM LTDA</t>
  </si>
  <si>
    <t>CONVEMIX COMERCIOS ALIMENTICIOS LTDA</t>
  </si>
  <si>
    <t>CONVEMIX CONVENIÊNCIAS LTDA - desbloqueado provisoriamente por 48h ( início 11:50 do dia26/03)</t>
  </si>
  <si>
    <t xml:space="preserve">Conveniência Nova Era Xpress </t>
  </si>
  <si>
    <t>Cristian Ricardo Nivoloni (aparentemente, uma máquina a mais recebida)</t>
  </si>
  <si>
    <t>D’Annes guterres lopes</t>
  </si>
  <si>
    <t>Daniel Alves Santos</t>
  </si>
  <si>
    <t>Daniela Soares de Andrade</t>
  </si>
  <si>
    <t xml:space="preserve">Danielle de Mello Ribeiro da Silva </t>
  </si>
  <si>
    <t>Dawyson Oliveira Paiva</t>
  </si>
  <si>
    <t>Denize Cirolini</t>
  </si>
  <si>
    <t>Diana Sousa de matos</t>
  </si>
  <si>
    <t xml:space="preserve">Diana Sousa de matos </t>
  </si>
  <si>
    <t xml:space="preserve">Diego Pereira Guimarães </t>
  </si>
  <si>
    <t xml:space="preserve">Doorman Rocha de produtos Alimentícios Ltda ME </t>
  </si>
  <si>
    <t xml:space="preserve">Dreams foods ltda </t>
  </si>
  <si>
    <t>E-markett Produtos Alimentícios LTDA</t>
  </si>
  <si>
    <t>E-MARKETT PRODUTOS ALIMENTICIOS LTDA</t>
  </si>
  <si>
    <t>Ed Carlo Alves Parente  - bloqueado</t>
  </si>
  <si>
    <t>Eduardo</t>
  </si>
  <si>
    <t>eduardo bosio sachetti</t>
  </si>
  <si>
    <t>Eduardo de Paula Ozório</t>
  </si>
  <si>
    <t>Eduardo Marinho</t>
  </si>
  <si>
    <t xml:space="preserve">Eduardo Rodrigues Bistaffa </t>
  </si>
  <si>
    <t>Edwilson Queiroz da Cruz:</t>
  </si>
  <si>
    <t xml:space="preserve">Eliane Regina Campos Martins </t>
  </si>
  <si>
    <t xml:space="preserve">Elisabete Vicheti </t>
  </si>
  <si>
    <t>Elizete silva Ribeiro</t>
  </si>
  <si>
    <t xml:space="preserve">Elton Souza Viana </t>
  </si>
  <si>
    <t>Emiangela Miguel dos Anjos</t>
  </si>
  <si>
    <t xml:space="preserve">EMPORIO E MERCEARIA RAC LTDA </t>
  </si>
  <si>
    <t>Erica Francieli Tobias  - 30c para V1</t>
  </si>
  <si>
    <t xml:space="preserve">Erica Francieli Tobias Erica"s Alimentos </t>
  </si>
  <si>
    <t>Erika Agro Representacoes LTDA - bloqueada</t>
  </si>
  <si>
    <t>Erika Carla Fernandes de Macedo</t>
  </si>
  <si>
    <t>FÁBIO DOS SANTOS MARQUES</t>
  </si>
  <si>
    <t>Felipe</t>
  </si>
  <si>
    <t xml:space="preserve">Felipe Jesus Pimentel Feitosa </t>
  </si>
  <si>
    <t>Fellipe Thomaz de Azevedo Barreto - bloqueado</t>
  </si>
  <si>
    <t xml:space="preserve">Fernanda - 30c para Smart 1!!!! </t>
  </si>
  <si>
    <t xml:space="preserve">Fernanda da silva cordeio </t>
  </si>
  <si>
    <t>Fernanda da silva cordeio - Troca para máquina V1</t>
  </si>
  <si>
    <t xml:space="preserve">Fernanda Mulinari </t>
  </si>
  <si>
    <t xml:space="preserve">Fernando de Jesus Ramos </t>
  </si>
  <si>
    <t>FERNANDO MACEDO PIVA</t>
  </si>
  <si>
    <t>Flavio Dias da Silva - não cobramos fonte Raspbery</t>
  </si>
  <si>
    <t>FLAVIO DINIZ GONCALVES FARIA</t>
  </si>
  <si>
    <t>FLAVIO DINIZ GONCALVES FARIA - Analisar</t>
  </si>
  <si>
    <t>Fvw Vending Comércio e Locação de Equipamentos e Alimentos Ltda. - ANALISAR (YOUSE)</t>
  </si>
  <si>
    <t>Gabriel Felipe Kesslau</t>
  </si>
  <si>
    <t>Gabriela Permagnani dos Santos</t>
  </si>
  <si>
    <t>GLÁUCIA BELO</t>
  </si>
  <si>
    <t>Gledson Antonio Cavalcanti dos Santos - bloqueado</t>
  </si>
  <si>
    <t>GO!STORE - fonte rasp não cobrar</t>
  </si>
  <si>
    <t>Gustavo Miragaia</t>
  </si>
  <si>
    <t>Helena Maygar Santos</t>
  </si>
  <si>
    <t>HELLEN ANDRADE SANTOS DE SOUZA</t>
  </si>
  <si>
    <t>HELPMART MERCADO INTELIGENTE-  não cobramos fonte TPFlex</t>
  </si>
  <si>
    <t>HOMEPLACE MARKET COMERCIO DE ALIMEN</t>
  </si>
  <si>
    <t>Honest Market BR</t>
  </si>
  <si>
    <t>HONEST SMART PLACE LTDA</t>
  </si>
  <si>
    <t xml:space="preserve">Ieda Fabiana Zussa Orsini </t>
  </si>
  <si>
    <t xml:space="preserve">Inova Machines </t>
  </si>
  <si>
    <t>Inova Pina ltda</t>
  </si>
  <si>
    <t>Inova Pina ltda (ainda não chegou)</t>
  </si>
  <si>
    <t xml:space="preserve">Isabela Vitória Brasil - FONTE ORIGINAL TPFLEX </t>
  </si>
  <si>
    <t>Isamara Fontes - bloqueado</t>
  </si>
  <si>
    <t>Itamar Rodrigo Moreira de Oliveira - bloqueado por pagamento</t>
  </si>
  <si>
    <t>Ligação Ativa - ADM</t>
  </si>
  <si>
    <t>Jaqueline loren silva vargas</t>
  </si>
  <si>
    <t>Jeriel Conceição Silva</t>
  </si>
  <si>
    <t>Jeriel Conceição Silva - MERCADEX (Stone)</t>
  </si>
  <si>
    <t>João Fernando Bataglião Junior</t>
  </si>
  <si>
    <t>João Paulo Rocha Sad</t>
  </si>
  <si>
    <t>João Victor Teodoro Marchon Pereira</t>
  </si>
  <si>
    <t>Juliana Cristina  Gonçalves do Nascimento Rocha  - Comentário!</t>
  </si>
  <si>
    <t xml:space="preserve">Juliana De Jesus Dos Santos Silva </t>
  </si>
  <si>
    <t>Kaique Luan Silva Quaresma</t>
  </si>
  <si>
    <t>Karina lancerote Produtos</t>
  </si>
  <si>
    <t>Karla Cristina de Oliveira Gomes</t>
  </si>
  <si>
    <t>Kaua Fernandes</t>
  </si>
  <si>
    <t>Kéli Back Sinhorini - bloqueada</t>
  </si>
  <si>
    <t>Kelly Regina Silva Dias</t>
  </si>
  <si>
    <t>LAIDES SOARES DA SILVA</t>
  </si>
  <si>
    <t xml:space="preserve">Laiza Gabrielly Pereira De Aquino </t>
  </si>
  <si>
    <t>Laiza Gabrielly Pereira De Aquino - bloqueado</t>
  </si>
  <si>
    <t>Leandro Alexandre  Estafor</t>
  </si>
  <si>
    <t>Gerar boleto</t>
  </si>
  <si>
    <t>Letícia Luciane Totolo de Mello</t>
  </si>
  <si>
    <t>Levefast Conveniencias Ltda</t>
  </si>
  <si>
    <t>LIMA STORE COMERCIO DE PRODUTOS ALIMENTICIOS LTDA - bloqueado</t>
  </si>
  <si>
    <t>Luan Henrique Freire Righi</t>
  </si>
  <si>
    <t>Luana Garcia Moreira</t>
  </si>
  <si>
    <t>Lucas Diego Pereira das Graças</t>
  </si>
  <si>
    <t>Lucas Ferri dos Santos Souza</t>
  </si>
  <si>
    <t>Lucas Oristanio Maloi</t>
  </si>
  <si>
    <t>Luciana chelim Fernandes:</t>
  </si>
  <si>
    <t>Lúcio Corrêa Oliveira de oliveira ltda</t>
  </si>
  <si>
    <t>Luiz Gustavo Notario- fonte rasp, não cobramos</t>
  </si>
  <si>
    <t>M&amp;V Market</t>
  </si>
  <si>
    <t>MA HOME MARKET</t>
  </si>
  <si>
    <t>Maciel Almondes Pereira</t>
  </si>
  <si>
    <t xml:space="preserve">Maciel Almondes Pereira </t>
  </si>
  <si>
    <t xml:space="preserve">Maciel Almondes Pereira - 30c PARA V1! </t>
  </si>
  <si>
    <t xml:space="preserve">Manasses Pessoa de Lima </t>
  </si>
  <si>
    <t xml:space="preserve">mão na roda market </t>
  </si>
  <si>
    <t>mão na roda market - analisando</t>
  </si>
  <si>
    <t>Marcella Silva Manganaro Blois</t>
  </si>
  <si>
    <t>Marcelo de Jesus</t>
  </si>
  <si>
    <t xml:space="preserve">Marcelo de Oliveira Santos </t>
  </si>
  <si>
    <t xml:space="preserve">Marco Aurélio Marques </t>
  </si>
  <si>
    <t xml:space="preserve">Marcos Gomes da Silva </t>
  </si>
  <si>
    <t>Marcos Henrique Barboza</t>
  </si>
  <si>
    <t>Maria Fernanda Costa - 30c moderninha v2</t>
  </si>
  <si>
    <t>MARIA GASOLINA EXPRESS MARKET</t>
  </si>
  <si>
    <t xml:space="preserve">Mariana Ferri </t>
  </si>
  <si>
    <t xml:space="preserve">Mariana Souza de Paula </t>
  </si>
  <si>
    <t xml:space="preserve">Mariana Teixeira Nou Najar </t>
  </si>
  <si>
    <t>mariluci orso frozza</t>
  </si>
  <si>
    <t>Marinalva de Sales Cadete</t>
  </si>
  <si>
    <t>MARLY HELENA PERUCCA COLIADO - 1 adaptador a mais recebido</t>
  </si>
  <si>
    <t xml:space="preserve">Marta Maria Pereira </t>
  </si>
  <si>
    <t xml:space="preserve">Masako Horibe Takemoto </t>
  </si>
  <si>
    <t>Mayara da Rocha Santana</t>
  </si>
  <si>
    <t>MEGGAMIX SISTEMAS AUTOMATICOS DE VENDA LTDA</t>
  </si>
  <si>
    <t>MEGGAMIX SISTEMAS AUTOMATICOS DE VENDA LTDA.</t>
  </si>
  <si>
    <t>Melissa Fornazari Silveira</t>
  </si>
  <si>
    <t>Mercado Fast Market</t>
  </si>
  <si>
    <t>Mercado prime box Ltda</t>
  </si>
  <si>
    <t xml:space="preserve">Mercattino Alimentos Saudáveis </t>
  </si>
  <si>
    <t>Michael Diego de Oliveira</t>
  </si>
  <si>
    <t>mini27br comércio e serviços Ltda</t>
  </si>
  <si>
    <t>Murilo Alves Felippe</t>
  </si>
  <si>
    <t>Nicolas Bortot de Almeida</t>
  </si>
  <si>
    <t>Oliveira e Cruz Cafetria</t>
  </si>
  <si>
    <t>OUR MARKET MINIMERCADO E LANC - não cobramos  fonte TPFlex</t>
  </si>
  <si>
    <t>OUR MARKET MINIMERCADO E LANCHONETE LTDA</t>
  </si>
  <si>
    <t>P&amp;D COMERCIO ALIMENTICIO LTDA</t>
  </si>
  <si>
    <t>PALMAS SOCIETY LTDA</t>
  </si>
  <si>
    <t>PASTRAMI COM DE ALIMENTOS</t>
  </si>
  <si>
    <t>Pastrami Com. Alimentos</t>
  </si>
  <si>
    <t>Pastrami Com. de Alimentos</t>
  </si>
  <si>
    <t xml:space="preserve">Patrícia Pasqualetto Siqueira Santos </t>
  </si>
  <si>
    <t>Patrick Carmona</t>
  </si>
  <si>
    <t xml:space="preserve">Paula Aparecida Motta de Araujo </t>
  </si>
  <si>
    <t xml:space="preserve">Paulo Praxedes de Alencar </t>
  </si>
  <si>
    <t>PAULO ROBERTO MARTINS DOS SANTOS</t>
  </si>
  <si>
    <t xml:space="preserve">PAULO SERGIO ALVES AZEVEDO </t>
  </si>
  <si>
    <t>Pedro</t>
  </si>
  <si>
    <t>Pedro Muniz Lopes</t>
  </si>
  <si>
    <t>Peg Pag smart</t>
  </si>
  <si>
    <t>Pick N Pay Market</t>
  </si>
  <si>
    <t>Pimpão</t>
  </si>
  <si>
    <t xml:space="preserve">PIMPÃO MINI MERCATO </t>
  </si>
  <si>
    <t>Priscilla Ozono</t>
  </si>
  <si>
    <t xml:space="preserve">Projeto picolé para todos </t>
  </si>
  <si>
    <t>Rakell da Silva Mariano Lima</t>
  </si>
  <si>
    <t xml:space="preserve">Reginaldo Antônio da Silva </t>
  </si>
  <si>
    <t>Renato</t>
  </si>
  <si>
    <t>Ricardo Santos</t>
  </si>
  <si>
    <t>Richard Lucas Fava</t>
  </si>
  <si>
    <t>RINALDO MADONA SCARPARO</t>
  </si>
  <si>
    <t>Roberto Baroni</t>
  </si>
  <si>
    <t>ROBINSON LUIZ MACHADO - não cobramos font tpflex</t>
  </si>
  <si>
    <t>Robson da Silva Oliveira</t>
  </si>
  <si>
    <t xml:space="preserve">Robson da Silva Oliveira </t>
  </si>
  <si>
    <t>Rodrigo - bloqueado</t>
  </si>
  <si>
    <t>Ronny Peterson Barretos Da Silva - fonte rasp nao cobrar</t>
  </si>
  <si>
    <t xml:space="preserve">Rosana Maria de Paula </t>
  </si>
  <si>
    <t>Rosane</t>
  </si>
  <si>
    <t xml:space="preserve">SANDRA LIMA DOS SANTOS </t>
  </si>
  <si>
    <t>SANDRA REGINA DE CASTRO FERREIRA - bloqueada</t>
  </si>
  <si>
    <t xml:space="preserve">Sergio Karagulian </t>
  </si>
  <si>
    <t>Silmar Rodrigues Torres</t>
  </si>
  <si>
    <t>Silvia Helena Cereja Terra</t>
  </si>
  <si>
    <t>Smart Café</t>
  </si>
  <si>
    <t>SmartStore</t>
  </si>
  <si>
    <t>Taiane Barbosa dos Santos Dias</t>
  </si>
  <si>
    <t>Taluama Lanchonete e Conveniência Ltda Mercadomínio</t>
  </si>
  <si>
    <t xml:space="preserve">Tânia Aparecida Menucelli de Godoy  ME </t>
  </si>
  <si>
    <t>Tanise acosta</t>
  </si>
  <si>
    <t>Tatiana Moreira de Paiva</t>
  </si>
  <si>
    <t>Thaline de Oliveira Novaes - bloqueado pela franquia</t>
  </si>
  <si>
    <t>Thiago Gonçalves de Miranda</t>
  </si>
  <si>
    <t>THIAGO MOURA GALINDO</t>
  </si>
  <si>
    <t>THIAGO MOURA GALINDO (não chegou)</t>
  </si>
  <si>
    <t>THIAGO MOURA GALINDO - bloqueado</t>
  </si>
  <si>
    <t>THIAGO MOURA GALINDO- bloqueado</t>
  </si>
  <si>
    <t xml:space="preserve">Thiago Rodrigues Pinto </t>
  </si>
  <si>
    <t>Tiago Ramos de Araujo</t>
  </si>
  <si>
    <t>Tiago SmartStore</t>
  </si>
  <si>
    <t>URBANEASY MARKET LTDA</t>
  </si>
  <si>
    <t>Finalizar card</t>
  </si>
  <si>
    <t xml:space="preserve">Vanderleia de lacerda penso </t>
  </si>
  <si>
    <t>vendinha24h serviços e comercio de produtos alimenticios LTDA</t>
  </si>
  <si>
    <t>Vitor Felipe Ecclissi de Oliveira</t>
  </si>
  <si>
    <t>Vivian CArvalho de Souza Almeida</t>
  </si>
  <si>
    <t>Viviane lopes ferraz</t>
  </si>
  <si>
    <t xml:space="preserve">Vizinhos Market Ltda </t>
  </si>
  <si>
    <t>VM Morelli ltda - 30c PARA V1</t>
  </si>
  <si>
    <t>Weriton Griti Souza</t>
  </si>
  <si>
    <t>Yang</t>
  </si>
  <si>
    <t>Z4 HUB DE NEGOCIOS LTDA - fonte rasp não cobrar</t>
  </si>
  <si>
    <t>Zenbo Market Store</t>
  </si>
  <si>
    <t>Dias na fase</t>
  </si>
  <si>
    <t>Mês</t>
  </si>
  <si>
    <t>Ano</t>
  </si>
  <si>
    <t>Recebidos</t>
  </si>
  <si>
    <t>Total Mês</t>
  </si>
  <si>
    <t>Meta</t>
  </si>
  <si>
    <t>Faixa de Dias</t>
  </si>
  <si>
    <t>Rótulos de Linha</t>
  </si>
  <si>
    <t>0-14 dias</t>
  </si>
  <si>
    <t>15-19 dias</t>
  </si>
  <si>
    <t>20-24 dias</t>
  </si>
  <si>
    <t>25-30 dias</t>
  </si>
  <si>
    <t>31-60 dias</t>
  </si>
  <si>
    <t>Total Geral</t>
  </si>
  <si>
    <t>Rótulos de Coluna</t>
  </si>
  <si>
    <t>Contagem de Dias na fase</t>
  </si>
  <si>
    <t>% Devolvido</t>
  </si>
  <si>
    <t>Média de % Devolvido</t>
  </si>
  <si>
    <t>Máx. de Meta</t>
  </si>
  <si>
    <t xml:space="preserve"> Henrique Santos Orsi</t>
  </si>
  <si>
    <t xml:space="preserve">2LMK Honest Market Ltda </t>
  </si>
  <si>
    <t xml:space="preserve">Adriana Covizzi Queiroz </t>
  </si>
  <si>
    <t>Antonia Carla da Silva Fonseca (aguardando pagamento)</t>
  </si>
  <si>
    <t xml:space="preserve">Daniel Zolim da silva </t>
  </si>
  <si>
    <t>DIVINA STORE COMERCIO DE ALIMENTOS - totem para V1</t>
  </si>
  <si>
    <t>F H SANCHEZ MINIMERCADO  INOVA SANCHEZ</t>
  </si>
  <si>
    <t>Flávia Sant'Ana Silva Raimundo</t>
  </si>
  <si>
    <t>Gilberto Pereira da Silva / Fourmarket Ltda</t>
  </si>
  <si>
    <t>Jhonatan Rodrigues de Souza</t>
  </si>
  <si>
    <t>JOHN KENJI KOHARA</t>
  </si>
  <si>
    <t>Joselia Maria Leite</t>
  </si>
  <si>
    <t xml:space="preserve">Leonardo José dos Santos </t>
  </si>
  <si>
    <t>MAIA MERCADOS LTDA</t>
  </si>
  <si>
    <t>Michele Vaz Rosa</t>
  </si>
  <si>
    <t>PEGMANIA COMERCIO DE PRODUTOS ALIMENTICIOS LTDA</t>
  </si>
  <si>
    <t xml:space="preserve">Pick N Pay Market </t>
  </si>
  <si>
    <t>Super Market LTDA</t>
  </si>
  <si>
    <t>TERENCIO ALBINO DA SILVA - contato feito 30/03 ( sem resposta )</t>
  </si>
  <si>
    <t>Wilson messias machado</t>
  </si>
  <si>
    <t>Quantidade de Moderninha Smart 3</t>
  </si>
  <si>
    <t>Quantidade de Moderninha Smart 2</t>
  </si>
  <si>
    <t>Quantidade de Moderninha Smart 1</t>
  </si>
  <si>
    <t>Quantidade de Adaptadores</t>
  </si>
  <si>
    <t>Quantidade de leitores</t>
  </si>
  <si>
    <t>Quantidade de Módulo de Acesso/Geladeira</t>
  </si>
  <si>
    <t>Quantidade de Trava Metálica</t>
  </si>
  <si>
    <t>Quantidade de Kit Completo Bancada</t>
  </si>
  <si>
    <t>Quantidade de Kit completo Pague e Pegue</t>
  </si>
  <si>
    <t>Quantidade de Kit completo Vending Machine</t>
  </si>
  <si>
    <t>Quantidade de Moderninha X</t>
  </si>
  <si>
    <t>Quantidade Leitor/Adaptador Slim</t>
  </si>
  <si>
    <t>Quantidade de Ciclope</t>
  </si>
  <si>
    <t>Totem - Ciclope</t>
  </si>
  <si>
    <t>Quantidade de Máquinas Smart 1</t>
  </si>
  <si>
    <t>Quantidade de Máquinas Smart 2</t>
  </si>
  <si>
    <t>Quantidade de Máquinas Smart 3</t>
  </si>
  <si>
    <t>Quantidade de Adaptador</t>
  </si>
  <si>
    <t>Adaptação para V3, Ciclope</t>
  </si>
  <si>
    <t>Ciclope</t>
  </si>
  <si>
    <t>Quantidade de Ciclope2</t>
  </si>
  <si>
    <t>Finalizado em</t>
  </si>
  <si>
    <t xml:space="preserve"> MLP Comércio de Produtos Alimentícios</t>
  </si>
  <si>
    <t>39.954.448 JOUBER CHAVES REZENDE</t>
  </si>
  <si>
    <t>Adriano de Carvalho</t>
  </si>
  <si>
    <t>Ana P praca</t>
  </si>
  <si>
    <t>Andreia Sousa Silva Porfiro</t>
  </si>
  <si>
    <t>Be Honest Centro Sul</t>
  </si>
  <si>
    <t>Caio Augusto Silva de Souza</t>
  </si>
  <si>
    <t>Claudiane</t>
  </si>
  <si>
    <t xml:space="preserve">Cleber Alves Lupianhez </t>
  </si>
  <si>
    <t>CR MICROMARKETS MERCADOS AUTONOMOS DE CONVENIENCIA (ler comentário) devolve sexta 03/03</t>
  </si>
  <si>
    <t>Daniela Santiago - MM Conect - GUIA LATERAL DE TOTEM</t>
  </si>
  <si>
    <t>E-markett Prod Alimenticios LTDA</t>
  </si>
  <si>
    <t>Fernando Henrique Martins Sobral - já chegou</t>
  </si>
  <si>
    <t xml:space="preserve">Francisco de Assis Carneiro de Almeida </t>
  </si>
  <si>
    <t>GERLANE CRISTINE DA SILVA E SOUZA</t>
  </si>
  <si>
    <t>Jesiel Martiniano</t>
  </si>
  <si>
    <t>JSA MARKET</t>
  </si>
  <si>
    <t>Juan Fernandes</t>
  </si>
  <si>
    <t>Julio Silva de Oliveira</t>
  </si>
  <si>
    <t>Katson Costa</t>
  </si>
  <si>
    <t>KL COMÉRCIO DE PRIDUTOS</t>
  </si>
  <si>
    <t>Leandro Alves de Mira  - bleoqueado - cliente devolveu - sn 00006205</t>
  </si>
  <si>
    <t>M.G.O. COMÉRCIO DE ALIMENTOS LTDA</t>
  </si>
  <si>
    <t>Maria Paletera</t>
  </si>
  <si>
    <t>MR. BOX COMERCIO DE ALIMENTOS LTDA</t>
  </si>
  <si>
    <t>Paulo Henrique Mantovanelli Dejavite</t>
  </si>
  <si>
    <t>Paulo Roberto Inhã</t>
  </si>
  <si>
    <t>Samira Ferreira lyra</t>
  </si>
  <si>
    <t>Simone Rocha de Morais Souza - UPGRADE SmartStore</t>
  </si>
  <si>
    <t xml:space="preserve">Taíne da Silva Santos </t>
  </si>
  <si>
    <t xml:space="preserve">Tamires de Figueiredo Girotto Ferreira </t>
  </si>
  <si>
    <t xml:space="preserve">Tatiane dos Santos Ramos </t>
  </si>
  <si>
    <t>Thiago Rodrigo da Silva</t>
  </si>
  <si>
    <t xml:space="preserve"> Ana Julia Cruz Moreira </t>
  </si>
  <si>
    <t xml:space="preserve"> Dzpenza comércio varejista ltda</t>
  </si>
  <si>
    <t xml:space="preserve">: Lucas Alves da silva </t>
  </si>
  <si>
    <t>Alexsandra de Fatima Queiroz</t>
  </si>
  <si>
    <t>Anelize Fátima de Pádua Silva - será postado até 17/04</t>
  </si>
  <si>
    <t>Bruna Carolina kosinski</t>
  </si>
  <si>
    <t>Bruno Leonardo Dantas de Assis e Medeiros Batista</t>
  </si>
  <si>
    <t>Claudia</t>
  </si>
  <si>
    <t>CUBE COMERCIO DE ALIMENTO LTDA</t>
  </si>
  <si>
    <t>Daniele Fabiana Sedran Fidelis</t>
  </si>
  <si>
    <t>Doca</t>
  </si>
  <si>
    <t>E- Market - Rogério</t>
  </si>
  <si>
    <t>Eduardo Paranhos Campos</t>
  </si>
  <si>
    <t>ernesto fukunari</t>
  </si>
  <si>
    <t>Forca Nativa Express LTDA</t>
  </si>
  <si>
    <t>Genivalda Gois Oliveira</t>
  </si>
  <si>
    <t>GS MERCADOS INTELIGENTES</t>
  </si>
  <si>
    <t xml:space="preserve">Gustavo Menocci Cotes Dos Santos </t>
  </si>
  <si>
    <t xml:space="preserve">Jackeline Cristina Cordeiro Araújo </t>
  </si>
  <si>
    <t>Jessica Ferreira da Silva Veloso</t>
  </si>
  <si>
    <t>JOSIANE REIS SANTOS</t>
  </si>
  <si>
    <t xml:space="preserve">Joyara Oliveira de Alcântara </t>
  </si>
  <si>
    <t>Juliana Cristina  Gonçalves do Nascimento Rocha - vai postar até 22/04</t>
  </si>
  <si>
    <t>Juliana Faria Barboza</t>
  </si>
  <si>
    <t>Karina Lancerote Produtos</t>
  </si>
  <si>
    <t>lucas Gibrail Comercio e Representacoes</t>
  </si>
  <si>
    <t>Lucas Pessotto de Paula</t>
  </si>
  <si>
    <t>MA MARKET COMERCIO LTDA</t>
  </si>
  <si>
    <t>MACIEL MERCADOS AUTÔNOMOS</t>
  </si>
  <si>
    <t xml:space="preserve">Mayumi Silva Foshi </t>
  </si>
  <si>
    <t>Mini Mercado Express Franca Ltda</t>
  </si>
  <si>
    <t>Natane</t>
  </si>
  <si>
    <t>Nayara Melo Vidal</t>
  </si>
  <si>
    <t>PEGAI MERCADO AUTÔNOMO LTDA</t>
  </si>
  <si>
    <t xml:space="preserve">Pick N Pay Market comércio varejista de conveniência ltda </t>
  </si>
  <si>
    <t>Rascunho</t>
  </si>
  <si>
    <t>Rene Barros de Figueiroa junior</t>
  </si>
  <si>
    <t>RJFM Comercial Ltda</t>
  </si>
  <si>
    <t xml:space="preserve">Rosana Bernardini Erbetto </t>
  </si>
  <si>
    <t xml:space="preserve">Rosangela Inês de Oliveira </t>
  </si>
  <si>
    <t>Roseli cristina da costa machado oliveira</t>
  </si>
  <si>
    <t xml:space="preserve">Sidney Marques Fontes </t>
  </si>
  <si>
    <t>Smart Store Apucarana Ltda</t>
  </si>
  <si>
    <t>Tamires de Figueiredo Girotto Ferreira</t>
  </si>
  <si>
    <t>Tiago Pereira de Araujo</t>
  </si>
  <si>
    <t xml:space="preserve">Vendinha24h serviços e comercio de produtos alimenticios LTDA </t>
  </si>
  <si>
    <t xml:space="preserve">Vera nice Siqueira de sousa </t>
  </si>
  <si>
    <t>Vitor André de Sousa - 30c PARA V1</t>
  </si>
  <si>
    <t xml:space="preserve">WIN Mercado Autônomo LTDA </t>
  </si>
  <si>
    <t>⁠Jonathas Willian da Silva</t>
  </si>
  <si>
    <t xml:space="preserve"> Ana Carolina</t>
  </si>
  <si>
    <t xml:space="preserve"> Engetecnica engenharia e construção ltda</t>
  </si>
  <si>
    <t xml:space="preserve"> FABIANA RIBEIRO VANUCCI</t>
  </si>
  <si>
    <t xml:space="preserve"> Fernanda Mara da Silva</t>
  </si>
  <si>
    <t xml:space="preserve"> HARLEY LEMOS FONTOURA</t>
  </si>
  <si>
    <t xml:space="preserve"> ROSELI SAID</t>
  </si>
  <si>
    <t xml:space="preserve">47340915 Alexandre Lolo dos Santos </t>
  </si>
  <si>
    <t>790102</t>
  </si>
  <si>
    <t>ADEMIR MARTINS DA SILVA (devolveu o que enviamos pra ele)</t>
  </si>
  <si>
    <t>Adson Gabriel de Oliveira Tabosa FLASHBUY MERCADOS (chegaram 2)</t>
  </si>
  <si>
    <t>Aldria Amorim Marques</t>
  </si>
  <si>
    <t xml:space="preserve">alexon Moreira Lourenço </t>
  </si>
  <si>
    <t>Alexsandra de Fatima Queiroz - 30c para V1</t>
  </si>
  <si>
    <t>ALIANCA MINI MERCADOS LTDA - ME  - cliente devolverá entre dia 20/04 e 22/04</t>
  </si>
  <si>
    <t>Avenida Adair de Souza</t>
  </si>
  <si>
    <t>Braga minimercado LTDA</t>
  </si>
  <si>
    <t>Breno Tagas</t>
  </si>
  <si>
    <t>Bruna Marcela de Carvalho Santos</t>
  </si>
  <si>
    <t>BUY MERCADO DE AUTOATENDIMENTO LTDA</t>
  </si>
  <si>
    <t xml:space="preserve">C Carvalho Minimercados </t>
  </si>
  <si>
    <t>Caio Vinícius Torres Costa Moura</t>
  </si>
  <si>
    <t xml:space="preserve">Carla Romano </t>
  </si>
  <si>
    <t>Cibelle Balota Nivoloni</t>
  </si>
  <si>
    <t xml:space="preserve">Cori Sampaio Comércio de Alimentos Ltda </t>
  </si>
  <si>
    <t>Delvania Ribeiro da Silva</t>
  </si>
  <si>
    <t>Dzpenza comércio varejista ltda</t>
  </si>
  <si>
    <t>Eduardo Baptista (recebido)</t>
  </si>
  <si>
    <t>EMPORIO E MERCEARIA RAC LTDA</t>
  </si>
  <si>
    <t xml:space="preserve">Gabriel Henrique casalle </t>
  </si>
  <si>
    <t>Giselly de Lira Pereira - AN837763855BR</t>
  </si>
  <si>
    <t>Helen Márcia da Silva Suriani</t>
  </si>
  <si>
    <t>Jackeline Cristina Cordeiro Araújo - (Comentários) contato feito</t>
  </si>
  <si>
    <t>Jonatas Abner Guimarães</t>
  </si>
  <si>
    <t xml:space="preserve">Jonathas Willian da silva </t>
  </si>
  <si>
    <t>Juliana De Jesus Dos Santos Silva</t>
  </si>
  <si>
    <t>Larissa Morais Market Ltda</t>
  </si>
  <si>
    <t>Luiz Felipe de Araújo da silva - retirada Quarta-feira</t>
  </si>
  <si>
    <t>Marinalva Sales Cadete</t>
  </si>
  <si>
    <t>Mercadinho TB</t>
  </si>
  <si>
    <t>Monique Gama</t>
  </si>
  <si>
    <t>MR. BOX COMERCIO DE ALIMENTOS LTDAMR. BOX COMERCIO DE ALIMENTOS LTDA - Mayara</t>
  </si>
  <si>
    <t xml:space="preserve">Nalyson Henrique de Souza Silveira </t>
  </si>
  <si>
    <t>PAG E LEV LTDA</t>
  </si>
  <si>
    <t xml:space="preserve">Paloma Teixeira de Freitas </t>
  </si>
  <si>
    <t>Ramon (ainda não chegou)</t>
  </si>
  <si>
    <t>Samuel - contato feito</t>
  </si>
  <si>
    <t>Sandra - Consultora de Estilo e Coloração:</t>
  </si>
  <si>
    <t>Super Box 24h - Camila</t>
  </si>
  <si>
    <t xml:space="preserve">Tânia Aparecida Menucelli de Godoy ME </t>
  </si>
  <si>
    <t>Teresa Santos Arruda -fará devolução dia 28/04 ( comentário)</t>
  </si>
  <si>
    <t xml:space="preserve">Thiago Rodrigo da Silva </t>
  </si>
  <si>
    <t>URGENTE!! - Alessandra marinho peterle</t>
  </si>
  <si>
    <t xml:space="preserve">Verônica Maitan Lima </t>
  </si>
  <si>
    <t>VICTOR PELIMATECIA DE JESUS (analisar, totem chegou)</t>
  </si>
  <si>
    <t>WERYC ANDRE LUIS DE CARVALHO E LIMA</t>
  </si>
  <si>
    <t>Yanka Silvestre Silva</t>
  </si>
  <si>
    <t>Ygor - WizMart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</si>
</sst>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\ hh:mm:ss;@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9">
    <dxf>
      <numFmt numFmtId="164" formatCode="[$-409]yyyy\-mm\-dd\ hh:mm:ss;@"/>
    </dxf>
    <dxf>
      <numFmt numFmtId="164" formatCode="[$-409]yyyy\-mm\-dd\ hh:mm:ss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[kpi_c4_oficial.xlsx]Aging do Backlog de Devoluções!Tabela dinâmica12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chemeClr val="tx1"/>
                </a:solidFill>
              </a:rPr>
              <a:t>Aging do Backlog de Devoluções - Distribuição por Faixa de Dias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769992922859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769992922859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017789819526275E-2"/>
          <c:y val="9.1222673598921153E-2"/>
          <c:w val="0.82889909500499015"/>
          <c:h val="0.739004519339541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'Aging do Backlog de Devoluções'!$B$3:$B$4</c:f>
              <c:strCache>
                <c:ptCount val="1"/>
                <c:pt idx="0">
                  <c:v>Bloqueio parcial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'Aging do Backlog de Devoluções'!$A$5:$A$10</c:f>
              <c:strCache>
                <c:ptCount val="5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</c:strCache>
            </c:strRef>
          </c:cat>
          <c:val>
            <c:numRef>
              <c:f>'Aging do Backlog de Devoluções'!$B$5:$B$10</c:f>
              <c:numCache>
                <c:formatCode>General</c:formatCode>
                <c:ptCount val="5"/>
                <c:pt idx="1">
                  <c:v>7</c:v>
                </c:pt>
                <c:pt idx="2">
                  <c:v>10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E-4842-AC5D-1A443D8901C6}"/>
            </c:ext>
          </c:extLst>
        </c:ser>
        <c:ser>
          <c:idx val="1"/>
          <c:order val="1"/>
          <c:tx>
            <c:strRef>
              <c:f>'Aging do Backlog de Devoluções'!$C$3:$C$4</c:f>
              <c:strCache>
                <c:ptCount val="1"/>
                <c:pt idx="0">
                  <c:v>Em rota de entrega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'Aging do Backlog de Devoluções'!$A$5:$A$10</c:f>
              <c:strCache>
                <c:ptCount val="5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</c:strCache>
            </c:strRef>
          </c:cat>
          <c:val>
            <c:numRef>
              <c:f>'Aging do Backlog de Devoluções'!$C$5:$C$10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E-4842-AC5D-1A443D8901C6}"/>
            </c:ext>
          </c:extLst>
        </c:ser>
        <c:ser>
          <c:idx val="2"/>
          <c:order val="2"/>
          <c:tx>
            <c:strRef>
              <c:f>'Aging do Backlog de Devoluções'!$D$3:$D$4</c:f>
              <c:strCache>
                <c:ptCount val="1"/>
                <c:pt idx="0">
                  <c:v>Equipamentos a receber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'Aging do Backlog de Devoluções'!$A$5:$A$10</c:f>
              <c:strCache>
                <c:ptCount val="5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</c:strCache>
            </c:strRef>
          </c:cat>
          <c:val>
            <c:numRef>
              <c:f>'Aging do Backlog de Devoluções'!$D$5:$D$10</c:f>
              <c:numCache>
                <c:formatCode>General</c:formatCode>
                <c:ptCount val="5"/>
                <c:pt idx="0">
                  <c:v>70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E-4842-AC5D-1A443D8901C6}"/>
            </c:ext>
          </c:extLst>
        </c:ser>
        <c:ser>
          <c:idx val="3"/>
          <c:order val="3"/>
          <c:tx>
            <c:strRef>
              <c:f>'Aging do Backlog de Devoluções'!$E$3:$E$4</c:f>
              <c:strCache>
                <c:ptCount val="1"/>
                <c:pt idx="0">
                  <c:v>Ligação Ativa - ADM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'Aging do Backlog de Devoluções'!$A$5:$A$10</c:f>
              <c:strCache>
                <c:ptCount val="5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</c:strCache>
            </c:strRef>
          </c:cat>
          <c:val>
            <c:numRef>
              <c:f>'Aging do Backlog de Devoluções'!$E$5:$E$10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1E-4842-AC5D-1A443D8901C6}"/>
            </c:ext>
          </c:extLst>
        </c:ser>
        <c:ser>
          <c:idx val="4"/>
          <c:order val="4"/>
          <c:tx>
            <c:strRef>
              <c:f>'Aging do Backlog de Devoluções'!$F$3:$F$4</c:f>
              <c:strCache>
                <c:ptCount val="1"/>
                <c:pt idx="0">
                  <c:v>Régua de cobrança - Parcial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1E-4842-AC5D-1A443D8901C6}"/>
              </c:ext>
            </c:extLst>
          </c:dPt>
          <c:dLbls>
            <c:dLbl>
              <c:idx val="4"/>
              <c:layout>
                <c:manualLayout>
                  <c:x val="0"/>
                  <c:y val="-2.47699929228591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1E-4842-AC5D-1A443D8901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'Aging do Backlog de Devoluções'!$A$5:$A$10</c:f>
              <c:strCache>
                <c:ptCount val="5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</c:strCache>
            </c:strRef>
          </c:cat>
          <c:val>
            <c:numRef>
              <c:f>'Aging do Backlog de Devoluções'!$F$5:$F$10</c:f>
              <c:numCache>
                <c:formatCode>General</c:formatCode>
                <c:ptCount val="5"/>
                <c:pt idx="1">
                  <c:v>29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1E-4842-AC5D-1A443D8901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0599504"/>
        <c:axId val="2050599984"/>
      </c:barChart>
      <c:catAx>
        <c:axId val="205059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0599984"/>
        <c:crosses val="autoZero"/>
        <c:auto val="1"/>
        <c:lblAlgn val="ctr"/>
        <c:lblOffset val="100"/>
        <c:noMultiLvlLbl val="0"/>
      </c:catAx>
      <c:valAx>
        <c:axId val="20505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059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[kpi_c4_oficial.xlsx]% De Pedidos Devolvidos!Tabela dinâmica13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>
                    <a:lumMod val="95000"/>
                    <a:lumOff val="5000"/>
                  </a:schemeClr>
                </a:solidFill>
              </a:rPr>
              <a:t>%</a:t>
            </a:r>
            <a:r>
              <a:rPr lang="pt-BR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De Pedidos de Trocas Devolvidos por Mês </a:t>
            </a:r>
            <a:endParaRPr lang="pt-BR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tx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tx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tx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tx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tx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 De Pedidos Devolvidos'!$B$3</c:f>
              <c:strCache>
                <c:ptCount val="1"/>
                <c:pt idx="0">
                  <c:v>Média de % Devolvido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'% De Pedidos Devolvidos'!$A$4:$A$7</c:f>
              <c:multiLvlStrCache>
                <c:ptCount val="2"/>
                <c:lvl>
                  <c:pt idx="0">
                    <c:v>2</c:v>
                  </c:pt>
                  <c:pt idx="1">
                    <c:v>3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'% De Pedidos Devolvidos'!$B$4:$B$7</c:f>
              <c:numCache>
                <c:formatCode>0.00%</c:formatCode>
                <c:ptCount val="2"/>
                <c:pt idx="0">
                  <c:v>0.41176470588235303</c:v>
                </c:pt>
                <c:pt idx="1">
                  <c:v>0.35714285714285732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8-4742-B721-951A681484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4565632"/>
        <c:axId val="2124568512"/>
      </c:barChart>
      <c:lineChart>
        <c:grouping val="standard"/>
        <c:varyColors val="0"/>
        <c:ser>
          <c:idx val="1"/>
          <c:order val="1"/>
          <c:tx>
            <c:strRef>
              <c:f>'% De Pedidos Devolvidos'!$C$3</c:f>
              <c:strCache>
                <c:ptCount val="1"/>
                <c:pt idx="0">
                  <c:v>Máx. de Meta</c:v>
                </c:pt>
              </c:strCache>
            </c:strRef>
          </c:tx>
          <c:spPr>
            <a:ln w="222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tx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8-4742-B721-951A6814847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08-4742-B721-951A681484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'% De Pedidos Devolvidos'!$A$4:$A$7</c:f>
              <c:multiLvlStrCache>
                <c:ptCount val="2"/>
                <c:lvl>
                  <c:pt idx="0">
                    <c:v>2</c:v>
                  </c:pt>
                  <c:pt idx="1">
                    <c:v>3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'% De Pedidos Devolvidos'!$C$4:$C$7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8-4742-B721-951A681484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4565632"/>
        <c:axId val="2124568512"/>
      </c:lineChart>
      <c:catAx>
        <c:axId val="21245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68512"/>
        <c:crosses val="autoZero"/>
        <c:auto val="1"/>
        <c:lblAlgn val="ctr"/>
        <c:lblOffset val="100"/>
        <c:noMultiLvlLbl val="0"/>
      </c:catAx>
      <c:valAx>
        <c:axId val="212456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56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17</xdr:col>
      <xdr:colOff>403860</xdr:colOff>
      <xdr:row>27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1DD1E2-F95B-C207-5760-65D8A9EBC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83820</xdr:rowOff>
    </xdr:from>
    <xdr:to>
      <xdr:col>17</xdr:col>
      <xdr:colOff>411480</xdr:colOff>
      <xdr:row>49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3A1C1A-3A28-7508-7B47-E36B7E438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Bueno" refreshedDate="46110.744337962962" createdVersion="8" refreshedVersion="8" minRefreshableVersion="3" recordCount="269" xr:uid="{8FDD4E2C-3943-4C1C-98C4-8EF8F0661630}">
  <cacheSource type="worksheet">
    <worksheetSource name="Tabela1"/>
  </cacheSource>
  <cacheFields count="12">
    <cacheField name="Código" numFmtId="0">
      <sharedItems containsSemiMixedTypes="0" containsString="0" containsNumber="1" containsInteger="1" minValue="1304256478" maxValue="1326014859"/>
    </cacheField>
    <cacheField name="Título" numFmtId="0">
      <sharedItems/>
    </cacheField>
    <cacheField name="Fase atual" numFmtId="0">
      <sharedItems count="9">
        <s v="Recebido"/>
        <s v="Equipamentos a receber"/>
        <s v="Pedido na AMLabs"/>
        <s v="Em rota de entrega"/>
        <s v="Régua de cobrança - Parcial"/>
        <s v="Bloqueio parcial"/>
        <s v="Ligação Ativa - ADM"/>
        <s v="Gerar boleto"/>
        <s v="Finalizar card"/>
      </sharedItems>
    </cacheField>
    <cacheField name="Criado em" numFmtId="164">
      <sharedItems containsSemiMixedTypes="0" containsNonDate="0" containsDate="1" containsString="0" minDate="2026-02-25T22:03:35" maxDate="2026-03-27T22:04:46"/>
    </cacheField>
    <cacheField name="Dias na fase" numFmtId="1">
      <sharedItems containsSemiMixedTypes="0" containsString="0" containsNumber="1" containsInteger="1" minValue="1" maxValue="31"/>
    </cacheField>
    <cacheField name="Faixa de Dias" numFmtId="1">
      <sharedItems count="5">
        <s v="15-19 dias"/>
        <s v="25-30 dias"/>
        <s v="0-14 dias"/>
        <s v="20-24 dias"/>
        <s v="31-60 dias"/>
      </sharedItems>
    </cacheField>
    <cacheField name="Mês" numFmtId="0">
      <sharedItems containsSemiMixedTypes="0" containsString="0" containsNumber="1" containsInteger="1" minValue="2" maxValue="3" count="2">
        <n v="3"/>
        <n v="2"/>
      </sharedItems>
    </cacheField>
    <cacheField name="Ano" numFmtId="0">
      <sharedItems containsSemiMixedTypes="0" containsString="0" containsNumber="1" containsInteger="1" minValue="2026" maxValue="2026" count="1">
        <n v="2026"/>
      </sharedItems>
    </cacheField>
    <cacheField name="Total Mês" numFmtId="0">
      <sharedItems containsSemiMixedTypes="0" containsString="0" containsNumber="1" containsInteger="1" minValue="17" maxValue="252"/>
    </cacheField>
    <cacheField name="Recebidos" numFmtId="0">
      <sharedItems containsSemiMixedTypes="0" containsString="0" containsNumber="1" containsInteger="1" minValue="7" maxValue="90"/>
    </cacheField>
    <cacheField name="% Devolvido" numFmtId="10">
      <sharedItems containsSemiMixedTypes="0" containsString="0" containsNumber="1" minValue="0.35714285714285715" maxValue="0.41176470588235292"/>
    </cacheField>
    <cacheField name="Meta" numFmtId="9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n v="1312738847"/>
    <s v=" Bruno Leonardo Dantas de Assis e Medeiros Batista "/>
    <x v="0"/>
    <d v="2026-03-09T12:23:35"/>
    <n v="19"/>
    <x v="0"/>
    <x v="0"/>
    <x v="0"/>
    <n v="252"/>
    <n v="90"/>
    <n v="0.35714285714285715"/>
    <n v="1"/>
  </r>
  <r>
    <n v="1307010387"/>
    <s v=" Caio Vinícius Torres Costa Moura"/>
    <x v="0"/>
    <d v="2026-03-02T13:06:24"/>
    <n v="26"/>
    <x v="1"/>
    <x v="0"/>
    <x v="0"/>
    <n v="252"/>
    <n v="90"/>
    <n v="0.35714285714285715"/>
    <n v="1"/>
  </r>
  <r>
    <n v="1325884390"/>
    <s v=" Eduardo Baptista"/>
    <x v="1"/>
    <d v="2026-03-27T19:04:55"/>
    <n v="1"/>
    <x v="2"/>
    <x v="0"/>
    <x v="0"/>
    <n v="252"/>
    <n v="90"/>
    <n v="0.35714285714285715"/>
    <n v="1"/>
  </r>
  <r>
    <n v="1322756819"/>
    <s v=" Eduardo Paranhos Campos"/>
    <x v="1"/>
    <d v="2026-03-23T19:06:02"/>
    <n v="5"/>
    <x v="2"/>
    <x v="0"/>
    <x v="0"/>
    <n v="252"/>
    <n v="90"/>
    <n v="0.35714285714285715"/>
    <n v="1"/>
  </r>
  <r>
    <n v="1322871610"/>
    <s v=" Ilse Maria Layter"/>
    <x v="1"/>
    <d v="2026-03-23T22:04:18"/>
    <n v="5"/>
    <x v="2"/>
    <x v="0"/>
    <x v="0"/>
    <n v="252"/>
    <n v="90"/>
    <n v="0.35714285714285715"/>
    <n v="1"/>
  </r>
  <r>
    <n v="1307110231"/>
    <s v=" Jaqueline da Silva Luiz "/>
    <x v="2"/>
    <d v="2026-03-02T15:04:08"/>
    <n v="26"/>
    <x v="1"/>
    <x v="0"/>
    <x v="0"/>
    <n v="252"/>
    <n v="90"/>
    <n v="0.35714285714285715"/>
    <n v="1"/>
  </r>
  <r>
    <n v="1319291460"/>
    <s v=" Juliana Cristina  Gonçalves do Nascimento Rocha "/>
    <x v="1"/>
    <d v="2026-03-17T19:05:18"/>
    <n v="11"/>
    <x v="2"/>
    <x v="0"/>
    <x v="0"/>
    <n v="252"/>
    <n v="90"/>
    <n v="0.35714285714285715"/>
    <n v="1"/>
  </r>
  <r>
    <n v="1312774170"/>
    <s v=" Nicolas Bortot de Almeida"/>
    <x v="0"/>
    <d v="2026-03-09T13:05:08"/>
    <n v="19"/>
    <x v="0"/>
    <x v="0"/>
    <x v="0"/>
    <n v="252"/>
    <n v="90"/>
    <n v="0.35714285714285715"/>
    <n v="1"/>
  </r>
  <r>
    <n v="1310029037"/>
    <s v="790102"/>
    <x v="0"/>
    <d v="2026-03-05T19:06:17"/>
    <n v="23"/>
    <x v="3"/>
    <x v="0"/>
    <x v="0"/>
    <n v="252"/>
    <n v="90"/>
    <n v="0.35714285714285715"/>
    <n v="1"/>
  </r>
  <r>
    <n v="1320817186"/>
    <s v="Adherbal de Carvalho Neto"/>
    <x v="1"/>
    <d v="2026-03-19T22:06:28"/>
    <n v="9"/>
    <x v="2"/>
    <x v="0"/>
    <x v="0"/>
    <n v="252"/>
    <n v="90"/>
    <n v="0.35714285714285715"/>
    <n v="1"/>
  </r>
  <r>
    <n v="1313162240"/>
    <s v="Adriana Covizzi Queiroz"/>
    <x v="3"/>
    <d v="2026-03-09T19:07:50"/>
    <n v="19"/>
    <x v="0"/>
    <x v="0"/>
    <x v="0"/>
    <n v="252"/>
    <n v="90"/>
    <n v="0.35714285714285715"/>
    <n v="1"/>
  </r>
  <r>
    <n v="1309289104"/>
    <s v="Adriana Covizzi Queiroz - bloqueado"/>
    <x v="3"/>
    <d v="2026-03-04T19:05:57"/>
    <n v="24"/>
    <x v="3"/>
    <x v="0"/>
    <x v="0"/>
    <n v="252"/>
    <n v="90"/>
    <n v="0.35714285714285715"/>
    <n v="1"/>
  </r>
  <r>
    <n v="1315965015"/>
    <s v="Alex"/>
    <x v="4"/>
    <d v="2026-03-12T19:06:48"/>
    <n v="16"/>
    <x v="0"/>
    <x v="0"/>
    <x v="0"/>
    <n v="252"/>
    <n v="90"/>
    <n v="0.35714285714285715"/>
    <n v="1"/>
  </r>
  <r>
    <n v="1315963805"/>
    <s v="ALEX RIOS DOS SANTOS"/>
    <x v="4"/>
    <d v="2026-03-12T19:05:27"/>
    <n v="16"/>
    <x v="0"/>
    <x v="0"/>
    <x v="0"/>
    <n v="252"/>
    <n v="90"/>
    <n v="0.35714285714285715"/>
    <n v="1"/>
  </r>
  <r>
    <n v="1309288031"/>
    <s v="Alex- bloqueado"/>
    <x v="5"/>
    <d v="2026-03-04T19:04:28"/>
    <n v="24"/>
    <x v="3"/>
    <x v="0"/>
    <x v="0"/>
    <n v="252"/>
    <n v="90"/>
    <n v="0.35714285714285715"/>
    <n v="1"/>
  </r>
  <r>
    <n v="1325731239"/>
    <s v="Alexandre"/>
    <x v="2"/>
    <d v="2026-03-27T15:05:05"/>
    <n v="1"/>
    <x v="2"/>
    <x v="0"/>
    <x v="0"/>
    <n v="252"/>
    <n v="90"/>
    <n v="0.35714285714285715"/>
    <n v="1"/>
  </r>
  <r>
    <n v="1320687369"/>
    <s v="Aline Marques Mateus Lima"/>
    <x v="1"/>
    <d v="2026-03-19T19:06:11"/>
    <n v="9"/>
    <x v="2"/>
    <x v="0"/>
    <x v="0"/>
    <n v="252"/>
    <n v="90"/>
    <n v="0.35714285714285715"/>
    <n v="1"/>
  </r>
  <r>
    <n v="1315002992"/>
    <s v="Aline Marques Mateus Lima"/>
    <x v="4"/>
    <d v="2026-03-11T22:05:45"/>
    <n v="17"/>
    <x v="0"/>
    <x v="0"/>
    <x v="0"/>
    <n v="252"/>
    <n v="90"/>
    <n v="0.35714285714285715"/>
    <n v="1"/>
  </r>
  <r>
    <n v="1319733381"/>
    <s v="Aline Vanso Bortot "/>
    <x v="0"/>
    <d v="2026-03-18T13:03:01"/>
    <n v="10"/>
    <x v="2"/>
    <x v="0"/>
    <x v="0"/>
    <n v="252"/>
    <n v="90"/>
    <n v="0.35714285714285715"/>
    <n v="1"/>
  </r>
  <r>
    <n v="1313954383"/>
    <s v="Allan Andrade"/>
    <x v="4"/>
    <d v="2026-03-10T19:05:40"/>
    <n v="18"/>
    <x v="0"/>
    <x v="0"/>
    <x v="0"/>
    <n v="252"/>
    <n v="90"/>
    <n v="0.35714285714285715"/>
    <n v="1"/>
  </r>
  <r>
    <n v="1310810906"/>
    <s v="AM BOGALHAO COM E SERV COMBINADOS"/>
    <x v="0"/>
    <d v="2026-03-06T18:35:19"/>
    <n v="22"/>
    <x v="3"/>
    <x v="0"/>
    <x v="0"/>
    <n v="252"/>
    <n v="90"/>
    <n v="0.35714285714285715"/>
    <n v="1"/>
  </r>
  <r>
    <n v="1324172773"/>
    <s v="Amanda  Branchet"/>
    <x v="1"/>
    <d v="2026-03-25T15:04:50"/>
    <n v="3"/>
    <x v="2"/>
    <x v="0"/>
    <x v="0"/>
    <n v="252"/>
    <n v="90"/>
    <n v="0.35714285714285715"/>
    <n v="1"/>
  </r>
  <r>
    <n v="1307008823"/>
    <s v="Amanda moreno da silva "/>
    <x v="0"/>
    <d v="2026-03-02T13:04:19"/>
    <n v="26"/>
    <x v="1"/>
    <x v="0"/>
    <x v="0"/>
    <n v="252"/>
    <n v="90"/>
    <n v="0.35714285714285715"/>
    <n v="1"/>
  </r>
  <r>
    <n v="1308191152"/>
    <s v="Ana paula leal da paixao - eem rota"/>
    <x v="3"/>
    <d v="2026-03-03T15:03:08"/>
    <n v="25"/>
    <x v="1"/>
    <x v="0"/>
    <x v="0"/>
    <n v="252"/>
    <n v="90"/>
    <n v="0.35714285714285715"/>
    <n v="1"/>
  </r>
  <r>
    <n v="1323286934"/>
    <s v="Anelize Fátima de Pádua Silva "/>
    <x v="1"/>
    <d v="2026-03-24T15:05:10"/>
    <n v="4"/>
    <x v="2"/>
    <x v="0"/>
    <x v="0"/>
    <n v="252"/>
    <n v="90"/>
    <n v="0.35714285714285715"/>
    <n v="1"/>
  </r>
  <r>
    <n v="1319998969"/>
    <s v="Antonia Carla da Silva Fonseca"/>
    <x v="1"/>
    <d v="2026-03-18T19:04:54"/>
    <n v="10"/>
    <x v="2"/>
    <x v="0"/>
    <x v="0"/>
    <n v="252"/>
    <n v="90"/>
    <n v="0.35714285714285715"/>
    <n v="1"/>
  </r>
  <r>
    <n v="1321490212"/>
    <s v="Arthur Felipe Ferreira Simão"/>
    <x v="1"/>
    <d v="2026-03-20T22:06:11"/>
    <n v="8"/>
    <x v="2"/>
    <x v="0"/>
    <x v="0"/>
    <n v="252"/>
    <n v="90"/>
    <n v="0.35714285714285715"/>
    <n v="1"/>
  </r>
  <r>
    <n v="1318985910"/>
    <s v="As Três Marias Market Store ltda"/>
    <x v="0"/>
    <d v="2026-03-17T13:24:13"/>
    <n v="11"/>
    <x v="2"/>
    <x v="0"/>
    <x v="0"/>
    <n v="252"/>
    <n v="90"/>
    <n v="0.35714285714285715"/>
    <n v="1"/>
  </r>
  <r>
    <n v="1313292512"/>
    <s v="Aurora Mercadex "/>
    <x v="4"/>
    <d v="2026-03-09T22:04:33"/>
    <n v="19"/>
    <x v="0"/>
    <x v="0"/>
    <x v="0"/>
    <n v="252"/>
    <n v="90"/>
    <n v="0.35714285714285715"/>
    <n v="1"/>
  </r>
  <r>
    <n v="1322756775"/>
    <s v="borgatto comercio de produtos "/>
    <x v="1"/>
    <d v="2026-03-23T19:06:00"/>
    <n v="5"/>
    <x v="2"/>
    <x v="0"/>
    <x v="0"/>
    <n v="252"/>
    <n v="90"/>
    <n v="0.35714285714285715"/>
    <n v="1"/>
  </r>
  <r>
    <n v="1314897838"/>
    <s v="Bright Comércio de alimentos Paulínia ltda."/>
    <x v="0"/>
    <d v="2026-03-11T20:29:45"/>
    <n v="17"/>
    <x v="0"/>
    <x v="0"/>
    <x v="0"/>
    <n v="252"/>
    <n v="90"/>
    <n v="0.35714285714285715"/>
    <n v="1"/>
  </r>
  <r>
    <n v="1314897377"/>
    <s v="Bright Comércio de alimentos Paulínia ltda."/>
    <x v="0"/>
    <d v="2026-03-11T20:29:14"/>
    <n v="17"/>
    <x v="0"/>
    <x v="0"/>
    <x v="0"/>
    <n v="252"/>
    <n v="90"/>
    <n v="0.35714285714285715"/>
    <n v="1"/>
  </r>
  <r>
    <n v="1307301093"/>
    <s v="BRUNA DE AMORIM BEZIAZACINAI"/>
    <x v="0"/>
    <d v="2026-03-02T19:04:19"/>
    <n v="26"/>
    <x v="1"/>
    <x v="0"/>
    <x v="0"/>
    <n v="252"/>
    <n v="90"/>
    <n v="0.35714285714285715"/>
    <n v="1"/>
  </r>
  <r>
    <n v="1316810511"/>
    <s v="Bruno Justen de carvalho costa Ltda"/>
    <x v="3"/>
    <d v="2026-03-13T22:06:12"/>
    <n v="15"/>
    <x v="0"/>
    <x v="0"/>
    <x v="0"/>
    <n v="252"/>
    <n v="90"/>
    <n v="0.35714285714285715"/>
    <n v="1"/>
  </r>
  <r>
    <n v="1320817646"/>
    <s v="Bruno Justen de carvalho costa Ltda"/>
    <x v="3"/>
    <d v="2026-03-19T22:07:11"/>
    <n v="9"/>
    <x v="2"/>
    <x v="0"/>
    <x v="0"/>
    <n v="252"/>
    <n v="90"/>
    <n v="0.35714285714285715"/>
    <n v="1"/>
  </r>
  <r>
    <n v="1322470053"/>
    <s v="Bruno Luis Silva Penteado"/>
    <x v="1"/>
    <d v="2026-03-23T13:05:14"/>
    <n v="5"/>
    <x v="2"/>
    <x v="0"/>
    <x v="0"/>
    <n v="252"/>
    <n v="90"/>
    <n v="0.35714285714285715"/>
    <n v="1"/>
  </r>
  <r>
    <n v="1310027737"/>
    <s v="Bruno Pereira"/>
    <x v="3"/>
    <d v="2026-03-05T19:04:54"/>
    <n v="23"/>
    <x v="3"/>
    <x v="0"/>
    <x v="0"/>
    <n v="252"/>
    <n v="90"/>
    <n v="0.35714285714285715"/>
    <n v="1"/>
  </r>
  <r>
    <n v="1314095926"/>
    <s v="Bruno Pereira Galarani "/>
    <x v="4"/>
    <d v="2026-03-10T22:05:25"/>
    <n v="18"/>
    <x v="0"/>
    <x v="0"/>
    <x v="0"/>
    <n v="252"/>
    <n v="90"/>
    <n v="0.35714285714285715"/>
    <n v="1"/>
  </r>
  <r>
    <n v="1319095496"/>
    <s v="Budega in Casa"/>
    <x v="1"/>
    <d v="2026-03-17T15:03:34"/>
    <n v="11"/>
    <x v="2"/>
    <x v="0"/>
    <x v="0"/>
    <n v="252"/>
    <n v="90"/>
    <n v="0.35714285714285715"/>
    <n v="1"/>
  </r>
  <r>
    <n v="1320688217"/>
    <s v="Buy At Home"/>
    <x v="1"/>
    <d v="2026-03-19T19:07:16"/>
    <n v="9"/>
    <x v="2"/>
    <x v="0"/>
    <x v="0"/>
    <n v="252"/>
    <n v="90"/>
    <n v="0.35714285714285715"/>
    <n v="1"/>
  </r>
  <r>
    <n v="1324345984"/>
    <s v="Buy at Home Comércio Varejista de conveniência LTDA"/>
    <x v="1"/>
    <d v="2026-03-25T19:05:15"/>
    <n v="3"/>
    <x v="2"/>
    <x v="0"/>
    <x v="0"/>
    <n v="252"/>
    <n v="90"/>
    <n v="0.35714285714285715"/>
    <n v="1"/>
  </r>
  <r>
    <n v="1304256732"/>
    <s v="Carla Carolinny de Oliveira Lira"/>
    <x v="0"/>
    <d v="2026-02-25T22:03:57"/>
    <n v="31"/>
    <x v="4"/>
    <x v="1"/>
    <x v="0"/>
    <n v="17"/>
    <n v="7"/>
    <n v="0.41176470588235292"/>
    <n v="1"/>
  </r>
  <r>
    <n v="1318537706"/>
    <s v="Carlos Alexandre"/>
    <x v="1"/>
    <d v="2026-03-16T19:04:30"/>
    <n v="12"/>
    <x v="2"/>
    <x v="0"/>
    <x v="0"/>
    <n v="252"/>
    <n v="90"/>
    <n v="0.35714285714285715"/>
    <n v="1"/>
  </r>
  <r>
    <n v="1307302033"/>
    <s v="Carlos Eduardo Silva "/>
    <x v="0"/>
    <d v="2026-03-02T19:05:17"/>
    <n v="26"/>
    <x v="1"/>
    <x v="0"/>
    <x v="0"/>
    <n v="252"/>
    <n v="90"/>
    <n v="0.35714285714285715"/>
    <n v="1"/>
  </r>
  <r>
    <n v="1319999311"/>
    <s v="Cennario Market Ltda"/>
    <x v="0"/>
    <d v="2026-03-18T19:05:26"/>
    <n v="10"/>
    <x v="2"/>
    <x v="0"/>
    <x v="0"/>
    <n v="252"/>
    <n v="90"/>
    <n v="0.35714285714285715"/>
    <n v="1"/>
  </r>
  <r>
    <n v="1318141732"/>
    <s v="CHRM EASYMARKET E INSTALACOES LTDA "/>
    <x v="0"/>
    <d v="2026-03-16T13:08:05"/>
    <n v="12"/>
    <x v="2"/>
    <x v="0"/>
    <x v="0"/>
    <n v="252"/>
    <n v="90"/>
    <n v="0.35714285714285715"/>
    <n v="1"/>
  </r>
  <r>
    <n v="1310029271"/>
    <s v="Claudiane Pereira de Oliveira"/>
    <x v="0"/>
    <d v="2026-03-05T19:06:29"/>
    <n v="23"/>
    <x v="3"/>
    <x v="0"/>
    <x v="0"/>
    <n v="252"/>
    <n v="90"/>
    <n v="0.35714285714285715"/>
    <n v="1"/>
  </r>
  <r>
    <n v="1313292410"/>
    <s v="Compra rápida APM LTDA"/>
    <x v="0"/>
    <d v="2026-03-09T22:04:16"/>
    <n v="19"/>
    <x v="0"/>
    <x v="0"/>
    <x v="0"/>
    <n v="252"/>
    <n v="90"/>
    <n v="0.35714285714285715"/>
    <n v="1"/>
  </r>
  <r>
    <n v="1315002768"/>
    <s v="CONVEMIX COMERCIOS ALIMENTICIOS LTDA"/>
    <x v="4"/>
    <d v="2026-03-11T22:05:19"/>
    <n v="17"/>
    <x v="0"/>
    <x v="0"/>
    <x v="0"/>
    <n v="252"/>
    <n v="90"/>
    <n v="0.35714285714285715"/>
    <n v="1"/>
  </r>
  <r>
    <n v="1319410984"/>
    <s v="CONVEMIX COMERCIOS ALIMENTICIOS LTDA"/>
    <x v="1"/>
    <d v="2026-03-17T22:05:44"/>
    <n v="11"/>
    <x v="2"/>
    <x v="0"/>
    <x v="0"/>
    <n v="252"/>
    <n v="90"/>
    <n v="0.35714285714285715"/>
    <n v="1"/>
  </r>
  <r>
    <n v="1310165643"/>
    <s v="CONVEMIX CONVENIÊNCIAS LTDA - desbloqueado provisoriamente por 48h ( início 11:50 do dia26/03)"/>
    <x v="5"/>
    <d v="2026-03-05T22:05:29"/>
    <n v="23"/>
    <x v="3"/>
    <x v="0"/>
    <x v="0"/>
    <n v="252"/>
    <n v="90"/>
    <n v="0.35714285714285715"/>
    <n v="1"/>
  </r>
  <r>
    <n v="1308389620"/>
    <s v="Conveniência Nova Era Xpress "/>
    <x v="0"/>
    <d v="2026-03-03T19:03:45"/>
    <n v="25"/>
    <x v="1"/>
    <x v="0"/>
    <x v="0"/>
    <n v="252"/>
    <n v="90"/>
    <n v="0.35714285714285715"/>
    <n v="1"/>
  </r>
  <r>
    <n v="1315965323"/>
    <s v="CR MICROMARKETS MERCADOS AUTONOMOS DE CONVENIENCIA (ler comentário)"/>
    <x v="4"/>
    <d v="2026-03-12T19:07:08"/>
    <n v="16"/>
    <x v="0"/>
    <x v="0"/>
    <x v="0"/>
    <n v="252"/>
    <n v="90"/>
    <n v="0.35714285714285715"/>
    <n v="1"/>
  </r>
  <r>
    <n v="1305500137"/>
    <s v="Cristian Ricardo Nivoloni (aparentemente, uma máquina a mais recebida)"/>
    <x v="0"/>
    <d v="2026-02-27T19:05:07"/>
    <n v="29"/>
    <x v="1"/>
    <x v="1"/>
    <x v="0"/>
    <n v="17"/>
    <n v="7"/>
    <n v="0.41176470588235292"/>
    <n v="1"/>
  </r>
  <r>
    <n v="1313798748"/>
    <s v="D’Annes guterres lopes"/>
    <x v="4"/>
    <d v="2026-03-10T15:03:38"/>
    <n v="18"/>
    <x v="0"/>
    <x v="0"/>
    <x v="0"/>
    <n v="252"/>
    <n v="90"/>
    <n v="0.35714285714285715"/>
    <n v="1"/>
  </r>
  <r>
    <n v="1318539308"/>
    <s v="Daniel Alves Santos"/>
    <x v="0"/>
    <d v="2026-03-16T19:06:02"/>
    <n v="12"/>
    <x v="2"/>
    <x v="0"/>
    <x v="0"/>
    <n v="252"/>
    <n v="90"/>
    <n v="0.35714285714285715"/>
    <n v="1"/>
  </r>
  <r>
    <n v="1309288815"/>
    <s v="Daniela Soares de Andrade"/>
    <x v="0"/>
    <d v="2026-03-04T19:05:31"/>
    <n v="24"/>
    <x v="3"/>
    <x v="0"/>
    <x v="0"/>
    <n v="252"/>
    <n v="90"/>
    <n v="0.35714285714285715"/>
    <n v="1"/>
  </r>
  <r>
    <n v="1323157503"/>
    <s v="Danielle de Mello Ribeiro da Silva "/>
    <x v="0"/>
    <d v="2026-03-24T12:18:11"/>
    <n v="4"/>
    <x v="2"/>
    <x v="0"/>
    <x v="0"/>
    <n v="252"/>
    <n v="90"/>
    <n v="0.35714285714285715"/>
    <n v="1"/>
  </r>
  <r>
    <n v="1315963872"/>
    <s v="Dawyson Oliveira Paiva"/>
    <x v="4"/>
    <d v="2026-03-12T19:05:32"/>
    <n v="16"/>
    <x v="0"/>
    <x v="0"/>
    <x v="0"/>
    <n v="252"/>
    <n v="90"/>
    <n v="0.35714285714285715"/>
    <n v="1"/>
  </r>
  <r>
    <n v="1313709044"/>
    <s v="Denize Cirolini"/>
    <x v="0"/>
    <d v="2026-03-10T13:04:43"/>
    <n v="18"/>
    <x v="0"/>
    <x v="0"/>
    <x v="0"/>
    <n v="252"/>
    <n v="90"/>
    <n v="0.35714285714285715"/>
    <n v="1"/>
  </r>
  <r>
    <n v="1325731126"/>
    <s v="Diana Sousa de matos"/>
    <x v="1"/>
    <d v="2026-03-27T15:04:56"/>
    <n v="1"/>
    <x v="2"/>
    <x v="0"/>
    <x v="0"/>
    <n v="252"/>
    <n v="90"/>
    <n v="0.35714285714285715"/>
    <n v="1"/>
  </r>
  <r>
    <n v="1315003657"/>
    <s v="Diana Sousa de matos "/>
    <x v="4"/>
    <d v="2026-03-11T22:07:02"/>
    <n v="17"/>
    <x v="0"/>
    <x v="0"/>
    <x v="0"/>
    <n v="252"/>
    <n v="90"/>
    <n v="0.35714285714285715"/>
    <n v="1"/>
  </r>
  <r>
    <n v="1310841054"/>
    <s v="Diego Pereira Guimarães "/>
    <x v="0"/>
    <d v="2026-03-06T19:06:24"/>
    <n v="22"/>
    <x v="3"/>
    <x v="0"/>
    <x v="0"/>
    <n v="252"/>
    <n v="90"/>
    <n v="0.35714285714285715"/>
    <n v="1"/>
  </r>
  <r>
    <n v="1314805418"/>
    <s v="Doorman Rocha de produtos Alimentícios Ltda ME "/>
    <x v="4"/>
    <d v="2026-03-11T19:06:46"/>
    <n v="17"/>
    <x v="0"/>
    <x v="0"/>
    <x v="0"/>
    <n v="252"/>
    <n v="90"/>
    <n v="0.35714285714285715"/>
    <n v="1"/>
  </r>
  <r>
    <n v="1305500237"/>
    <s v="Dreams foods ltda "/>
    <x v="0"/>
    <d v="2026-02-27T19:05:13"/>
    <n v="29"/>
    <x v="1"/>
    <x v="1"/>
    <x v="0"/>
    <n v="17"/>
    <n v="7"/>
    <n v="0.41176470588235292"/>
    <n v="1"/>
  </r>
  <r>
    <n v="1324346367"/>
    <s v="E-markett Produtos Alimentícios LTDA"/>
    <x v="1"/>
    <d v="2026-03-25T19:05:33"/>
    <n v="3"/>
    <x v="2"/>
    <x v="0"/>
    <x v="0"/>
    <n v="252"/>
    <n v="90"/>
    <n v="0.35714285714285715"/>
    <n v="1"/>
  </r>
  <r>
    <n v="1318538537"/>
    <s v="E-MARKETT PRODUTOS ALIMENTICIOS LTDA"/>
    <x v="1"/>
    <d v="2026-03-16T19:05:15"/>
    <n v="12"/>
    <x v="2"/>
    <x v="0"/>
    <x v="0"/>
    <n v="252"/>
    <n v="90"/>
    <n v="0.35714285714285715"/>
    <n v="1"/>
  </r>
  <r>
    <n v="1305500482"/>
    <s v="Ed Carlo Alves Parente  - bloqueado"/>
    <x v="3"/>
    <d v="2026-02-27T19:05:29"/>
    <n v="29"/>
    <x v="1"/>
    <x v="1"/>
    <x v="0"/>
    <n v="17"/>
    <n v="7"/>
    <n v="0.41176470588235292"/>
    <n v="1"/>
  </r>
  <r>
    <n v="1322470699"/>
    <s v="Eduardo"/>
    <x v="1"/>
    <d v="2026-03-23T13:06:08"/>
    <n v="5"/>
    <x v="2"/>
    <x v="0"/>
    <x v="0"/>
    <n v="252"/>
    <n v="90"/>
    <n v="0.35714285714285715"/>
    <n v="1"/>
  </r>
  <r>
    <n v="1322470640"/>
    <s v="eduardo bosio sachetti"/>
    <x v="1"/>
    <d v="2026-03-23T13:06:04"/>
    <n v="5"/>
    <x v="2"/>
    <x v="0"/>
    <x v="0"/>
    <n v="252"/>
    <n v="90"/>
    <n v="0.35714285714285715"/>
    <n v="1"/>
  </r>
  <r>
    <n v="1319410840"/>
    <s v="Eduardo de Paula Ozório"/>
    <x v="0"/>
    <d v="2026-03-17T22:05:30"/>
    <n v="11"/>
    <x v="2"/>
    <x v="0"/>
    <x v="0"/>
    <n v="252"/>
    <n v="90"/>
    <n v="0.35714285714285715"/>
    <n v="1"/>
  </r>
  <r>
    <n v="1307008293"/>
    <s v="Eduardo Marinho"/>
    <x v="0"/>
    <d v="2026-03-02T13:03:41"/>
    <n v="26"/>
    <x v="1"/>
    <x v="0"/>
    <x v="0"/>
    <n v="252"/>
    <n v="90"/>
    <n v="0.35714285714285715"/>
    <n v="1"/>
  </r>
  <r>
    <n v="1319411044"/>
    <s v="Eduardo Rodrigues Bistaffa "/>
    <x v="0"/>
    <d v="2026-03-17T22:05:49"/>
    <n v="11"/>
    <x v="2"/>
    <x v="0"/>
    <x v="0"/>
    <n v="252"/>
    <n v="90"/>
    <n v="0.35714285714285715"/>
    <n v="1"/>
  </r>
  <r>
    <n v="1310047016"/>
    <s v="Edwilson Queiroz da Cruz:"/>
    <x v="0"/>
    <d v="2026-03-05T19:29:14"/>
    <n v="23"/>
    <x v="3"/>
    <x v="0"/>
    <x v="0"/>
    <n v="252"/>
    <n v="90"/>
    <n v="0.35714285714285715"/>
    <n v="1"/>
  </r>
  <r>
    <n v="1318538011"/>
    <s v="Eliane Regina Campos Martins "/>
    <x v="0"/>
    <d v="2026-03-16T19:04:47"/>
    <n v="12"/>
    <x v="2"/>
    <x v="0"/>
    <x v="0"/>
    <n v="252"/>
    <n v="90"/>
    <n v="0.35714285714285715"/>
    <n v="1"/>
  </r>
  <r>
    <n v="1310029353"/>
    <s v="Elisabete Vicheti "/>
    <x v="0"/>
    <d v="2026-03-05T19:06:35"/>
    <n v="23"/>
    <x v="3"/>
    <x v="0"/>
    <x v="0"/>
    <n v="252"/>
    <n v="90"/>
    <n v="0.35714285714285715"/>
    <n v="1"/>
  </r>
  <r>
    <n v="1315765863"/>
    <s v="Elizete silva Ribeiro"/>
    <x v="2"/>
    <d v="2026-03-12T15:05:29"/>
    <n v="16"/>
    <x v="0"/>
    <x v="0"/>
    <x v="0"/>
    <n v="252"/>
    <n v="90"/>
    <n v="0.35714285714285715"/>
    <n v="1"/>
  </r>
  <r>
    <n v="1319836385"/>
    <s v="Elton Souza Viana "/>
    <x v="1"/>
    <d v="2026-03-18T15:03:19"/>
    <n v="10"/>
    <x v="2"/>
    <x v="0"/>
    <x v="0"/>
    <n v="252"/>
    <n v="90"/>
    <n v="0.35714285714285715"/>
    <n v="1"/>
  </r>
  <r>
    <n v="1305655468"/>
    <s v="Emiangela Miguel dos Anjos"/>
    <x v="0"/>
    <d v="2026-02-27T22:05:23"/>
    <n v="29"/>
    <x v="1"/>
    <x v="1"/>
    <x v="0"/>
    <n v="17"/>
    <n v="7"/>
    <n v="0.41176470588235292"/>
    <n v="1"/>
  </r>
  <r>
    <n v="1326014859"/>
    <s v="EMPORIO E MERCEARIA RAC LTDA "/>
    <x v="1"/>
    <d v="2026-03-27T22:04:46"/>
    <n v="1"/>
    <x v="2"/>
    <x v="0"/>
    <x v="0"/>
    <n v="252"/>
    <n v="90"/>
    <n v="0.35714285714285715"/>
    <n v="1"/>
  </r>
  <r>
    <n v="1313799733"/>
    <s v="Erica Francieli Tobias  - 30c para V1"/>
    <x v="0"/>
    <d v="2026-03-10T15:05:02"/>
    <n v="18"/>
    <x v="0"/>
    <x v="0"/>
    <x v="0"/>
    <n v="252"/>
    <n v="90"/>
    <n v="0.35714285714285715"/>
    <n v="1"/>
  </r>
  <r>
    <n v="1323286181"/>
    <s v="Erica Francieli Tobias Erica&quot;s Alimentos "/>
    <x v="1"/>
    <d v="2026-03-24T15:03:55"/>
    <n v="4"/>
    <x v="2"/>
    <x v="0"/>
    <x v="0"/>
    <n v="252"/>
    <n v="90"/>
    <n v="0.35714285714285715"/>
    <n v="1"/>
  </r>
  <r>
    <n v="1307438425"/>
    <s v="Erika Agro Representacoes LTDA - bloqueada"/>
    <x v="5"/>
    <d v="2026-03-02T22:04:35"/>
    <n v="26"/>
    <x v="1"/>
    <x v="0"/>
    <x v="0"/>
    <n v="252"/>
    <n v="90"/>
    <n v="0.35714285714285715"/>
    <n v="1"/>
  </r>
  <r>
    <n v="1320109480"/>
    <s v="Erika Carla Fernandes de Macedo"/>
    <x v="1"/>
    <d v="2026-03-18T22:05:15"/>
    <n v="10"/>
    <x v="2"/>
    <x v="0"/>
    <x v="0"/>
    <n v="252"/>
    <n v="90"/>
    <n v="0.35714285714285715"/>
    <n v="1"/>
  </r>
  <r>
    <n v="1307302325"/>
    <s v="FÁBIO DOS SANTOS MARQUES"/>
    <x v="0"/>
    <d v="2026-03-02T19:05:33"/>
    <n v="26"/>
    <x v="1"/>
    <x v="0"/>
    <x v="0"/>
    <n v="252"/>
    <n v="90"/>
    <n v="0.35714285714285715"/>
    <n v="1"/>
  </r>
  <r>
    <n v="1315991881"/>
    <s v="Felipe"/>
    <x v="0"/>
    <d v="2026-03-12T19:39:57"/>
    <n v="16"/>
    <x v="0"/>
    <x v="0"/>
    <x v="0"/>
    <n v="252"/>
    <n v="90"/>
    <n v="0.35714285714285715"/>
    <n v="1"/>
  </r>
  <r>
    <n v="1306961901"/>
    <s v="Felipe"/>
    <x v="0"/>
    <d v="2026-03-02T12:09:59"/>
    <n v="26"/>
    <x v="1"/>
    <x v="0"/>
    <x v="0"/>
    <n v="252"/>
    <n v="90"/>
    <n v="0.35714285714285715"/>
    <n v="1"/>
  </r>
  <r>
    <n v="1308390665"/>
    <s v="Felipe Jesus Pimentel Feitosa "/>
    <x v="0"/>
    <d v="2026-03-03T19:04:37"/>
    <n v="25"/>
    <x v="1"/>
    <x v="0"/>
    <x v="0"/>
    <n v="252"/>
    <n v="90"/>
    <n v="0.35714285714285715"/>
    <n v="1"/>
  </r>
  <r>
    <n v="1307301587"/>
    <s v="Fellipe Thomaz de Azevedo Barreto - bloqueado"/>
    <x v="3"/>
    <d v="2026-03-02T19:04:50"/>
    <n v="26"/>
    <x v="1"/>
    <x v="0"/>
    <x v="0"/>
    <n v="252"/>
    <n v="90"/>
    <n v="0.35714285714285715"/>
    <n v="1"/>
  </r>
  <r>
    <n v="1323528572"/>
    <s v="Fernanda - 30c para Smart 1!!!! "/>
    <x v="1"/>
    <d v="2026-03-24T19:06:06"/>
    <n v="4"/>
    <x v="2"/>
    <x v="0"/>
    <x v="0"/>
    <n v="252"/>
    <n v="90"/>
    <n v="0.35714285714285715"/>
    <n v="1"/>
  </r>
  <r>
    <n v="1308390566"/>
    <s v="Fernanda da silva cordeio "/>
    <x v="0"/>
    <d v="2026-03-03T19:04:31"/>
    <n v="25"/>
    <x v="1"/>
    <x v="0"/>
    <x v="0"/>
    <n v="252"/>
    <n v="90"/>
    <n v="0.35714285714285715"/>
    <n v="1"/>
  </r>
  <r>
    <n v="1325884597"/>
    <s v="Fernanda da silva cordeio - Troca para máquina V1"/>
    <x v="1"/>
    <d v="2026-03-27T19:05:11"/>
    <n v="1"/>
    <x v="2"/>
    <x v="0"/>
    <x v="0"/>
    <n v="252"/>
    <n v="90"/>
    <n v="0.35714285714285715"/>
    <n v="1"/>
  </r>
  <r>
    <n v="1320816677"/>
    <s v="Fernanda Mulinari "/>
    <x v="1"/>
    <d v="2026-03-19T22:05:41"/>
    <n v="9"/>
    <x v="2"/>
    <x v="0"/>
    <x v="0"/>
    <n v="252"/>
    <n v="90"/>
    <n v="0.35714285714285715"/>
    <n v="1"/>
  </r>
  <r>
    <n v="1313159140"/>
    <s v="Fernando de Jesus Ramos "/>
    <x v="5"/>
    <d v="2026-03-09T19:03:48"/>
    <n v="19"/>
    <x v="0"/>
    <x v="0"/>
    <x v="0"/>
    <n v="252"/>
    <n v="90"/>
    <n v="0.35714285714285715"/>
    <n v="1"/>
  </r>
  <r>
    <n v="1319292301"/>
    <s v="Fernando Henrique Martins Sobral "/>
    <x v="1"/>
    <d v="2026-03-17T19:06:18"/>
    <n v="11"/>
    <x v="2"/>
    <x v="0"/>
    <x v="0"/>
    <n v="252"/>
    <n v="90"/>
    <n v="0.35714285714285715"/>
    <n v="1"/>
  </r>
  <r>
    <n v="1304258492"/>
    <s v="FERNANDO MACEDO PIVA"/>
    <x v="4"/>
    <d v="2026-02-25T22:06:25"/>
    <n v="31"/>
    <x v="4"/>
    <x v="1"/>
    <x v="0"/>
    <n v="17"/>
    <n v="7"/>
    <n v="0.41176470588235292"/>
    <n v="1"/>
  </r>
  <r>
    <n v="1307007151"/>
    <s v="Flavio Dias da Silva - não cobramos fonte Raspbery"/>
    <x v="2"/>
    <d v="2026-03-02T13:02:32"/>
    <n v="26"/>
    <x v="1"/>
    <x v="0"/>
    <x v="0"/>
    <n v="252"/>
    <n v="90"/>
    <n v="0.35714285714285715"/>
    <n v="1"/>
  </r>
  <r>
    <n v="1321367055"/>
    <s v="FLAVIO DINIZ GONCALVES FARIA"/>
    <x v="1"/>
    <d v="2026-03-20T19:02:21"/>
    <n v="8"/>
    <x v="2"/>
    <x v="0"/>
    <x v="0"/>
    <n v="252"/>
    <n v="90"/>
    <n v="0.35714285714285715"/>
    <n v="1"/>
  </r>
  <r>
    <n v="1304763615"/>
    <s v="FLAVIO DINIZ GONCALVES FARIA - Analisar"/>
    <x v="5"/>
    <d v="2026-02-26T19:05:02"/>
    <n v="30"/>
    <x v="1"/>
    <x v="1"/>
    <x v="0"/>
    <n v="17"/>
    <n v="7"/>
    <n v="0.41176470588235292"/>
    <n v="1"/>
  </r>
  <r>
    <n v="1307302715"/>
    <s v="Fvw Vending Comércio e Locação de Equipamentos e Alimentos Ltda. - ANALISAR (YOUSE)"/>
    <x v="0"/>
    <d v="2026-03-02T19:05:55"/>
    <n v="26"/>
    <x v="1"/>
    <x v="0"/>
    <x v="0"/>
    <n v="252"/>
    <n v="90"/>
    <n v="0.35714285714285715"/>
    <n v="1"/>
  </r>
  <r>
    <n v="1313161337"/>
    <s v="Gabriel Felipe Kesslau"/>
    <x v="0"/>
    <d v="2026-03-09T19:06:30"/>
    <n v="19"/>
    <x v="0"/>
    <x v="0"/>
    <x v="0"/>
    <n v="252"/>
    <n v="90"/>
    <n v="0.35714285714285715"/>
    <n v="1"/>
  </r>
  <r>
    <n v="1322454929"/>
    <s v="Gabriela Permagnani dos Santos"/>
    <x v="2"/>
    <d v="2026-03-23T12:47:25"/>
    <n v="5"/>
    <x v="2"/>
    <x v="0"/>
    <x v="0"/>
    <n v="252"/>
    <n v="90"/>
    <n v="0.35714285714285715"/>
    <n v="1"/>
  </r>
  <r>
    <n v="1305499115"/>
    <s v="GLÁUCIA BELO"/>
    <x v="0"/>
    <d v="2026-02-27T19:04:18"/>
    <n v="29"/>
    <x v="1"/>
    <x v="1"/>
    <x v="0"/>
    <n v="17"/>
    <n v="7"/>
    <n v="0.41176470588235292"/>
    <n v="1"/>
  </r>
  <r>
    <n v="1305653183"/>
    <s v="Gledson Antonio Cavalcanti dos Santos - bloqueado"/>
    <x v="3"/>
    <d v="2026-02-27T22:02:34"/>
    <n v="29"/>
    <x v="1"/>
    <x v="1"/>
    <x v="0"/>
    <n v="17"/>
    <n v="7"/>
    <n v="0.41176470588235292"/>
    <n v="1"/>
  </r>
  <r>
    <n v="1310165079"/>
    <s v="GO!STORE - fonte rasp não cobrar"/>
    <x v="2"/>
    <d v="2026-03-05T22:04:45"/>
    <n v="23"/>
    <x v="3"/>
    <x v="0"/>
    <x v="0"/>
    <n v="252"/>
    <n v="90"/>
    <n v="0.35714285714285715"/>
    <n v="1"/>
  </r>
  <r>
    <n v="1321370889"/>
    <s v="Gustavo Miragaia"/>
    <x v="3"/>
    <d v="2026-03-20T19:06:19"/>
    <n v="8"/>
    <x v="2"/>
    <x v="0"/>
    <x v="0"/>
    <n v="252"/>
    <n v="90"/>
    <n v="0.35714285714285715"/>
    <n v="1"/>
  </r>
  <r>
    <n v="1313955070"/>
    <s v="Helena Maygar Santos"/>
    <x v="0"/>
    <d v="2026-03-10T19:06:16"/>
    <n v="18"/>
    <x v="0"/>
    <x v="0"/>
    <x v="0"/>
    <n v="252"/>
    <n v="90"/>
    <n v="0.35714285714285715"/>
    <n v="1"/>
  </r>
  <r>
    <n v="1318537914"/>
    <s v="HELLEN ANDRADE SANTOS DE SOUZA"/>
    <x v="2"/>
    <d v="2026-03-16T19:04:41"/>
    <n v="12"/>
    <x v="2"/>
    <x v="0"/>
    <x v="0"/>
    <n v="252"/>
    <n v="90"/>
    <n v="0.35714285714285715"/>
    <n v="1"/>
  </r>
  <r>
    <n v="1309288170"/>
    <s v="HELPMART MERCADO INTELIGENTE-  não cobramos fonte TPFlex"/>
    <x v="2"/>
    <d v="2026-03-04T19:04:41"/>
    <n v="24"/>
    <x v="3"/>
    <x v="0"/>
    <x v="0"/>
    <n v="252"/>
    <n v="90"/>
    <n v="0.35714285714285715"/>
    <n v="1"/>
  </r>
  <r>
    <n v="1326014549"/>
    <s v="HOMEPLACE MARKET COMERCIO DE ALIMEN"/>
    <x v="1"/>
    <d v="2026-03-27T22:04:00"/>
    <n v="1"/>
    <x v="2"/>
    <x v="0"/>
    <x v="0"/>
    <n v="252"/>
    <n v="90"/>
    <n v="0.35714285714285715"/>
    <n v="1"/>
  </r>
  <r>
    <n v="1325011893"/>
    <s v="Honest Market BR"/>
    <x v="1"/>
    <d v="2026-03-26T16:37:50"/>
    <n v="2"/>
    <x v="2"/>
    <x v="0"/>
    <x v="0"/>
    <n v="252"/>
    <n v="90"/>
    <n v="0.35714285714285715"/>
    <n v="1"/>
  </r>
  <r>
    <n v="1312739093"/>
    <s v="HONEST SMART PLACE LTDA"/>
    <x v="5"/>
    <d v="2026-03-09T12:23:55"/>
    <n v="19"/>
    <x v="0"/>
    <x v="0"/>
    <x v="0"/>
    <n v="252"/>
    <n v="90"/>
    <n v="0.35714285714285715"/>
    <n v="1"/>
  </r>
  <r>
    <n v="1310840396"/>
    <s v="Ieda Fabiana Zussa Orsini "/>
    <x v="0"/>
    <d v="2026-03-06T19:05:48"/>
    <n v="22"/>
    <x v="3"/>
    <x v="0"/>
    <x v="0"/>
    <n v="252"/>
    <n v="90"/>
    <n v="0.35714285714285715"/>
    <n v="1"/>
  </r>
  <r>
    <n v="1323527685"/>
    <s v="Inova Machines "/>
    <x v="1"/>
    <d v="2026-03-24T19:05:04"/>
    <n v="4"/>
    <x v="2"/>
    <x v="0"/>
    <x v="0"/>
    <n v="252"/>
    <n v="90"/>
    <n v="0.35714285714285715"/>
    <n v="1"/>
  </r>
  <r>
    <n v="1313160711"/>
    <s v="Inova Pina ltda"/>
    <x v="0"/>
    <d v="2026-03-09T19:05:44"/>
    <n v="19"/>
    <x v="0"/>
    <x v="0"/>
    <x v="0"/>
    <n v="252"/>
    <n v="90"/>
    <n v="0.35714285714285715"/>
    <n v="1"/>
  </r>
  <r>
    <n v="1324345483"/>
    <s v="Inova Pina ltda"/>
    <x v="1"/>
    <d v="2026-03-25T19:04:39"/>
    <n v="3"/>
    <x v="2"/>
    <x v="0"/>
    <x v="0"/>
    <n v="252"/>
    <n v="90"/>
    <n v="0.35714285714285715"/>
    <n v="1"/>
  </r>
  <r>
    <n v="1304765152"/>
    <s v="Inova Pina ltda (ainda não chegou)"/>
    <x v="2"/>
    <d v="2026-02-26T19:07:11"/>
    <n v="30"/>
    <x v="1"/>
    <x v="1"/>
    <x v="0"/>
    <n v="17"/>
    <n v="7"/>
    <n v="0.41176470588235292"/>
    <n v="1"/>
  </r>
  <r>
    <n v="1313954526"/>
    <s v="Isabela Vitória Brasil - FONTE ORIGINAL TPFLEX "/>
    <x v="4"/>
    <d v="2026-03-10T19:05:47"/>
    <n v="18"/>
    <x v="0"/>
    <x v="0"/>
    <x v="0"/>
    <n v="252"/>
    <n v="90"/>
    <n v="0.35714285714285715"/>
    <n v="1"/>
  </r>
  <r>
    <n v="1305499893"/>
    <s v="Isamara Fontes - bloqueado"/>
    <x v="5"/>
    <d v="2026-02-27T19:04:54"/>
    <n v="29"/>
    <x v="1"/>
    <x v="1"/>
    <x v="0"/>
    <n v="17"/>
    <n v="7"/>
    <n v="0.41176470588235292"/>
    <n v="1"/>
  </r>
  <r>
    <n v="1308390122"/>
    <s v="Itamar Rodrigo Moreira de Oliveira - bloqueado por pagamento"/>
    <x v="5"/>
    <d v="2026-03-03T19:04:06"/>
    <n v="25"/>
    <x v="1"/>
    <x v="0"/>
    <x v="0"/>
    <n v="252"/>
    <n v="90"/>
    <n v="0.35714285714285715"/>
    <n v="1"/>
  </r>
  <r>
    <n v="1314803914"/>
    <s v="Jackeline Cristina Cordeiro Araújo - está em fila do comercial"/>
    <x v="6"/>
    <d v="2026-03-11T19:05:36"/>
    <n v="17"/>
    <x v="0"/>
    <x v="0"/>
    <x v="0"/>
    <n v="252"/>
    <n v="90"/>
    <n v="0.35714285714285715"/>
    <n v="1"/>
  </r>
  <r>
    <n v="1316386511"/>
    <s v="Jaqueline loren silva vargas"/>
    <x v="0"/>
    <d v="2026-03-13T12:23:01"/>
    <n v="15"/>
    <x v="0"/>
    <x v="0"/>
    <x v="0"/>
    <n v="252"/>
    <n v="90"/>
    <n v="0.35714285714285715"/>
    <n v="1"/>
  </r>
  <r>
    <n v="1313952300"/>
    <s v="Jeriel Conceição Silva"/>
    <x v="4"/>
    <d v="2026-03-10T19:03:41"/>
    <n v="18"/>
    <x v="0"/>
    <x v="0"/>
    <x v="0"/>
    <n v="252"/>
    <n v="90"/>
    <n v="0.35714285714285715"/>
    <n v="1"/>
  </r>
  <r>
    <n v="1310839415"/>
    <s v="Jeriel Conceição Silva - MERCADEX (Stone)"/>
    <x v="5"/>
    <d v="2026-03-06T19:04:53"/>
    <n v="22"/>
    <x v="3"/>
    <x v="0"/>
    <x v="0"/>
    <n v="252"/>
    <n v="90"/>
    <n v="0.35714285714285715"/>
    <n v="1"/>
  </r>
  <r>
    <n v="1314806196"/>
    <s v="João Fernando Bataglião Junior"/>
    <x v="0"/>
    <d v="2026-03-11T19:07:26"/>
    <n v="17"/>
    <x v="0"/>
    <x v="0"/>
    <x v="0"/>
    <n v="252"/>
    <n v="90"/>
    <n v="0.35714285714285715"/>
    <n v="1"/>
  </r>
  <r>
    <n v="1308392196"/>
    <s v="João Paulo Rocha Sad"/>
    <x v="0"/>
    <d v="2026-03-03T19:06:03"/>
    <n v="25"/>
    <x v="1"/>
    <x v="0"/>
    <x v="0"/>
    <n v="252"/>
    <n v="90"/>
    <n v="0.35714285714285715"/>
    <n v="1"/>
  </r>
  <r>
    <n v="1313161493"/>
    <s v="João Victor Teodoro Marchon Pereira"/>
    <x v="0"/>
    <d v="2026-03-09T19:06:44"/>
    <n v="19"/>
    <x v="0"/>
    <x v="0"/>
    <x v="0"/>
    <n v="252"/>
    <n v="90"/>
    <n v="0.35714285714285715"/>
    <n v="1"/>
  </r>
  <r>
    <n v="1319291407"/>
    <s v="Juliana Cristina  Gonçalves do Nascimento Rocha  - Comentário!"/>
    <x v="1"/>
    <d v="2026-03-17T19:05:13"/>
    <n v="11"/>
    <x v="2"/>
    <x v="0"/>
    <x v="0"/>
    <n v="252"/>
    <n v="90"/>
    <n v="0.35714285714285715"/>
    <n v="1"/>
  </r>
  <r>
    <n v="1308389830"/>
    <s v="Juliana De Jesus Dos Santos Silva "/>
    <x v="0"/>
    <d v="2026-03-03T19:03:53"/>
    <n v="25"/>
    <x v="1"/>
    <x v="0"/>
    <x v="0"/>
    <n v="252"/>
    <n v="90"/>
    <n v="0.35714285714285715"/>
    <n v="1"/>
  </r>
  <r>
    <n v="1309843488"/>
    <s v="Kaique Luan Silva Quaresma"/>
    <x v="3"/>
    <d v="2026-03-05T15:05:31"/>
    <n v="23"/>
    <x v="3"/>
    <x v="0"/>
    <x v="0"/>
    <n v="252"/>
    <n v="90"/>
    <n v="0.35714285714285715"/>
    <n v="1"/>
  </r>
  <r>
    <n v="1315767784"/>
    <s v="Kaique Luan Silva Quaresma"/>
    <x v="4"/>
    <d v="2026-03-12T15:07:24"/>
    <n v="16"/>
    <x v="0"/>
    <x v="0"/>
    <x v="0"/>
    <n v="252"/>
    <n v="90"/>
    <n v="0.35714285714285715"/>
    <n v="1"/>
  </r>
  <r>
    <n v="1320688920"/>
    <s v="Karina lancerote Produtos"/>
    <x v="0"/>
    <d v="2026-03-19T19:08:13"/>
    <n v="9"/>
    <x v="2"/>
    <x v="0"/>
    <x v="0"/>
    <n v="252"/>
    <n v="90"/>
    <n v="0.35714285714285715"/>
    <n v="1"/>
  </r>
  <r>
    <n v="1323528656"/>
    <s v="Karla Cristina de Oliveira Gomes"/>
    <x v="1"/>
    <d v="2026-03-24T19:06:12"/>
    <n v="4"/>
    <x v="2"/>
    <x v="0"/>
    <x v="0"/>
    <n v="252"/>
    <n v="90"/>
    <n v="0.35714285714285715"/>
    <n v="1"/>
  </r>
  <r>
    <n v="1307300251"/>
    <s v="Katson Costa - contato feito, código reverso enviado"/>
    <x v="6"/>
    <d v="2026-03-02T19:03:33"/>
    <n v="26"/>
    <x v="1"/>
    <x v="0"/>
    <x v="0"/>
    <n v="252"/>
    <n v="90"/>
    <n v="0.35714285714285715"/>
    <n v="1"/>
  </r>
  <r>
    <n v="1307009660"/>
    <s v="Kaua Fernandes"/>
    <x v="2"/>
    <d v="2026-03-02T13:05:24"/>
    <n v="26"/>
    <x v="1"/>
    <x v="0"/>
    <x v="0"/>
    <n v="252"/>
    <n v="90"/>
    <n v="0.35714285714285715"/>
    <n v="1"/>
  </r>
  <r>
    <n v="1307211340"/>
    <s v="Kéli Back Sinhorini - bloqueada"/>
    <x v="2"/>
    <d v="2026-03-02T17:19:59"/>
    <n v="26"/>
    <x v="1"/>
    <x v="0"/>
    <x v="0"/>
    <n v="252"/>
    <n v="90"/>
    <n v="0.35714285714285715"/>
    <n v="1"/>
  </r>
  <r>
    <n v="1318674416"/>
    <s v="Kelly Regina Silva Dias"/>
    <x v="2"/>
    <d v="2026-03-16T22:05:19"/>
    <n v="12"/>
    <x v="2"/>
    <x v="0"/>
    <x v="0"/>
    <n v="252"/>
    <n v="90"/>
    <n v="0.35714285714285715"/>
    <n v="1"/>
  </r>
  <r>
    <n v="1309289042"/>
    <s v="LAIDES SOARES DA SILVA"/>
    <x v="0"/>
    <d v="2026-03-04T19:05:51"/>
    <n v="24"/>
    <x v="3"/>
    <x v="0"/>
    <x v="0"/>
    <n v="252"/>
    <n v="90"/>
    <n v="0.35714285714285715"/>
    <n v="1"/>
  </r>
  <r>
    <n v="1322469634"/>
    <s v="Laiza Gabrielly Pereira De Aquino "/>
    <x v="1"/>
    <d v="2026-03-23T13:04:46"/>
    <n v="5"/>
    <x v="2"/>
    <x v="0"/>
    <x v="0"/>
    <n v="252"/>
    <n v="90"/>
    <n v="0.35714285714285715"/>
    <n v="1"/>
  </r>
  <r>
    <n v="1307989467"/>
    <s v="Laiza Gabrielly Pereira De Aquino - bloqueado"/>
    <x v="5"/>
    <d v="2026-03-03T12:01:35"/>
    <n v="25"/>
    <x v="1"/>
    <x v="0"/>
    <x v="0"/>
    <n v="252"/>
    <n v="90"/>
    <n v="0.35714285714285715"/>
    <n v="1"/>
  </r>
  <r>
    <n v="1315964078"/>
    <s v="Leandro Alexandre  Estafor"/>
    <x v="4"/>
    <d v="2026-03-12T19:05:48"/>
    <n v="16"/>
    <x v="0"/>
    <x v="0"/>
    <x v="0"/>
    <n v="252"/>
    <n v="90"/>
    <n v="0.35714285714285715"/>
    <n v="1"/>
  </r>
  <r>
    <n v="1308193195"/>
    <s v="Leandro Alves de Mira  - bleoqueado"/>
    <x v="7"/>
    <d v="2026-03-03T15:05:39"/>
    <n v="25"/>
    <x v="1"/>
    <x v="0"/>
    <x v="0"/>
    <n v="252"/>
    <n v="90"/>
    <n v="0.35714285714285715"/>
    <n v="1"/>
  </r>
  <r>
    <n v="1318539147"/>
    <s v="Letícia Luciane Totolo de Mello"/>
    <x v="0"/>
    <d v="2026-03-16T19:05:53"/>
    <n v="12"/>
    <x v="2"/>
    <x v="0"/>
    <x v="0"/>
    <n v="252"/>
    <n v="90"/>
    <n v="0.35714285714285715"/>
    <n v="1"/>
  </r>
  <r>
    <n v="1319291592"/>
    <s v="Levefast Conveniencias Ltda"/>
    <x v="1"/>
    <d v="2026-03-17T19:05:27"/>
    <n v="11"/>
    <x v="2"/>
    <x v="0"/>
    <x v="0"/>
    <n v="252"/>
    <n v="90"/>
    <n v="0.35714285714285715"/>
    <n v="1"/>
  </r>
  <r>
    <n v="1309288986"/>
    <s v="LIMA STORE COMERCIO DE PRODUTOS ALIMENTICIOS LTDA - bloqueado"/>
    <x v="5"/>
    <d v="2026-03-04T19:05:46"/>
    <n v="24"/>
    <x v="3"/>
    <x v="0"/>
    <x v="0"/>
    <n v="252"/>
    <n v="90"/>
    <n v="0.35714285714285715"/>
    <n v="1"/>
  </r>
  <r>
    <n v="1307051648"/>
    <s v="Luan Henrique Freire Righi"/>
    <x v="3"/>
    <d v="2026-03-02T13:58:27"/>
    <n v="26"/>
    <x v="1"/>
    <x v="0"/>
    <x v="0"/>
    <n v="252"/>
    <n v="90"/>
    <n v="0.35714285714285715"/>
    <n v="1"/>
  </r>
  <r>
    <n v="1307051411"/>
    <s v="Luan Henrique Freire Righi"/>
    <x v="3"/>
    <d v="2026-03-02T13:58:09"/>
    <n v="26"/>
    <x v="1"/>
    <x v="0"/>
    <x v="0"/>
    <n v="252"/>
    <n v="90"/>
    <n v="0.35714285714285715"/>
    <n v="1"/>
  </r>
  <r>
    <n v="1314554796"/>
    <s v="Luana Garcia Moreira"/>
    <x v="4"/>
    <d v="2026-03-11T15:04:09"/>
    <n v="17"/>
    <x v="0"/>
    <x v="0"/>
    <x v="0"/>
    <n v="252"/>
    <n v="90"/>
    <n v="0.35714285714285715"/>
    <n v="1"/>
  </r>
  <r>
    <n v="1314026388"/>
    <s v="Lucas Diego Pereira das Graças"/>
    <x v="0"/>
    <d v="2026-03-10T20:23:10"/>
    <n v="18"/>
    <x v="0"/>
    <x v="0"/>
    <x v="0"/>
    <n v="252"/>
    <n v="90"/>
    <n v="0.35714285714285715"/>
    <n v="1"/>
  </r>
  <r>
    <n v="1321371895"/>
    <s v="Lucas Ferri dos Santos Souza"/>
    <x v="2"/>
    <d v="2026-03-20T19:07:18"/>
    <n v="8"/>
    <x v="2"/>
    <x v="0"/>
    <x v="0"/>
    <n v="252"/>
    <n v="90"/>
    <n v="0.35714285714285715"/>
    <n v="1"/>
  </r>
  <r>
    <n v="1310165697"/>
    <s v="Lucas Oristanio Maloi"/>
    <x v="0"/>
    <d v="2026-03-05T22:05:34"/>
    <n v="23"/>
    <x v="3"/>
    <x v="0"/>
    <x v="0"/>
    <n v="252"/>
    <n v="90"/>
    <n v="0.35714285714285715"/>
    <n v="1"/>
  </r>
  <r>
    <n v="1308579829"/>
    <s v="Luciana chelim Fernandes:"/>
    <x v="0"/>
    <d v="2026-03-03T22:04:14"/>
    <n v="25"/>
    <x v="1"/>
    <x v="0"/>
    <x v="0"/>
    <n v="252"/>
    <n v="90"/>
    <n v="0.35714285714285715"/>
    <n v="1"/>
  </r>
  <r>
    <n v="1314095684"/>
    <s v="Lúcio Corrêa Oliveira de oliveira ltda"/>
    <x v="0"/>
    <d v="2026-03-10T22:04:55"/>
    <n v="18"/>
    <x v="0"/>
    <x v="0"/>
    <x v="0"/>
    <n v="252"/>
    <n v="90"/>
    <n v="0.35714285714285715"/>
    <n v="1"/>
  </r>
  <r>
    <n v="1309288491"/>
    <s v="Luiz Gustavo Notario- fonte rasp, não cobramos"/>
    <x v="2"/>
    <d v="2026-03-04T19:05:06"/>
    <n v="24"/>
    <x v="3"/>
    <x v="0"/>
    <x v="0"/>
    <n v="252"/>
    <n v="90"/>
    <n v="0.35714285714285715"/>
    <n v="1"/>
  </r>
  <r>
    <n v="1315003603"/>
    <s v="M&amp;V Market"/>
    <x v="0"/>
    <d v="2026-03-11T22:06:57"/>
    <n v="17"/>
    <x v="0"/>
    <x v="0"/>
    <x v="0"/>
    <n v="252"/>
    <n v="90"/>
    <n v="0.35714285714285715"/>
    <n v="1"/>
  </r>
  <r>
    <n v="1313162031"/>
    <s v="MA HOME MARKET"/>
    <x v="5"/>
    <d v="2026-03-09T19:07:30"/>
    <n v="19"/>
    <x v="0"/>
    <x v="0"/>
    <x v="0"/>
    <n v="252"/>
    <n v="90"/>
    <n v="0.35714285714285715"/>
    <n v="1"/>
  </r>
  <r>
    <n v="1313799693"/>
    <s v="Maciel Almondes Pereira"/>
    <x v="0"/>
    <d v="2026-03-10T15:04:59"/>
    <n v="18"/>
    <x v="0"/>
    <x v="0"/>
    <x v="0"/>
    <n v="252"/>
    <n v="90"/>
    <n v="0.35714285714285715"/>
    <n v="1"/>
  </r>
  <r>
    <n v="1318274465"/>
    <s v="Maciel Almondes Pereira "/>
    <x v="0"/>
    <d v="2026-03-16T15:06:34"/>
    <n v="12"/>
    <x v="2"/>
    <x v="0"/>
    <x v="0"/>
    <n v="252"/>
    <n v="90"/>
    <n v="0.35714285714285715"/>
    <n v="1"/>
  </r>
  <r>
    <n v="1319098173"/>
    <s v="Maciel Almondes Pereira - 30c PARA V1! "/>
    <x v="0"/>
    <d v="2026-03-17T15:06:17"/>
    <n v="11"/>
    <x v="2"/>
    <x v="0"/>
    <x v="0"/>
    <n v="252"/>
    <n v="90"/>
    <n v="0.35714285714285715"/>
    <n v="1"/>
  </r>
  <r>
    <n v="1319999573"/>
    <s v="Manasses Pessoa de Lima "/>
    <x v="0"/>
    <d v="2026-03-18T19:05:51"/>
    <n v="10"/>
    <x v="2"/>
    <x v="0"/>
    <x v="0"/>
    <n v="252"/>
    <n v="90"/>
    <n v="0.35714285714285715"/>
    <n v="1"/>
  </r>
  <r>
    <n v="1318538439"/>
    <s v="mão na roda market "/>
    <x v="1"/>
    <d v="2026-03-16T19:05:10"/>
    <n v="12"/>
    <x v="2"/>
    <x v="0"/>
    <x v="0"/>
    <n v="252"/>
    <n v="90"/>
    <n v="0.35714285714285715"/>
    <n v="1"/>
  </r>
  <r>
    <n v="1310027328"/>
    <s v="mão na roda market - analisando"/>
    <x v="5"/>
    <d v="2026-03-05T19:04:28"/>
    <n v="23"/>
    <x v="3"/>
    <x v="0"/>
    <x v="0"/>
    <n v="252"/>
    <n v="90"/>
    <n v="0.35714285714285715"/>
    <n v="1"/>
  </r>
  <r>
    <n v="1319292763"/>
    <s v="Marcella Silva Manganaro Blois"/>
    <x v="3"/>
    <d v="2026-03-17T19:06:45"/>
    <n v="11"/>
    <x v="2"/>
    <x v="0"/>
    <x v="0"/>
    <n v="252"/>
    <n v="90"/>
    <n v="0.35714285714285715"/>
    <n v="1"/>
  </r>
  <r>
    <n v="1323527344"/>
    <s v="Marcelo de Jesus"/>
    <x v="1"/>
    <d v="2026-03-24T19:04:41"/>
    <n v="4"/>
    <x v="2"/>
    <x v="0"/>
    <x v="0"/>
    <n v="252"/>
    <n v="90"/>
    <n v="0.35714285714285715"/>
    <n v="1"/>
  </r>
  <r>
    <n v="1323528293"/>
    <s v="Marcelo de Oliveira Santos "/>
    <x v="1"/>
    <d v="2026-03-24T19:05:48"/>
    <n v="4"/>
    <x v="2"/>
    <x v="0"/>
    <x v="0"/>
    <n v="252"/>
    <n v="90"/>
    <n v="0.35714285714285715"/>
    <n v="1"/>
  </r>
  <r>
    <n v="1307301879"/>
    <s v="Marco Aurélio Marques "/>
    <x v="0"/>
    <d v="2026-03-02T19:05:08"/>
    <n v="26"/>
    <x v="1"/>
    <x v="0"/>
    <x v="0"/>
    <n v="252"/>
    <n v="90"/>
    <n v="0.35714285714285715"/>
    <n v="1"/>
  </r>
  <r>
    <n v="1310629754"/>
    <s v="Marcos Gomes da Silva "/>
    <x v="5"/>
    <d v="2026-03-06T15:03:43"/>
    <n v="22"/>
    <x v="3"/>
    <x v="0"/>
    <x v="0"/>
    <n v="252"/>
    <n v="90"/>
    <n v="0.35714285714285715"/>
    <n v="1"/>
  </r>
  <r>
    <n v="1309117629"/>
    <s v="Marcos Henrique Barboza"/>
    <x v="2"/>
    <d v="2026-03-04T13:04:03"/>
    <n v="24"/>
    <x v="3"/>
    <x v="0"/>
    <x v="0"/>
    <n v="252"/>
    <n v="90"/>
    <n v="0.35714285714285715"/>
    <n v="1"/>
  </r>
  <r>
    <n v="1307301321"/>
    <s v="Maria Fernanda Costa - 30c moderninha v2"/>
    <x v="0"/>
    <d v="2026-03-02T19:04:32"/>
    <n v="26"/>
    <x v="1"/>
    <x v="0"/>
    <x v="0"/>
    <n v="252"/>
    <n v="90"/>
    <n v="0.35714285714285715"/>
    <n v="1"/>
  </r>
  <r>
    <n v="1322613166"/>
    <s v="MARIA GASOLINA EXPRESS MARKET"/>
    <x v="1"/>
    <d v="2026-03-23T15:35:53"/>
    <n v="5"/>
    <x v="2"/>
    <x v="0"/>
    <x v="0"/>
    <n v="252"/>
    <n v="90"/>
    <n v="0.35714285714285715"/>
    <n v="1"/>
  </r>
  <r>
    <n v="1320687772"/>
    <s v="Mariana Ferri "/>
    <x v="1"/>
    <d v="2026-03-19T19:06:36"/>
    <n v="9"/>
    <x v="2"/>
    <x v="0"/>
    <x v="0"/>
    <n v="252"/>
    <n v="90"/>
    <n v="0.35714285714285715"/>
    <n v="1"/>
  </r>
  <r>
    <n v="1322756622"/>
    <s v="Mariana Ferri "/>
    <x v="1"/>
    <d v="2026-03-23T19:05:48"/>
    <n v="5"/>
    <x v="2"/>
    <x v="0"/>
    <x v="0"/>
    <n v="252"/>
    <n v="90"/>
    <n v="0.35714285714285715"/>
    <n v="1"/>
  </r>
  <r>
    <n v="1320688652"/>
    <s v="Mariana Souza de Paula "/>
    <x v="1"/>
    <d v="2026-03-19T19:07:50"/>
    <n v="9"/>
    <x v="2"/>
    <x v="0"/>
    <x v="0"/>
    <n v="252"/>
    <n v="90"/>
    <n v="0.35714285714285715"/>
    <n v="1"/>
  </r>
  <r>
    <n v="1313292272"/>
    <s v="Mariana Teixeira Nou Najar "/>
    <x v="4"/>
    <d v="2026-03-09T22:03:46"/>
    <n v="19"/>
    <x v="0"/>
    <x v="0"/>
    <x v="0"/>
    <n v="252"/>
    <n v="90"/>
    <n v="0.35714285714285715"/>
    <n v="1"/>
  </r>
  <r>
    <n v="1325285547"/>
    <s v="mariluci orso frozza"/>
    <x v="1"/>
    <d v="2026-03-26T22:03:55"/>
    <n v="2"/>
    <x v="2"/>
    <x v="0"/>
    <x v="0"/>
    <n v="252"/>
    <n v="90"/>
    <n v="0.35714285714285715"/>
    <n v="1"/>
  </r>
  <r>
    <n v="1325143469"/>
    <s v="Marinalva de Sales Cadete"/>
    <x v="1"/>
    <d v="2026-03-26T19:03:47"/>
    <n v="2"/>
    <x v="2"/>
    <x v="0"/>
    <x v="0"/>
    <n v="252"/>
    <n v="90"/>
    <n v="0.35714285714285715"/>
    <n v="1"/>
  </r>
  <r>
    <n v="1309289642"/>
    <s v="MARLY HELENA PERUCCA COLIADO - 1 adaptador a mais recebido"/>
    <x v="0"/>
    <d v="2026-03-04T19:06:44"/>
    <n v="24"/>
    <x v="3"/>
    <x v="0"/>
    <x v="0"/>
    <n v="252"/>
    <n v="90"/>
    <n v="0.35714285714285715"/>
    <n v="1"/>
  </r>
  <r>
    <n v="1316676296"/>
    <s v="Marta Maria Pereira "/>
    <x v="4"/>
    <d v="2026-03-13T19:05:20"/>
    <n v="15"/>
    <x v="0"/>
    <x v="0"/>
    <x v="0"/>
    <n v="252"/>
    <n v="90"/>
    <n v="0.35714285714285715"/>
    <n v="1"/>
  </r>
  <r>
    <n v="1318274171"/>
    <s v="Masako Horibe Takemoto "/>
    <x v="2"/>
    <d v="2026-03-16T15:06:16"/>
    <n v="12"/>
    <x v="2"/>
    <x v="0"/>
    <x v="0"/>
    <n v="252"/>
    <n v="90"/>
    <n v="0.35714285714285715"/>
    <n v="1"/>
  </r>
  <r>
    <n v="1323528407"/>
    <s v="Mayara da Rocha Santana"/>
    <x v="1"/>
    <d v="2026-03-24T19:05:57"/>
    <n v="4"/>
    <x v="2"/>
    <x v="0"/>
    <x v="0"/>
    <n v="252"/>
    <n v="90"/>
    <n v="0.35714285714285715"/>
    <n v="1"/>
  </r>
  <r>
    <n v="1319294842"/>
    <s v="MEGGAMIX SISTEMAS AUTOMATICOS DE VENDA LTDA"/>
    <x v="0"/>
    <d v="2026-03-17T19:09:06"/>
    <n v="11"/>
    <x v="2"/>
    <x v="0"/>
    <x v="0"/>
    <n v="252"/>
    <n v="90"/>
    <n v="0.35714285714285715"/>
    <n v="1"/>
  </r>
  <r>
    <n v="1309289719"/>
    <s v="MEGGAMIX SISTEMAS AUTOMATICOS DE VENDA LTDA"/>
    <x v="0"/>
    <d v="2026-03-04T19:06:49"/>
    <n v="24"/>
    <x v="3"/>
    <x v="0"/>
    <x v="0"/>
    <n v="252"/>
    <n v="90"/>
    <n v="0.35714285714285715"/>
    <n v="1"/>
  </r>
  <r>
    <n v="1319295245"/>
    <s v="MEGGAMIX SISTEMAS AUTOMATICOS DE VENDA LTDA"/>
    <x v="0"/>
    <d v="2026-03-17T19:09:36"/>
    <n v="11"/>
    <x v="2"/>
    <x v="0"/>
    <x v="0"/>
    <n v="252"/>
    <n v="90"/>
    <n v="0.35714285714285715"/>
    <n v="1"/>
  </r>
  <r>
    <n v="1304256478"/>
    <s v="MEGGAMIX SISTEMAS AUTOMATICOS DE VENDA LTDA."/>
    <x v="0"/>
    <d v="2026-02-25T22:03:35"/>
    <n v="31"/>
    <x v="4"/>
    <x v="1"/>
    <x v="0"/>
    <n v="17"/>
    <n v="7"/>
    <n v="0.41176470588235292"/>
    <n v="1"/>
  </r>
  <r>
    <n v="1319295024"/>
    <s v="MEGGAMIX SISTEMAS AUTOMATICOS DE VENDA LTDA."/>
    <x v="0"/>
    <d v="2026-03-17T19:09:18"/>
    <n v="11"/>
    <x v="2"/>
    <x v="0"/>
    <x v="0"/>
    <n v="252"/>
    <n v="90"/>
    <n v="0.35714285714285715"/>
    <n v="1"/>
  </r>
  <r>
    <n v="1304259157"/>
    <s v="Melissa Fornazari Silveira"/>
    <x v="2"/>
    <d v="2026-02-25T22:07:25"/>
    <n v="31"/>
    <x v="4"/>
    <x v="1"/>
    <x v="0"/>
    <n v="17"/>
    <n v="7"/>
    <n v="0.41176470588235292"/>
    <n v="1"/>
  </r>
  <r>
    <n v="1315964998"/>
    <s v="Mercado Fast Market"/>
    <x v="4"/>
    <d v="2026-03-12T19:06:47"/>
    <n v="16"/>
    <x v="0"/>
    <x v="0"/>
    <x v="0"/>
    <n v="252"/>
    <n v="90"/>
    <n v="0.35714285714285715"/>
    <n v="1"/>
  </r>
  <r>
    <n v="1313160833"/>
    <s v="Mercado prime box Ltda"/>
    <x v="0"/>
    <d v="2026-03-09T19:05:49"/>
    <n v="19"/>
    <x v="0"/>
    <x v="0"/>
    <x v="0"/>
    <n v="252"/>
    <n v="90"/>
    <n v="0.35714285714285715"/>
    <n v="1"/>
  </r>
  <r>
    <n v="1321490265"/>
    <s v="Mercattino Alimentos Saudáveis "/>
    <x v="1"/>
    <d v="2026-03-20T22:06:20"/>
    <n v="8"/>
    <x v="2"/>
    <x v="0"/>
    <x v="0"/>
    <n v="252"/>
    <n v="90"/>
    <n v="0.35714285714285715"/>
    <n v="1"/>
  </r>
  <r>
    <n v="1314555410"/>
    <s v="Michael Diego de Oliveira"/>
    <x v="2"/>
    <d v="2026-03-11T15:05:06"/>
    <n v="17"/>
    <x v="0"/>
    <x v="0"/>
    <x v="0"/>
    <n v="252"/>
    <n v="90"/>
    <n v="0.35714285714285715"/>
    <n v="1"/>
  </r>
  <r>
    <n v="1310839355"/>
    <s v="mini27br comércio e serviços Ltda"/>
    <x v="5"/>
    <d v="2026-03-06T19:04:50"/>
    <n v="22"/>
    <x v="3"/>
    <x v="0"/>
    <x v="0"/>
    <n v="252"/>
    <n v="90"/>
    <n v="0.35714285714285715"/>
    <n v="1"/>
  </r>
  <r>
    <n v="1323528838"/>
    <s v="Murilo Alves Felippe"/>
    <x v="1"/>
    <d v="2026-03-24T19:06:25"/>
    <n v="4"/>
    <x v="2"/>
    <x v="0"/>
    <x v="0"/>
    <n v="252"/>
    <n v="90"/>
    <n v="0.35714285714285715"/>
    <n v="1"/>
  </r>
  <r>
    <n v="1321490008"/>
    <s v="Nicolas Bortot de Almeida"/>
    <x v="1"/>
    <d v="2026-03-20T22:05:40"/>
    <n v="8"/>
    <x v="2"/>
    <x v="0"/>
    <x v="0"/>
    <n v="252"/>
    <n v="90"/>
    <n v="0.35714285714285715"/>
    <n v="1"/>
  </r>
  <r>
    <n v="1313798882"/>
    <s v="Oliveira e Cruz Cafetria"/>
    <x v="4"/>
    <d v="2026-03-10T15:03:51"/>
    <n v="18"/>
    <x v="0"/>
    <x v="0"/>
    <x v="0"/>
    <n v="252"/>
    <n v="90"/>
    <n v="0.35714285714285715"/>
    <n v="1"/>
  </r>
  <r>
    <n v="1309288573"/>
    <s v="OUR MARKET MINIMERCADO E LANC - não cobramos  fonte TPFlex"/>
    <x v="2"/>
    <d v="2026-03-04T19:05:11"/>
    <n v="24"/>
    <x v="3"/>
    <x v="0"/>
    <x v="0"/>
    <n v="252"/>
    <n v="90"/>
    <n v="0.35714285714285715"/>
    <n v="1"/>
  </r>
  <r>
    <n v="1304259000"/>
    <s v="OUR MARKET MINIMERCADO E LANCHONETE LTDA"/>
    <x v="1"/>
    <d v="2026-02-25T22:07:12"/>
    <n v="31"/>
    <x v="4"/>
    <x v="1"/>
    <x v="0"/>
    <n v="17"/>
    <n v="7"/>
    <n v="0.41176470588235292"/>
    <n v="1"/>
  </r>
  <r>
    <n v="1314827132"/>
    <s v="P&amp;D COMERCIO ALIMENTICIO LTDA"/>
    <x v="0"/>
    <d v="2026-03-11T19:27:36"/>
    <n v="17"/>
    <x v="0"/>
    <x v="0"/>
    <x v="0"/>
    <n v="252"/>
    <n v="90"/>
    <n v="0.35714285714285715"/>
    <n v="1"/>
  </r>
  <r>
    <n v="1323158665"/>
    <s v="PALMAS SOCIETY LTDA"/>
    <x v="1"/>
    <d v="2026-03-24T12:20:14"/>
    <n v="4"/>
    <x v="2"/>
    <x v="0"/>
    <x v="0"/>
    <n v="252"/>
    <n v="90"/>
    <n v="0.35714285714285715"/>
    <n v="1"/>
  </r>
  <r>
    <n v="1323702474"/>
    <s v="PASTRAMI COM DE ALIMENTOS"/>
    <x v="1"/>
    <d v="2026-03-24T22:05:05"/>
    <n v="4"/>
    <x v="2"/>
    <x v="0"/>
    <x v="0"/>
    <n v="252"/>
    <n v="90"/>
    <n v="0.35714285714285715"/>
    <n v="1"/>
  </r>
  <r>
    <n v="1323702535"/>
    <s v="PASTRAMI COM DE ALIMENTOS"/>
    <x v="1"/>
    <d v="2026-03-24T22:05:08"/>
    <n v="4"/>
    <x v="2"/>
    <x v="0"/>
    <x v="0"/>
    <n v="252"/>
    <n v="90"/>
    <n v="0.35714285714285715"/>
    <n v="1"/>
  </r>
  <r>
    <n v="1309402513"/>
    <s v="Pastrami Com. Alimentos"/>
    <x v="0"/>
    <d v="2026-03-04T22:05:07"/>
    <n v="24"/>
    <x v="3"/>
    <x v="0"/>
    <x v="0"/>
    <n v="252"/>
    <n v="90"/>
    <n v="0.35714285714285715"/>
    <n v="1"/>
  </r>
  <r>
    <n v="1318138267"/>
    <s v="Pastrami Com. de Alimentos"/>
    <x v="0"/>
    <d v="2026-03-16T13:06:06"/>
    <n v="12"/>
    <x v="2"/>
    <x v="0"/>
    <x v="0"/>
    <n v="252"/>
    <n v="90"/>
    <n v="0.35714285714285715"/>
    <n v="1"/>
  </r>
  <r>
    <n v="1316678132"/>
    <s v="Patrícia Pasqualetto Siqueira Santos "/>
    <x v="0"/>
    <d v="2026-03-13T19:07:18"/>
    <n v="15"/>
    <x v="0"/>
    <x v="0"/>
    <x v="0"/>
    <n v="252"/>
    <n v="90"/>
    <n v="0.35714285714285715"/>
    <n v="1"/>
  </r>
  <r>
    <n v="1307302225"/>
    <s v="Patrick Carmona"/>
    <x v="0"/>
    <d v="2026-03-02T19:05:27"/>
    <n v="26"/>
    <x v="1"/>
    <x v="0"/>
    <x v="0"/>
    <n v="252"/>
    <n v="90"/>
    <n v="0.35714285714285715"/>
    <n v="1"/>
  </r>
  <r>
    <n v="1315965476"/>
    <s v="Paula Aparecida Motta de Araujo "/>
    <x v="4"/>
    <d v="2026-03-12T19:07:18"/>
    <n v="16"/>
    <x v="0"/>
    <x v="0"/>
    <x v="0"/>
    <n v="252"/>
    <n v="90"/>
    <n v="0.35714285714285715"/>
    <n v="1"/>
  </r>
  <r>
    <n v="1313162179"/>
    <s v="Paulo Praxedes de Alencar "/>
    <x v="5"/>
    <d v="2026-03-09T19:07:44"/>
    <n v="19"/>
    <x v="0"/>
    <x v="0"/>
    <x v="0"/>
    <n v="252"/>
    <n v="90"/>
    <n v="0.35714285714285715"/>
    <n v="1"/>
  </r>
  <r>
    <n v="1315003311"/>
    <s v="PAULO ROBERTO MARTINS DOS SANTOS"/>
    <x v="0"/>
    <d v="2026-03-11T22:06:23"/>
    <n v="17"/>
    <x v="0"/>
    <x v="0"/>
    <x v="0"/>
    <n v="252"/>
    <n v="90"/>
    <n v="0.35714285714285715"/>
    <n v="1"/>
  </r>
  <r>
    <n v="1307244773"/>
    <s v="PAULO SERGIO ALVES AZEVEDO "/>
    <x v="2"/>
    <d v="2026-03-02T18:04:51"/>
    <n v="26"/>
    <x v="1"/>
    <x v="0"/>
    <x v="0"/>
    <n v="252"/>
    <n v="90"/>
    <n v="0.35714285714285715"/>
    <n v="1"/>
  </r>
  <r>
    <n v="1321204786"/>
    <s v="Pedro"/>
    <x v="1"/>
    <d v="2026-03-20T15:06:36"/>
    <n v="8"/>
    <x v="2"/>
    <x v="0"/>
    <x v="0"/>
    <n v="252"/>
    <n v="90"/>
    <n v="0.35714285714285715"/>
    <n v="1"/>
  </r>
  <r>
    <n v="1313170982"/>
    <s v="Pedro Muniz Lopes"/>
    <x v="5"/>
    <d v="2026-03-09T19:17:11"/>
    <n v="19"/>
    <x v="0"/>
    <x v="0"/>
    <x v="0"/>
    <n v="252"/>
    <n v="90"/>
    <n v="0.35714285714285715"/>
    <n v="1"/>
  </r>
  <r>
    <n v="1309401870"/>
    <s v="Peg Pag smart"/>
    <x v="0"/>
    <d v="2026-03-04T22:03:44"/>
    <n v="24"/>
    <x v="3"/>
    <x v="0"/>
    <x v="0"/>
    <n v="252"/>
    <n v="90"/>
    <n v="0.35714285714285715"/>
    <n v="1"/>
  </r>
  <r>
    <n v="1316810324"/>
    <s v="Pick N Pay Market"/>
    <x v="4"/>
    <d v="2026-03-13T22:05:33"/>
    <n v="15"/>
    <x v="0"/>
    <x v="0"/>
    <x v="0"/>
    <n v="252"/>
    <n v="90"/>
    <n v="0.35714285714285715"/>
    <n v="1"/>
  </r>
  <r>
    <n v="1310028243"/>
    <s v="Pimpão"/>
    <x v="0"/>
    <d v="2026-03-05T19:05:31"/>
    <n v="23"/>
    <x v="3"/>
    <x v="0"/>
    <x v="0"/>
    <n v="252"/>
    <n v="90"/>
    <n v="0.35714285714285715"/>
    <n v="1"/>
  </r>
  <r>
    <n v="1304611845"/>
    <s v="PIMPÃO MINI MERCATO "/>
    <x v="0"/>
    <d v="2026-02-26T15:05:07"/>
    <n v="30"/>
    <x v="1"/>
    <x v="1"/>
    <x v="0"/>
    <n v="17"/>
    <n v="7"/>
    <n v="0.41176470588235292"/>
    <n v="1"/>
  </r>
  <r>
    <n v="1308192259"/>
    <s v="Priscilla Ozono"/>
    <x v="0"/>
    <d v="2026-03-03T15:04:27"/>
    <n v="25"/>
    <x v="1"/>
    <x v="0"/>
    <x v="0"/>
    <n v="252"/>
    <n v="90"/>
    <n v="0.35714285714285715"/>
    <n v="1"/>
  </r>
  <r>
    <n v="1307438499"/>
    <s v="Projeto picolé para todos "/>
    <x v="0"/>
    <d v="2026-03-02T22:04:40"/>
    <n v="26"/>
    <x v="1"/>
    <x v="0"/>
    <x v="0"/>
    <n v="252"/>
    <n v="90"/>
    <n v="0.35714285714285715"/>
    <n v="1"/>
  </r>
  <r>
    <n v="1319290747"/>
    <s v="Rakell da Silva Mariano Lima"/>
    <x v="1"/>
    <d v="2026-03-17T19:04:25"/>
    <n v="11"/>
    <x v="2"/>
    <x v="0"/>
    <x v="0"/>
    <n v="252"/>
    <n v="90"/>
    <n v="0.35714285714285715"/>
    <n v="1"/>
  </r>
  <r>
    <n v="1310875692"/>
    <s v="Reginaldo Antônio da Silva "/>
    <x v="5"/>
    <d v="2026-03-06T19:47:56"/>
    <n v="22"/>
    <x v="3"/>
    <x v="0"/>
    <x v="0"/>
    <n v="252"/>
    <n v="90"/>
    <n v="0.35714285714285715"/>
    <n v="1"/>
  </r>
  <r>
    <n v="1316504685"/>
    <s v="Renato"/>
    <x v="4"/>
    <d v="2026-03-13T15:06:18"/>
    <n v="15"/>
    <x v="0"/>
    <x v="0"/>
    <x v="0"/>
    <n v="252"/>
    <n v="90"/>
    <n v="0.35714285714285715"/>
    <n v="1"/>
  </r>
  <r>
    <n v="1308390493"/>
    <s v="Ricardo Santos"/>
    <x v="0"/>
    <d v="2026-03-03T19:04:25"/>
    <n v="25"/>
    <x v="1"/>
    <x v="0"/>
    <x v="0"/>
    <n v="252"/>
    <n v="90"/>
    <n v="0.35714285714285715"/>
    <n v="1"/>
  </r>
  <r>
    <n v="1323528938"/>
    <s v="Richard Lucas Fava"/>
    <x v="1"/>
    <d v="2026-03-24T19:06:31"/>
    <n v="4"/>
    <x v="2"/>
    <x v="0"/>
    <x v="0"/>
    <n v="252"/>
    <n v="90"/>
    <n v="0.35714285714285715"/>
    <n v="1"/>
  </r>
  <r>
    <n v="1308579964"/>
    <s v="RINALDO MADONA SCARPARO"/>
    <x v="0"/>
    <d v="2026-03-03T22:04:21"/>
    <n v="25"/>
    <x v="1"/>
    <x v="0"/>
    <x v="0"/>
    <n v="252"/>
    <n v="90"/>
    <n v="0.35714285714285715"/>
    <n v="1"/>
  </r>
  <r>
    <n v="1307010712"/>
    <s v="RINALDO MADONA SCARPARO"/>
    <x v="0"/>
    <d v="2026-03-02T13:06:46"/>
    <n v="26"/>
    <x v="1"/>
    <x v="0"/>
    <x v="0"/>
    <n v="252"/>
    <n v="90"/>
    <n v="0.35714285714285715"/>
    <n v="1"/>
  </r>
  <r>
    <n v="1323527817"/>
    <s v="Roberto Baroni"/>
    <x v="1"/>
    <d v="2026-03-24T19:05:12"/>
    <n v="4"/>
    <x v="2"/>
    <x v="0"/>
    <x v="0"/>
    <n v="252"/>
    <n v="90"/>
    <n v="0.35714285714285715"/>
    <n v="1"/>
  </r>
  <r>
    <n v="1309842556"/>
    <s v="ROBINSON LUIZ MACHADO - não cobramos font tpflex"/>
    <x v="2"/>
    <d v="2026-03-05T15:04:21"/>
    <n v="23"/>
    <x v="3"/>
    <x v="0"/>
    <x v="0"/>
    <n v="252"/>
    <n v="90"/>
    <n v="0.35714285714285715"/>
    <n v="1"/>
  </r>
  <r>
    <n v="1321204660"/>
    <s v="Robson da Silva Oliveira"/>
    <x v="1"/>
    <d v="2026-03-20T15:06:26"/>
    <n v="8"/>
    <x v="2"/>
    <x v="0"/>
    <x v="0"/>
    <n v="252"/>
    <n v="90"/>
    <n v="0.35714285714285715"/>
    <n v="1"/>
  </r>
  <r>
    <n v="1312774409"/>
    <s v="Robson da Silva Oliveira "/>
    <x v="5"/>
    <d v="2026-03-09T13:05:24"/>
    <n v="19"/>
    <x v="0"/>
    <x v="0"/>
    <x v="0"/>
    <n v="252"/>
    <n v="90"/>
    <n v="0.35714285714285715"/>
    <n v="1"/>
  </r>
  <r>
    <n v="1309289968"/>
    <s v="Rodrigo - bloqueado"/>
    <x v="5"/>
    <d v="2026-03-04T19:07:10"/>
    <n v="24"/>
    <x v="3"/>
    <x v="0"/>
    <x v="0"/>
    <n v="252"/>
    <n v="90"/>
    <n v="0.35714285714285715"/>
    <n v="1"/>
  </r>
  <r>
    <n v="1310165014"/>
    <s v="Ronny Peterson Barretos Da Silva - fonte rasp nao cobrar"/>
    <x v="2"/>
    <d v="2026-03-05T22:04:39"/>
    <n v="23"/>
    <x v="3"/>
    <x v="0"/>
    <x v="0"/>
    <n v="252"/>
    <n v="90"/>
    <n v="0.35714285714285715"/>
    <n v="1"/>
  </r>
  <r>
    <n v="1315965551"/>
    <s v="Rosana Maria de Paula "/>
    <x v="0"/>
    <d v="2026-03-12T19:07:23"/>
    <n v="16"/>
    <x v="0"/>
    <x v="0"/>
    <x v="0"/>
    <n v="252"/>
    <n v="90"/>
    <n v="0.35714285714285715"/>
    <n v="1"/>
  </r>
  <r>
    <n v="1308452034"/>
    <s v="Rosane"/>
    <x v="0"/>
    <d v="2026-03-03T19:57:57"/>
    <n v="25"/>
    <x v="1"/>
    <x v="0"/>
    <x v="0"/>
    <n v="252"/>
    <n v="90"/>
    <n v="0.35714285714285715"/>
    <n v="1"/>
  </r>
  <r>
    <n v="1325143817"/>
    <s v="Samuel"/>
    <x v="1"/>
    <d v="2026-03-26T19:04:07"/>
    <n v="2"/>
    <x v="2"/>
    <x v="0"/>
    <x v="0"/>
    <n v="252"/>
    <n v="90"/>
    <n v="0.35714285714285715"/>
    <n v="1"/>
  </r>
  <r>
    <n v="1313292775"/>
    <s v="SANDRA LIMA DOS SANTOS "/>
    <x v="4"/>
    <d v="2026-03-09T22:05:13"/>
    <n v="19"/>
    <x v="0"/>
    <x v="0"/>
    <x v="0"/>
    <n v="252"/>
    <n v="90"/>
    <n v="0.35714285714285715"/>
    <n v="1"/>
  </r>
  <r>
    <n v="1308578827"/>
    <s v="SANDRA REGINA DE CASTRO FERREIRA - bloqueada"/>
    <x v="3"/>
    <d v="2026-03-03T22:03:23"/>
    <n v="25"/>
    <x v="1"/>
    <x v="0"/>
    <x v="0"/>
    <n v="252"/>
    <n v="90"/>
    <n v="0.35714285714285715"/>
    <n v="1"/>
  </r>
  <r>
    <n v="1307302616"/>
    <s v="Sergio Karagulian "/>
    <x v="0"/>
    <d v="2026-03-02T19:05:50"/>
    <n v="26"/>
    <x v="1"/>
    <x v="0"/>
    <x v="0"/>
    <n v="252"/>
    <n v="90"/>
    <n v="0.35714285714285715"/>
    <n v="1"/>
  </r>
  <r>
    <n v="1308389382"/>
    <s v="Silmar Rodrigues Torres"/>
    <x v="0"/>
    <d v="2026-03-03T19:03:36"/>
    <n v="25"/>
    <x v="1"/>
    <x v="0"/>
    <x v="0"/>
    <n v="252"/>
    <n v="90"/>
    <n v="0.35714285714285715"/>
    <n v="1"/>
  </r>
  <r>
    <n v="1318272507"/>
    <s v="Silvia Helena Cereja Terra"/>
    <x v="1"/>
    <d v="2026-03-16T15:04:29"/>
    <n v="12"/>
    <x v="2"/>
    <x v="0"/>
    <x v="0"/>
    <n v="252"/>
    <n v="90"/>
    <n v="0.35714285714285715"/>
    <n v="1"/>
  </r>
  <r>
    <n v="1319290735"/>
    <s v="Smart Café"/>
    <x v="1"/>
    <d v="2026-03-17T19:04:25"/>
    <n v="11"/>
    <x v="2"/>
    <x v="0"/>
    <x v="0"/>
    <n v="252"/>
    <n v="90"/>
    <n v="0.35714285714285715"/>
    <n v="1"/>
  </r>
  <r>
    <n v="1310630935"/>
    <s v="SmartStore"/>
    <x v="0"/>
    <d v="2026-03-06T15:05:07"/>
    <n v="22"/>
    <x v="3"/>
    <x v="0"/>
    <x v="0"/>
    <n v="252"/>
    <n v="90"/>
    <n v="0.35714285714285715"/>
    <n v="1"/>
  </r>
  <r>
    <n v="1315767158"/>
    <s v="Taiane Barbosa dos Santos Dias"/>
    <x v="0"/>
    <d v="2026-03-12T15:06:45"/>
    <n v="16"/>
    <x v="0"/>
    <x v="0"/>
    <x v="0"/>
    <n v="252"/>
    <n v="90"/>
    <n v="0.35714285714285715"/>
    <n v="1"/>
  </r>
  <r>
    <n v="1322756402"/>
    <s v="Taluama Lanchonete e Conveniência Ltda Mercadomínio"/>
    <x v="1"/>
    <d v="2026-03-23T19:05:30"/>
    <n v="5"/>
    <x v="2"/>
    <x v="0"/>
    <x v="0"/>
    <n v="252"/>
    <n v="90"/>
    <n v="0.35714285714285715"/>
    <n v="1"/>
  </r>
  <r>
    <n v="1313954591"/>
    <s v="Tânia Aparecida Menucelli de Godoy  ME "/>
    <x v="0"/>
    <d v="2026-03-10T19:05:50"/>
    <n v="18"/>
    <x v="0"/>
    <x v="0"/>
    <x v="0"/>
    <n v="252"/>
    <n v="90"/>
    <n v="0.35714285714285715"/>
    <n v="1"/>
  </r>
  <r>
    <n v="1316504880"/>
    <s v="Tanise acosta"/>
    <x v="6"/>
    <d v="2026-03-13T15:06:36"/>
    <n v="15"/>
    <x v="0"/>
    <x v="0"/>
    <x v="0"/>
    <n v="252"/>
    <n v="90"/>
    <n v="0.35714285714285715"/>
    <n v="1"/>
  </r>
  <r>
    <n v="1318141271"/>
    <s v="Tatiana Moreira de Paiva"/>
    <x v="1"/>
    <d v="2026-03-16T13:07:48"/>
    <n v="12"/>
    <x v="2"/>
    <x v="0"/>
    <x v="0"/>
    <n v="252"/>
    <n v="90"/>
    <n v="0.35714285714285715"/>
    <n v="1"/>
  </r>
  <r>
    <n v="1310026095"/>
    <s v="TERENCIO ALBINO DA SILVA - contato feito ( cliente não respondeu) 27/03"/>
    <x v="6"/>
    <d v="2026-03-05T19:03:16"/>
    <n v="23"/>
    <x v="3"/>
    <x v="0"/>
    <x v="0"/>
    <n v="252"/>
    <n v="90"/>
    <n v="0.35714285714285715"/>
    <n v="1"/>
  </r>
  <r>
    <n v="1322612687"/>
    <s v="Teresa Santos Arruda - contato feito (comentário)"/>
    <x v="6"/>
    <d v="2026-03-23T15:34:57"/>
    <n v="5"/>
    <x v="2"/>
    <x v="0"/>
    <x v="0"/>
    <n v="252"/>
    <n v="90"/>
    <n v="0.35714285714285715"/>
    <n v="1"/>
  </r>
  <r>
    <n v="1306061198"/>
    <s v="Thaline de Oliveira Novaes - bloqueado pela franquia"/>
    <x v="5"/>
    <d v="2026-02-28T14:22:57"/>
    <n v="28"/>
    <x v="1"/>
    <x v="1"/>
    <x v="0"/>
    <n v="17"/>
    <n v="7"/>
    <n v="0.41176470588235292"/>
    <n v="1"/>
  </r>
  <r>
    <n v="1313954240"/>
    <s v="Thiago Gonçalves de Miranda"/>
    <x v="4"/>
    <d v="2026-03-10T19:05:32"/>
    <n v="18"/>
    <x v="0"/>
    <x v="0"/>
    <x v="0"/>
    <n v="252"/>
    <n v="90"/>
    <n v="0.35714285714285715"/>
    <n v="1"/>
  </r>
  <r>
    <n v="1307009293"/>
    <s v="THIAGO MOURA GALINDO"/>
    <x v="0"/>
    <d v="2026-03-02T13:04:58"/>
    <n v="26"/>
    <x v="1"/>
    <x v="0"/>
    <x v="0"/>
    <n v="252"/>
    <n v="90"/>
    <n v="0.35714285714285715"/>
    <n v="1"/>
  </r>
  <r>
    <n v="1307110582"/>
    <s v="THIAGO MOURA GALINDO (não chegou)"/>
    <x v="0"/>
    <d v="2026-03-02T15:04:25"/>
    <n v="26"/>
    <x v="1"/>
    <x v="0"/>
    <x v="0"/>
    <n v="252"/>
    <n v="90"/>
    <n v="0.35714285714285715"/>
    <n v="1"/>
  </r>
  <r>
    <n v="1307110467"/>
    <s v="THIAGO MOURA GALINDO - bloqueado"/>
    <x v="3"/>
    <d v="2026-03-02T15:04:20"/>
    <n v="26"/>
    <x v="1"/>
    <x v="0"/>
    <x v="0"/>
    <n v="252"/>
    <n v="90"/>
    <n v="0.35714285714285715"/>
    <n v="1"/>
  </r>
  <r>
    <n v="1309287676"/>
    <s v="THIAGO MOURA GALINDO- bloqueado"/>
    <x v="5"/>
    <d v="2026-03-04T19:03:57"/>
    <n v="24"/>
    <x v="3"/>
    <x v="0"/>
    <x v="0"/>
    <n v="252"/>
    <n v="90"/>
    <n v="0.35714285714285715"/>
    <n v="1"/>
  </r>
  <r>
    <n v="1320494338"/>
    <s v="Thiago Rodrigues Pinto "/>
    <x v="1"/>
    <d v="2026-03-19T15:04:58"/>
    <n v="9"/>
    <x v="2"/>
    <x v="0"/>
    <x v="0"/>
    <n v="252"/>
    <n v="90"/>
    <n v="0.35714285714285715"/>
    <n v="1"/>
  </r>
  <r>
    <n v="1322586151"/>
    <s v="Tiago Ramos de Araujo"/>
    <x v="1"/>
    <d v="2026-03-23T15:04:34"/>
    <n v="5"/>
    <x v="2"/>
    <x v="0"/>
    <x v="0"/>
    <n v="252"/>
    <n v="90"/>
    <n v="0.35714285714285715"/>
    <n v="1"/>
  </r>
  <r>
    <n v="1306961186"/>
    <s v="Tiago SmartStore"/>
    <x v="0"/>
    <d v="2026-03-02T12:08:45"/>
    <n v="26"/>
    <x v="1"/>
    <x v="0"/>
    <x v="0"/>
    <n v="252"/>
    <n v="90"/>
    <n v="0.35714285714285715"/>
    <n v="1"/>
  </r>
  <r>
    <n v="1325935009"/>
    <s v="URBANEASY MARKET LTDA"/>
    <x v="8"/>
    <d v="2026-03-27T20:05:08"/>
    <n v="1"/>
    <x v="2"/>
    <x v="0"/>
    <x v="0"/>
    <n v="252"/>
    <n v="90"/>
    <n v="0.35714285714285715"/>
    <n v="1"/>
  </r>
  <r>
    <n v="1304884337"/>
    <s v="URBANEASY MARKET LTDA"/>
    <x v="2"/>
    <d v="2026-02-26T22:04:12"/>
    <n v="30"/>
    <x v="1"/>
    <x v="1"/>
    <x v="0"/>
    <n v="17"/>
    <n v="7"/>
    <n v="0.41176470588235292"/>
    <n v="1"/>
  </r>
  <r>
    <n v="1326014611"/>
    <s v="Vanderleia de lacerda penso "/>
    <x v="1"/>
    <d v="2026-03-27T22:04:09"/>
    <n v="1"/>
    <x v="2"/>
    <x v="0"/>
    <x v="0"/>
    <n v="252"/>
    <n v="90"/>
    <n v="0.35714285714285715"/>
    <n v="1"/>
  </r>
  <r>
    <n v="1307302123"/>
    <s v="vendinha24h serviços e comercio de produtos alimenticios LTDA"/>
    <x v="0"/>
    <d v="2026-03-02T19:05:22"/>
    <n v="26"/>
    <x v="1"/>
    <x v="0"/>
    <x v="0"/>
    <n v="252"/>
    <n v="90"/>
    <n v="0.35714285714285715"/>
    <n v="1"/>
  </r>
  <r>
    <n v="1313292599"/>
    <s v="Vitor Felipe Ecclissi de Oliveira"/>
    <x v="4"/>
    <d v="2026-03-09T22:04:47"/>
    <n v="19"/>
    <x v="0"/>
    <x v="0"/>
    <x v="0"/>
    <n v="252"/>
    <n v="90"/>
    <n v="0.35714285714285715"/>
    <n v="1"/>
  </r>
  <r>
    <n v="1310840243"/>
    <s v="Vivian CArvalho de Souza Almeida"/>
    <x v="2"/>
    <d v="2026-03-06T19:05:41"/>
    <n v="22"/>
    <x v="3"/>
    <x v="0"/>
    <x v="0"/>
    <n v="252"/>
    <n v="90"/>
    <n v="0.35714285714285715"/>
    <n v="1"/>
  </r>
  <r>
    <n v="1319289755"/>
    <s v="Viviane lopes ferraz"/>
    <x v="1"/>
    <d v="2026-03-17T19:03:08"/>
    <n v="11"/>
    <x v="2"/>
    <x v="0"/>
    <x v="0"/>
    <n v="252"/>
    <n v="90"/>
    <n v="0.35714285714285715"/>
    <n v="1"/>
  </r>
  <r>
    <n v="1315965000"/>
    <s v="Vizinhos Market Ltda "/>
    <x v="0"/>
    <d v="2026-03-12T19:06:47"/>
    <n v="16"/>
    <x v="0"/>
    <x v="0"/>
    <x v="0"/>
    <n v="252"/>
    <n v="90"/>
    <n v="0.35714285714285715"/>
    <n v="1"/>
  </r>
  <r>
    <n v="1322756751"/>
    <s v="VM Morelli ltda - 30c PARA V1"/>
    <x v="1"/>
    <d v="2026-03-23T19:05:58"/>
    <n v="5"/>
    <x v="2"/>
    <x v="0"/>
    <x v="0"/>
    <n v="252"/>
    <n v="90"/>
    <n v="0.35714285714285715"/>
    <n v="1"/>
  </r>
  <r>
    <n v="1313798479"/>
    <s v="Weriton Griti Souza"/>
    <x v="4"/>
    <d v="2026-03-10T15:03:16"/>
    <n v="18"/>
    <x v="0"/>
    <x v="0"/>
    <x v="0"/>
    <n v="252"/>
    <n v="90"/>
    <n v="0.35714285714285715"/>
    <n v="1"/>
  </r>
  <r>
    <n v="1315763221"/>
    <s v="Weriton Griti Souza"/>
    <x v="4"/>
    <d v="2026-03-12T15:03:33"/>
    <n v="16"/>
    <x v="0"/>
    <x v="0"/>
    <x v="0"/>
    <n v="252"/>
    <n v="90"/>
    <n v="0.35714285714285715"/>
    <n v="1"/>
  </r>
  <r>
    <n v="1312965299"/>
    <s v="Yang"/>
    <x v="5"/>
    <d v="2026-03-09T15:28:18"/>
    <n v="19"/>
    <x v="0"/>
    <x v="0"/>
    <x v="0"/>
    <n v="252"/>
    <n v="90"/>
    <n v="0.35714285714285715"/>
    <n v="1"/>
  </r>
  <r>
    <n v="1310027875"/>
    <s v="Z4 HUB DE NEGOCIOS LTDA - fonte rasp não cobrar"/>
    <x v="2"/>
    <d v="2026-03-05T19:05:04"/>
    <n v="23"/>
    <x v="3"/>
    <x v="0"/>
    <x v="0"/>
    <n v="252"/>
    <n v="90"/>
    <n v="0.35714285714285715"/>
    <n v="1"/>
  </r>
  <r>
    <n v="1313170134"/>
    <s v="Zenbo Market Store"/>
    <x v="0"/>
    <d v="2026-03-09T19:16:25"/>
    <n v="19"/>
    <x v="0"/>
    <x v="0"/>
    <x v="0"/>
    <n v="252"/>
    <n v="90"/>
    <n v="0.3571428571428571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275D4-F7B7-4E3F-9247-838089F55E51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G10" firstHeaderRow="1" firstDataRow="2" firstDataCol="1"/>
  <pivotFields count="12">
    <pivotField showAll="0"/>
    <pivotField showAll="0"/>
    <pivotField axis="axisCol" showAll="0">
      <items count="10">
        <item x="5"/>
        <item x="3"/>
        <item x="1"/>
        <item h="1" x="8"/>
        <item h="1" x="7"/>
        <item x="6"/>
        <item h="1" x="2"/>
        <item h="1" x="0"/>
        <item x="4"/>
        <item t="default"/>
      </items>
    </pivotField>
    <pivotField numFmtId="164" showAll="0"/>
    <pivotField dataField="1" numFmtId="1"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numFmtId="10"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5"/>
    </i>
    <i>
      <x v="8"/>
    </i>
    <i t="grand">
      <x/>
    </i>
  </colItems>
  <dataFields count="1">
    <dataField name="Contagem de Dias na fase" fld="4" subtotal="count" baseField="5" baseItem="0"/>
  </dataFields>
  <formats count="5">
    <format dxfId="6">
      <pivotArea outline="0" collapsedLevelsAreSubtotals="1" fieldPosition="0"/>
    </format>
    <format dxfId="5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Col="1" outline="0" fieldPosition="0"/>
    </format>
  </formats>
  <chartFormats count="6"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3E50D-E162-430B-88D3-9715020C9093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12">
    <pivotField showAll="0"/>
    <pivotField showAll="0"/>
    <pivotField showAll="0"/>
    <pivotField numFmtId="164" showAll="0"/>
    <pivotField numFmtId="1"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dataField="1" numFmtId="10" showAll="0"/>
    <pivotField dataField="1" numFmtId="9" showAll="0"/>
  </pivotFields>
  <rowFields count="2">
    <field x="7"/>
    <field x="6"/>
  </rowFields>
  <rowItems count="4">
    <i>
      <x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% Devolvido" fld="10" subtotal="average" baseField="7" baseItem="0" numFmtId="10"/>
    <dataField name="Máx. de Meta" fld="11" subtotal="max" baseField="7" baseItem="0" numFmtId="9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1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EC773-EC58-4605-B6B9-46874D3AC920}" name="Tabela1" displayName="Tabela1" ref="A1:L448" totalsRowShown="0" headerRowDxfId="18" dataDxfId="17">
  <autoFilter ref="A1:L448" xr:uid="{6F1EC773-EC58-4605-B6B9-46874D3AC920}"/>
  <tableColumns count="12">
    <tableColumn id="1" xr3:uid="{BBF6C4FF-707E-4C89-8D93-6E48CFB2FF94}" name="Código"/>
    <tableColumn id="2" xr3:uid="{B1BB87C8-33D6-4D3E-B9CF-3FAA2B05DCCA}" name="Título"/>
    <tableColumn id="3" xr3:uid="{8A8C2B35-04BD-406F-8175-6BDBD49E041B}" name="Fase atual"/>
    <tableColumn id="4" xr3:uid="{0A4E7866-3395-4DEA-B927-FB0CE0196009}" name="Criado em" dataDxfId="1"/>
    <tableColumn id="5" xr3:uid="{7BEC00DF-C6A0-4464-8B2A-9E33A634AFA8}" name="Dias na fase" dataDxfId="16">
      <calculatedColumnFormula>INT(TODAY() - D2)</calculatedColumnFormula>
    </tableColumn>
    <tableColumn id="12" xr3:uid="{54D05D4C-0CF7-465F-903F-8345E704FF0C}" name="Faixa de Dias" dataDxfId="15">
      <calculatedColumnFormula>IF(E2&lt;=14,"0-14 dias",
IF(E2&lt;=19,"15-19 dias",
IF(E2&lt;=24,"20-24 dias",
IF(E2&lt;=30,"25-30 dias",
IF(E2&lt;=60,"31-60 dias",
"&gt;60 dias")))))</calculatedColumnFormula>
    </tableColumn>
    <tableColumn id="6" xr3:uid="{422AB08B-F6B5-4E95-8936-100044CAEE48}" name="Mês" dataDxfId="14">
      <calculatedColumnFormula>MONTH(D2)</calculatedColumnFormula>
    </tableColumn>
    <tableColumn id="7" xr3:uid="{F3D7E98D-4CE7-4FA2-AFE4-117279743D76}" name="Ano" dataDxfId="13">
      <calculatedColumnFormula>YEAR(D2)</calculatedColumnFormula>
    </tableColumn>
    <tableColumn id="8" xr3:uid="{2A1E4422-727F-4ABE-ACD9-C73238A5D93F}" name="Total Mês" dataDxfId="12">
      <calculatedColumnFormula>COUNTIFS(G:G,G2)</calculatedColumnFormula>
    </tableColumn>
    <tableColumn id="9" xr3:uid="{3BA35AAF-528F-4199-9C54-843770526F6A}" name="Recebidos" dataDxfId="11">
      <calculatedColumnFormula>COUNTIFS(G:G,G2,C:C,"Recebido")</calculatedColumnFormula>
    </tableColumn>
    <tableColumn id="10" xr3:uid="{E547BD41-40C4-4FD6-8A7D-A409A45D3853}" name="% Devolvido" dataDxfId="10">
      <calculatedColumnFormula>(J2/I2)</calculatedColumnFormula>
    </tableColumn>
    <tableColumn id="11" xr3:uid="{F814E929-C6E7-4259-AE59-37BBCBE5BFC4}" name="Meta" dataDxfId="9">
      <calculatedColumnFormula>1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E5246-72B1-4368-B3B4-9E091F5E852C}" name="Tabela2" displayName="Tabela2" ref="M1:AF446" totalsRowShown="0" headerRowDxfId="8" tableBorderDxfId="7">
  <autoFilter ref="M1:AF446" xr:uid="{DADE5246-72B1-4368-B3B4-9E091F5E852C}"/>
  <tableColumns count="20">
    <tableColumn id="1" xr3:uid="{5BDEBDDF-6DEB-41EC-934D-DF21193A3328}" name="Quantidade de Moderninha Smart 3"/>
    <tableColumn id="2" xr3:uid="{CBDC1012-27A6-45D3-8893-FCD17C4E9313}" name="Quantidade de Moderninha Smart 2"/>
    <tableColumn id="3" xr3:uid="{F0723FCE-E6CE-41F6-80BE-53A9D9295C22}" name="Quantidade de Moderninha Smart 1"/>
    <tableColumn id="4" xr3:uid="{8B776E2B-A4E6-4580-94A9-E79E5152B771}" name="Quantidade de Adaptadores"/>
    <tableColumn id="5" xr3:uid="{8AA3F1CF-FAAF-4317-B356-39CBBB68B535}" name="Quantidade de leitores"/>
    <tableColumn id="6" xr3:uid="{1C09B89D-60C5-4D4B-8AD6-0C6AE0BE4D7C}" name="Quantidade de Módulo de Acesso/Geladeira"/>
    <tableColumn id="7" xr3:uid="{C307EB46-8A6F-4875-88CD-2577BF2AF376}" name="Quantidade de Trava Metálica"/>
    <tableColumn id="8" xr3:uid="{BA991495-9EDD-4283-8DAC-0485AE4502D3}" name="Quantidade de Kit Completo Bancada"/>
    <tableColumn id="9" xr3:uid="{E3071C97-948F-4A60-A84E-9D5704E7FEF1}" name="Quantidade de Kit completo Pague e Pegue"/>
    <tableColumn id="10" xr3:uid="{74027E01-153F-491E-9798-2F290D4B7400}" name="Quantidade de Kit completo Vending Machine"/>
    <tableColumn id="11" xr3:uid="{457B0B8A-F9A5-46D8-8B41-CEFC29B31E72}" name="Quantidade de Moderninha X"/>
    <tableColumn id="12" xr3:uid="{E0879487-B778-47EC-90B9-20169C033D8C}" name="Quantidade Leitor/Adaptador Slim"/>
    <tableColumn id="13" xr3:uid="{55A47CCA-EEA8-486D-A45D-D30B72100273}" name="Quantidade de Ciclope"/>
    <tableColumn id="14" xr3:uid="{A8867E82-559F-402F-8394-0E2A3EF2CF4A}" name="Totem - Ciclope"/>
    <tableColumn id="15" xr3:uid="{73D508C3-266A-411D-98E7-B9C9BA2326AC}" name="Quantidade de Ciclope2"/>
    <tableColumn id="16" xr3:uid="{0BF21EF7-D3D8-489F-96FA-7FF7C31CC0A8}" name="Quantidade de Máquinas Smart 1"/>
    <tableColumn id="17" xr3:uid="{78EBBA40-E92A-4701-9839-D20D38B06FCC}" name="Quantidade de Máquinas Smart 2"/>
    <tableColumn id="18" xr3:uid="{F7DFD569-6916-4713-A81C-7A4ABB897B30}" name="Quantidade de Máquinas Smart 3"/>
    <tableColumn id="19" xr3:uid="{DCD6BEB6-178A-4E08-BC12-C16384CB54DD}" name="Quantidade de Adaptador"/>
    <tableColumn id="20" xr3:uid="{863D90D3-5A60-41A0-A072-5BCD1C26D23C}" name="Finalizado e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8"/>
  <sheetViews>
    <sheetView tabSelected="1" topLeftCell="AA1" workbookViewId="0">
      <selection activeCell="M2" sqref="M2:AF446"/>
    </sheetView>
  </sheetViews>
  <sheetFormatPr defaultRowHeight="18" customHeight="1" x14ac:dyDescent="0.25"/>
  <cols>
    <col min="1" max="2" width="13.69921875" customWidth="1"/>
    <col min="3" max="3" width="36.296875" customWidth="1"/>
    <col min="4" max="4" width="20.69921875" style="1" customWidth="1"/>
    <col min="5" max="6" width="27.19921875" customWidth="1"/>
    <col min="7" max="8" width="8.796875" style="3"/>
    <col min="9" max="9" width="14.19921875" style="3" customWidth="1"/>
    <col min="10" max="10" width="19.09765625" customWidth="1"/>
    <col min="11" max="11" width="13.5" style="3" customWidth="1"/>
    <col min="12" max="12" width="11" style="3" bestFit="1" customWidth="1"/>
    <col min="13" max="15" width="52.69921875" customWidth="1"/>
    <col min="16" max="16" width="42.296875" customWidth="1"/>
    <col min="17" max="17" width="37.69921875" customWidth="1"/>
    <col min="18" max="18" width="64.69921875" customWidth="1"/>
    <col min="19" max="19" width="46.69921875" customWidth="1"/>
    <col min="20" max="20" width="55.69921875" customWidth="1"/>
    <col min="21" max="21" width="64.69921875" customWidth="1"/>
    <col min="22" max="22" width="67.69921875" customWidth="1"/>
    <col min="23" max="23" width="43.69921875" customWidth="1"/>
    <col min="24" max="24" width="52.69921875" customWidth="1"/>
    <col min="25" max="25" width="36.296875" customWidth="1"/>
    <col min="26" max="26" width="27.296875" customWidth="1"/>
    <col min="27" max="27" width="36.296875" customWidth="1"/>
    <col min="28" max="30" width="49.69921875" customWidth="1"/>
    <col min="31" max="31" width="39.296875" customWidth="1"/>
    <col min="32" max="32" width="20.69921875" style="1" customWidth="1"/>
  </cols>
  <sheetData>
    <row r="1" spans="1:32" ht="18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254</v>
      </c>
      <c r="F1" s="12" t="s">
        <v>260</v>
      </c>
      <c r="G1" s="12" t="s">
        <v>255</v>
      </c>
      <c r="H1" s="12" t="s">
        <v>256</v>
      </c>
      <c r="I1" s="12" t="s">
        <v>258</v>
      </c>
      <c r="J1" s="12" t="s">
        <v>257</v>
      </c>
      <c r="K1" s="12" t="s">
        <v>270</v>
      </c>
      <c r="L1" s="12" t="s">
        <v>259</v>
      </c>
      <c r="M1" s="12" t="s">
        <v>293</v>
      </c>
      <c r="N1" s="12" t="s">
        <v>294</v>
      </c>
      <c r="O1" s="12" t="s">
        <v>295</v>
      </c>
      <c r="P1" s="12" t="s">
        <v>296</v>
      </c>
      <c r="Q1" s="12" t="s">
        <v>297</v>
      </c>
      <c r="R1" s="12" t="s">
        <v>298</v>
      </c>
      <c r="S1" s="12" t="s">
        <v>299</v>
      </c>
      <c r="T1" s="12" t="s">
        <v>300</v>
      </c>
      <c r="U1" s="12" t="s">
        <v>301</v>
      </c>
      <c r="V1" s="12" t="s">
        <v>302</v>
      </c>
      <c r="W1" s="12" t="s">
        <v>303</v>
      </c>
      <c r="X1" s="12" t="s">
        <v>304</v>
      </c>
      <c r="Y1" s="12" t="s">
        <v>305</v>
      </c>
      <c r="Z1" s="12" t="s">
        <v>306</v>
      </c>
      <c r="AA1" s="12" t="s">
        <v>313</v>
      </c>
      <c r="AB1" s="12" t="s">
        <v>307</v>
      </c>
      <c r="AC1" s="12" t="s">
        <v>308</v>
      </c>
      <c r="AD1" s="12" t="s">
        <v>309</v>
      </c>
      <c r="AE1" s="12" t="s">
        <v>310</v>
      </c>
      <c r="AF1" s="13" t="s">
        <v>314</v>
      </c>
    </row>
    <row r="2" spans="1:32" ht="18" customHeight="1" x14ac:dyDescent="0.25">
      <c r="A2">
        <v>1336131609</v>
      </c>
      <c r="B2" t="s">
        <v>398</v>
      </c>
      <c r="C2" t="s">
        <v>7</v>
      </c>
      <c r="D2" s="1">
        <v>46126.797035104173</v>
      </c>
      <c r="E2" s="2">
        <f ca="1">INT(TODAY() - D2)</f>
        <v>7</v>
      </c>
      <c r="F2" s="2" t="str">
        <f t="shared" ref="F2" ca="1" si="0">IF(E2&lt;=14,"0-14 dias",
IF(E2&lt;=19,"15-19 dias",
IF(E2&lt;=24,"20-24 dias",
IF(E2&lt;=30,"25-30 dias",
IF(E2&lt;=60,"31-60 dias",
"&gt;60 dias")))))</f>
        <v>0-14 dias</v>
      </c>
      <c r="G2" s="3">
        <f>MONTH(D2)</f>
        <v>4</v>
      </c>
      <c r="H2" s="3">
        <f>YEAR(D2)</f>
        <v>2026</v>
      </c>
      <c r="I2" s="3">
        <f>COUNTIFS(G:G,G2)</f>
        <v>146</v>
      </c>
      <c r="J2" s="3">
        <f>COUNTIFS(G:G,G2,C:C,"Recebido")</f>
        <v>28</v>
      </c>
      <c r="K2" s="5">
        <f>(J2/I2)</f>
        <v>0.19178082191780821</v>
      </c>
      <c r="L2" s="7">
        <f>1</f>
        <v>1</v>
      </c>
      <c r="T2">
        <v>2</v>
      </c>
    </row>
    <row r="3" spans="1:32" ht="18" customHeight="1" x14ac:dyDescent="0.25">
      <c r="A3">
        <v>1333704159</v>
      </c>
      <c r="B3" t="s">
        <v>348</v>
      </c>
      <c r="C3" t="s">
        <v>7</v>
      </c>
      <c r="D3" s="1">
        <v>46122.546264652767</v>
      </c>
      <c r="E3" s="2">
        <f t="shared" ref="E3:E66" ca="1" si="1">INT(TODAY() - D3)</f>
        <v>11</v>
      </c>
      <c r="F3" s="2" t="str">
        <f t="shared" ref="F3:F66" ca="1" si="2">IF(E3&lt;=14,"0-14 dias",
IF(E3&lt;=19,"15-19 dias",
IF(E3&lt;=24,"20-24 dias",
IF(E3&lt;=30,"25-30 dias",
IF(E3&lt;=60,"31-60 dias",
"&gt;60 dias")))))</f>
        <v>0-14 dias</v>
      </c>
      <c r="G3" s="3">
        <f t="shared" ref="G3:G66" si="3">MONTH(D3)</f>
        <v>4</v>
      </c>
      <c r="H3" s="3">
        <f t="shared" ref="H3:H66" si="4">YEAR(D3)</f>
        <v>2026</v>
      </c>
      <c r="I3" s="3">
        <f t="shared" ref="I3:I66" si="5">COUNTIFS(G:G,G3)</f>
        <v>146</v>
      </c>
      <c r="J3" s="3">
        <f t="shared" ref="J3:J66" si="6">COUNTIFS(G:G,G3,C:C,"Recebido")</f>
        <v>28</v>
      </c>
      <c r="K3" s="5">
        <f t="shared" ref="K3:K66" si="7">(J3/I3)</f>
        <v>0.19178082191780821</v>
      </c>
      <c r="L3" s="7">
        <f>1</f>
        <v>1</v>
      </c>
      <c r="N3">
        <v>0</v>
      </c>
      <c r="Y3">
        <v>1</v>
      </c>
    </row>
    <row r="4" spans="1:32" ht="18" customHeight="1" x14ac:dyDescent="0.25">
      <c r="A4">
        <v>1312738847</v>
      </c>
      <c r="B4" t="s">
        <v>4</v>
      </c>
      <c r="C4" t="s">
        <v>5</v>
      </c>
      <c r="D4" s="1">
        <v>46090.516375127321</v>
      </c>
      <c r="E4" s="2">
        <f t="shared" ca="1" si="1"/>
        <v>43</v>
      </c>
      <c r="F4" s="2" t="str">
        <f t="shared" ca="1" si="2"/>
        <v>31-60 dias</v>
      </c>
      <c r="G4" s="3">
        <f t="shared" si="3"/>
        <v>3</v>
      </c>
      <c r="H4" s="3">
        <f t="shared" si="4"/>
        <v>2026</v>
      </c>
      <c r="I4" s="3">
        <f t="shared" si="5"/>
        <v>284</v>
      </c>
      <c r="J4" s="3">
        <f t="shared" si="6"/>
        <v>194</v>
      </c>
      <c r="K4" s="5">
        <f t="shared" si="7"/>
        <v>0.68309859154929575</v>
      </c>
      <c r="L4" s="7">
        <f>1</f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C4">
        <v>1</v>
      </c>
      <c r="AF4" s="1">
        <v>46098.584263773148</v>
      </c>
    </row>
    <row r="5" spans="1:32" ht="18" customHeight="1" x14ac:dyDescent="0.25">
      <c r="A5">
        <v>1307010387</v>
      </c>
      <c r="B5" t="s">
        <v>6</v>
      </c>
      <c r="C5" t="s">
        <v>5</v>
      </c>
      <c r="D5" s="1">
        <v>46083.546109363422</v>
      </c>
      <c r="E5" s="2">
        <f t="shared" ca="1" si="1"/>
        <v>50</v>
      </c>
      <c r="F5" s="2" t="str">
        <f t="shared" ca="1" si="2"/>
        <v>31-60 dias</v>
      </c>
      <c r="G5" s="3">
        <f t="shared" si="3"/>
        <v>3</v>
      </c>
      <c r="H5" s="3">
        <f t="shared" si="4"/>
        <v>2026</v>
      </c>
      <c r="I5" s="3">
        <f t="shared" si="5"/>
        <v>284</v>
      </c>
      <c r="J5" s="3">
        <f t="shared" si="6"/>
        <v>194</v>
      </c>
      <c r="K5" s="5">
        <f t="shared" si="7"/>
        <v>0.68309859154929575</v>
      </c>
      <c r="L5" s="7">
        <f>1</f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B5">
        <v>1</v>
      </c>
      <c r="AF5" s="1">
        <v>46107.739689421302</v>
      </c>
    </row>
    <row r="6" spans="1:32" ht="18" customHeight="1" x14ac:dyDescent="0.25">
      <c r="A6">
        <v>1332952722</v>
      </c>
      <c r="B6" t="s">
        <v>349</v>
      </c>
      <c r="C6" t="s">
        <v>7</v>
      </c>
      <c r="D6" s="1">
        <v>46120.911893819437</v>
      </c>
      <c r="E6" s="2">
        <f t="shared" ca="1" si="1"/>
        <v>13</v>
      </c>
      <c r="F6" s="2" t="str">
        <f t="shared" ca="1" si="2"/>
        <v>0-14 dias</v>
      </c>
      <c r="G6" s="3">
        <f t="shared" si="3"/>
        <v>4</v>
      </c>
      <c r="H6" s="3">
        <f t="shared" si="4"/>
        <v>2026</v>
      </c>
      <c r="I6" s="3">
        <f t="shared" si="5"/>
        <v>146</v>
      </c>
      <c r="J6" s="3">
        <f t="shared" si="6"/>
        <v>28</v>
      </c>
      <c r="K6" s="5">
        <f t="shared" si="7"/>
        <v>0.19178082191780821</v>
      </c>
      <c r="L6" s="7">
        <f>1</f>
        <v>1</v>
      </c>
      <c r="R6">
        <v>1</v>
      </c>
    </row>
    <row r="7" spans="1:32" ht="18" customHeight="1" x14ac:dyDescent="0.25">
      <c r="A7">
        <v>1322756819</v>
      </c>
      <c r="B7" t="s">
        <v>8</v>
      </c>
      <c r="C7" t="s">
        <v>21</v>
      </c>
      <c r="D7" s="1">
        <v>46104.795858206016</v>
      </c>
      <c r="E7" s="2">
        <f t="shared" ca="1" si="1"/>
        <v>29</v>
      </c>
      <c r="F7" s="2" t="str">
        <f t="shared" ca="1" si="2"/>
        <v>25-30 dias</v>
      </c>
      <c r="G7" s="3">
        <f t="shared" si="3"/>
        <v>3</v>
      </c>
      <c r="H7" s="3">
        <f t="shared" si="4"/>
        <v>2026</v>
      </c>
      <c r="I7" s="3">
        <f t="shared" si="5"/>
        <v>284</v>
      </c>
      <c r="J7" s="3">
        <f t="shared" si="6"/>
        <v>194</v>
      </c>
      <c r="K7" s="5">
        <f t="shared" si="7"/>
        <v>0.68309859154929575</v>
      </c>
      <c r="L7" s="7">
        <f>1</f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32" ht="18" customHeight="1" x14ac:dyDescent="0.25">
      <c r="A8">
        <v>1337938774</v>
      </c>
      <c r="B8" t="s">
        <v>399</v>
      </c>
      <c r="C8" t="s">
        <v>7</v>
      </c>
      <c r="D8" s="1">
        <v>46129.630326076389</v>
      </c>
      <c r="E8" s="2">
        <f t="shared" ca="1" si="1"/>
        <v>4</v>
      </c>
      <c r="F8" s="2" t="str">
        <f t="shared" ca="1" si="2"/>
        <v>0-14 dias</v>
      </c>
      <c r="G8" s="3">
        <f t="shared" si="3"/>
        <v>4</v>
      </c>
      <c r="H8" s="3">
        <f t="shared" si="4"/>
        <v>2026</v>
      </c>
      <c r="I8" s="3">
        <f t="shared" si="5"/>
        <v>146</v>
      </c>
      <c r="J8" s="3">
        <f t="shared" si="6"/>
        <v>28</v>
      </c>
      <c r="K8" s="5">
        <f t="shared" si="7"/>
        <v>0.19178082191780821</v>
      </c>
      <c r="L8" s="7">
        <f>1</f>
        <v>1</v>
      </c>
    </row>
    <row r="9" spans="1:32" ht="18" customHeight="1" x14ac:dyDescent="0.25">
      <c r="A9">
        <v>1336131524</v>
      </c>
      <c r="B9" t="s">
        <v>400</v>
      </c>
      <c r="C9" t="s">
        <v>7</v>
      </c>
      <c r="D9" s="1">
        <v>46126.796980844912</v>
      </c>
      <c r="E9" s="2">
        <f t="shared" ca="1" si="1"/>
        <v>7</v>
      </c>
      <c r="F9" s="2" t="str">
        <f t="shared" ca="1" si="2"/>
        <v>0-14 dias</v>
      </c>
      <c r="G9" s="3">
        <f t="shared" si="3"/>
        <v>4</v>
      </c>
      <c r="H9" s="3">
        <f t="shared" si="4"/>
        <v>2026</v>
      </c>
      <c r="I9" s="3">
        <f t="shared" si="5"/>
        <v>146</v>
      </c>
      <c r="J9" s="3">
        <f t="shared" si="6"/>
        <v>28</v>
      </c>
      <c r="K9" s="5">
        <f t="shared" si="7"/>
        <v>0.19178082191780821</v>
      </c>
      <c r="L9" s="7">
        <f>1</f>
        <v>1</v>
      </c>
      <c r="O9">
        <v>1</v>
      </c>
    </row>
    <row r="10" spans="1:32" ht="18" customHeight="1" x14ac:dyDescent="0.25">
      <c r="A10">
        <v>1338976430</v>
      </c>
      <c r="B10" t="s">
        <v>401</v>
      </c>
      <c r="C10" t="s">
        <v>7</v>
      </c>
      <c r="D10" s="1">
        <v>46132.629829872683</v>
      </c>
      <c r="E10" s="2">
        <f t="shared" ca="1" si="1"/>
        <v>1</v>
      </c>
      <c r="F10" s="2" t="str">
        <f t="shared" ca="1" si="2"/>
        <v>0-14 dias</v>
      </c>
      <c r="G10" s="3">
        <f t="shared" si="3"/>
        <v>4</v>
      </c>
      <c r="H10" s="3">
        <f t="shared" si="4"/>
        <v>2026</v>
      </c>
      <c r="I10" s="3">
        <f t="shared" si="5"/>
        <v>146</v>
      </c>
      <c r="J10" s="3">
        <f t="shared" si="6"/>
        <v>28</v>
      </c>
      <c r="K10" s="5">
        <f t="shared" si="7"/>
        <v>0.19178082191780821</v>
      </c>
      <c r="L10" s="7">
        <f>1</f>
        <v>1</v>
      </c>
      <c r="Y10">
        <v>1</v>
      </c>
    </row>
    <row r="11" spans="1:32" ht="18" customHeight="1" x14ac:dyDescent="0.25">
      <c r="A11">
        <v>1337296676</v>
      </c>
      <c r="B11" t="s">
        <v>402</v>
      </c>
      <c r="C11" t="s">
        <v>7</v>
      </c>
      <c r="D11" s="1">
        <v>46128.629924606481</v>
      </c>
      <c r="E11" s="2">
        <f t="shared" ca="1" si="1"/>
        <v>5</v>
      </c>
      <c r="F11" s="2" t="str">
        <f t="shared" ca="1" si="2"/>
        <v>0-14 dias</v>
      </c>
      <c r="G11" s="3">
        <f t="shared" si="3"/>
        <v>4</v>
      </c>
      <c r="H11" s="3">
        <f t="shared" si="4"/>
        <v>2026</v>
      </c>
      <c r="I11" s="3">
        <f t="shared" si="5"/>
        <v>146</v>
      </c>
      <c r="J11" s="3">
        <f t="shared" si="6"/>
        <v>28</v>
      </c>
      <c r="K11" s="5">
        <f t="shared" si="7"/>
        <v>0.19178082191780821</v>
      </c>
      <c r="L11" s="7">
        <f>1</f>
        <v>1</v>
      </c>
      <c r="Y11">
        <v>1</v>
      </c>
    </row>
    <row r="12" spans="1:32" ht="18" customHeight="1" x14ac:dyDescent="0.25">
      <c r="A12">
        <v>1327283061</v>
      </c>
      <c r="B12" t="s">
        <v>273</v>
      </c>
      <c r="C12" t="s">
        <v>5</v>
      </c>
      <c r="D12" s="1">
        <v>46111.796296944449</v>
      </c>
      <c r="E12" s="2">
        <f t="shared" ca="1" si="1"/>
        <v>22</v>
      </c>
      <c r="F12" s="2" t="str">
        <f t="shared" ca="1" si="2"/>
        <v>20-24 dias</v>
      </c>
      <c r="G12" s="3">
        <f t="shared" si="3"/>
        <v>3</v>
      </c>
      <c r="H12" s="3">
        <f t="shared" si="4"/>
        <v>2026</v>
      </c>
      <c r="I12" s="3">
        <f t="shared" si="5"/>
        <v>284</v>
      </c>
      <c r="J12" s="3">
        <f t="shared" si="6"/>
        <v>194</v>
      </c>
      <c r="K12" s="5">
        <f t="shared" si="7"/>
        <v>0.68309859154929575</v>
      </c>
      <c r="L12" s="7">
        <f>1</f>
        <v>1</v>
      </c>
      <c r="N12">
        <v>1</v>
      </c>
      <c r="AC12">
        <v>1</v>
      </c>
      <c r="AF12" s="1">
        <v>46126.557331365737</v>
      </c>
    </row>
    <row r="13" spans="1:32" ht="18" customHeight="1" x14ac:dyDescent="0.25">
      <c r="A13">
        <v>1322871610</v>
      </c>
      <c r="B13" t="s">
        <v>9</v>
      </c>
      <c r="C13" t="s">
        <v>5</v>
      </c>
      <c r="D13" s="1">
        <v>46104.919653680547</v>
      </c>
      <c r="E13" s="2">
        <f t="shared" ca="1" si="1"/>
        <v>29</v>
      </c>
      <c r="F13" s="2" t="str">
        <f t="shared" ca="1" si="2"/>
        <v>25-30 dias</v>
      </c>
      <c r="G13" s="3">
        <f t="shared" si="3"/>
        <v>3</v>
      </c>
      <c r="H13" s="3">
        <f t="shared" si="4"/>
        <v>2026</v>
      </c>
      <c r="I13" s="3">
        <f t="shared" si="5"/>
        <v>284</v>
      </c>
      <c r="J13" s="3">
        <f t="shared" si="6"/>
        <v>194</v>
      </c>
      <c r="K13" s="5">
        <f t="shared" si="7"/>
        <v>0.68309859154929575</v>
      </c>
      <c r="L13" s="7">
        <f>1</f>
        <v>1</v>
      </c>
      <c r="M13">
        <v>0</v>
      </c>
      <c r="N13">
        <v>1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C13">
        <v>1</v>
      </c>
      <c r="AE13">
        <v>2</v>
      </c>
      <c r="AF13" s="1">
        <v>46126.530651365742</v>
      </c>
    </row>
    <row r="14" spans="1:32" ht="18" customHeight="1" x14ac:dyDescent="0.25">
      <c r="A14">
        <v>1307110231</v>
      </c>
      <c r="B14" t="s">
        <v>10</v>
      </c>
      <c r="C14" t="s">
        <v>11</v>
      </c>
      <c r="D14" s="1">
        <v>46083.627864641203</v>
      </c>
      <c r="E14" s="2">
        <f t="shared" ca="1" si="1"/>
        <v>50</v>
      </c>
      <c r="F14" s="2" t="str">
        <f t="shared" ca="1" si="2"/>
        <v>31-60 dias</v>
      </c>
      <c r="G14" s="3">
        <f t="shared" si="3"/>
        <v>3</v>
      </c>
      <c r="H14" s="3">
        <f t="shared" si="4"/>
        <v>2026</v>
      </c>
      <c r="I14" s="3">
        <f t="shared" si="5"/>
        <v>284</v>
      </c>
      <c r="J14" s="3">
        <f t="shared" si="6"/>
        <v>194</v>
      </c>
      <c r="K14" s="5">
        <f t="shared" si="7"/>
        <v>0.68309859154929575</v>
      </c>
      <c r="L14" s="7">
        <f>1</f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32" ht="18" customHeight="1" x14ac:dyDescent="0.25">
      <c r="A15">
        <v>1329550201</v>
      </c>
      <c r="B15" t="s">
        <v>315</v>
      </c>
      <c r="C15" t="s">
        <v>18</v>
      </c>
      <c r="D15" s="1">
        <v>46114.796106412032</v>
      </c>
      <c r="E15" s="2">
        <f t="shared" ca="1" si="1"/>
        <v>19</v>
      </c>
      <c r="F15" s="2" t="str">
        <f t="shared" ca="1" si="2"/>
        <v>15-19 dias</v>
      </c>
      <c r="G15" s="3">
        <f t="shared" si="3"/>
        <v>4</v>
      </c>
      <c r="H15" s="3">
        <f t="shared" si="4"/>
        <v>2026</v>
      </c>
      <c r="I15" s="3">
        <f t="shared" si="5"/>
        <v>146</v>
      </c>
      <c r="J15" s="3">
        <f t="shared" si="6"/>
        <v>28</v>
      </c>
      <c r="K15" s="5">
        <f t="shared" si="7"/>
        <v>0.19178082191780821</v>
      </c>
      <c r="L15" s="7">
        <f>1</f>
        <v>1</v>
      </c>
      <c r="O15">
        <v>2</v>
      </c>
    </row>
    <row r="16" spans="1:32" ht="18" customHeight="1" x14ac:dyDescent="0.25">
      <c r="A16">
        <v>1312774170</v>
      </c>
      <c r="B16" t="s">
        <v>12</v>
      </c>
      <c r="C16" t="s">
        <v>5</v>
      </c>
      <c r="D16" s="1">
        <v>46090.545234131947</v>
      </c>
      <c r="E16" s="2">
        <f t="shared" ca="1" si="1"/>
        <v>43</v>
      </c>
      <c r="F16" s="2" t="str">
        <f t="shared" ca="1" si="2"/>
        <v>31-60 dias</v>
      </c>
      <c r="G16" s="3">
        <f t="shared" si="3"/>
        <v>3</v>
      </c>
      <c r="H16" s="3">
        <f t="shared" si="4"/>
        <v>2026</v>
      </c>
      <c r="I16" s="3">
        <f t="shared" si="5"/>
        <v>284</v>
      </c>
      <c r="J16" s="3">
        <f t="shared" si="6"/>
        <v>194</v>
      </c>
      <c r="K16" s="5">
        <f t="shared" si="7"/>
        <v>0.68309859154929575</v>
      </c>
      <c r="L16" s="7">
        <f>1</f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B16">
        <v>1</v>
      </c>
      <c r="AF16" s="1">
        <v>46104.762725173612</v>
      </c>
    </row>
    <row r="17" spans="1:32" ht="18" customHeight="1" x14ac:dyDescent="0.25">
      <c r="A17">
        <v>1337567343</v>
      </c>
      <c r="B17" t="s">
        <v>403</v>
      </c>
      <c r="C17" t="s">
        <v>7</v>
      </c>
      <c r="D17" s="1">
        <v>46128.92281340278</v>
      </c>
      <c r="E17" s="2">
        <f t="shared" ca="1" si="1"/>
        <v>5</v>
      </c>
      <c r="F17" s="2" t="str">
        <f t="shared" ca="1" si="2"/>
        <v>0-14 dias</v>
      </c>
      <c r="G17" s="3">
        <f t="shared" si="3"/>
        <v>4</v>
      </c>
      <c r="H17" s="3">
        <f t="shared" si="4"/>
        <v>2026</v>
      </c>
      <c r="I17" s="3">
        <f t="shared" si="5"/>
        <v>146</v>
      </c>
      <c r="J17" s="3">
        <f t="shared" si="6"/>
        <v>28</v>
      </c>
      <c r="K17" s="5">
        <f t="shared" si="7"/>
        <v>0.19178082191780821</v>
      </c>
      <c r="L17" s="7">
        <f>1</f>
        <v>1</v>
      </c>
      <c r="M17">
        <v>1</v>
      </c>
    </row>
    <row r="18" spans="1:32" ht="18" customHeight="1" x14ac:dyDescent="0.25">
      <c r="A18">
        <v>1327733356</v>
      </c>
      <c r="B18" t="s">
        <v>274</v>
      </c>
      <c r="C18" t="s">
        <v>5</v>
      </c>
      <c r="D18" s="1">
        <v>46112.544437962963</v>
      </c>
      <c r="E18" s="2">
        <f t="shared" ca="1" si="1"/>
        <v>21</v>
      </c>
      <c r="F18" s="2" t="str">
        <f t="shared" ca="1" si="2"/>
        <v>20-24 dias</v>
      </c>
      <c r="G18" s="3">
        <f t="shared" si="3"/>
        <v>3</v>
      </c>
      <c r="H18" s="3">
        <f t="shared" si="4"/>
        <v>2026</v>
      </c>
      <c r="I18" s="3">
        <f t="shared" si="5"/>
        <v>284</v>
      </c>
      <c r="J18" s="3">
        <f t="shared" si="6"/>
        <v>194</v>
      </c>
      <c r="K18" s="5">
        <f t="shared" si="7"/>
        <v>0.68309859154929575</v>
      </c>
      <c r="L18" s="7">
        <f>1</f>
        <v>1</v>
      </c>
      <c r="Y18">
        <v>1</v>
      </c>
      <c r="AE18">
        <v>1</v>
      </c>
      <c r="AF18" s="1">
        <v>46129.626437037034</v>
      </c>
    </row>
    <row r="19" spans="1:32" ht="18" customHeight="1" x14ac:dyDescent="0.25">
      <c r="A19">
        <v>1328772647</v>
      </c>
      <c r="B19" t="s">
        <v>316</v>
      </c>
      <c r="C19" t="s">
        <v>11</v>
      </c>
      <c r="D19" s="1">
        <v>46113.795961747688</v>
      </c>
      <c r="E19" s="2">
        <f t="shared" ca="1" si="1"/>
        <v>20</v>
      </c>
      <c r="F19" s="2" t="str">
        <f t="shared" ca="1" si="2"/>
        <v>20-24 dias</v>
      </c>
      <c r="G19" s="3">
        <f t="shared" si="3"/>
        <v>4</v>
      </c>
      <c r="H19" s="3">
        <f t="shared" si="4"/>
        <v>2026</v>
      </c>
      <c r="I19" s="3">
        <f t="shared" si="5"/>
        <v>146</v>
      </c>
      <c r="J19" s="3">
        <f t="shared" si="6"/>
        <v>28</v>
      </c>
      <c r="K19" s="5">
        <f t="shared" si="7"/>
        <v>0.19178082191780821</v>
      </c>
      <c r="L19" s="7">
        <f>1</f>
        <v>1</v>
      </c>
    </row>
    <row r="20" spans="1:32" ht="18" customHeight="1" x14ac:dyDescent="0.25">
      <c r="A20">
        <v>1335442095</v>
      </c>
      <c r="B20" t="s">
        <v>404</v>
      </c>
      <c r="C20" t="s">
        <v>7</v>
      </c>
      <c r="D20" s="1">
        <v>46125.902277175926</v>
      </c>
      <c r="E20" s="2">
        <f t="shared" ca="1" si="1"/>
        <v>8</v>
      </c>
      <c r="F20" s="2" t="str">
        <f t="shared" ca="1" si="2"/>
        <v>0-14 dias</v>
      </c>
      <c r="G20" s="3">
        <f t="shared" si="3"/>
        <v>4</v>
      </c>
      <c r="H20" s="3">
        <f t="shared" si="4"/>
        <v>2026</v>
      </c>
      <c r="I20" s="3">
        <f t="shared" si="5"/>
        <v>146</v>
      </c>
      <c r="J20" s="3">
        <f t="shared" si="6"/>
        <v>28</v>
      </c>
      <c r="K20" s="5">
        <f t="shared" si="7"/>
        <v>0.19178082191780821</v>
      </c>
      <c r="L20" s="7">
        <f>1</f>
        <v>1</v>
      </c>
      <c r="O20">
        <v>2</v>
      </c>
    </row>
    <row r="21" spans="1:32" ht="18" customHeight="1" x14ac:dyDescent="0.25">
      <c r="A21">
        <v>1310029037</v>
      </c>
      <c r="B21" t="s">
        <v>405</v>
      </c>
      <c r="C21" t="s">
        <v>5</v>
      </c>
      <c r="D21" s="1">
        <v>46086.796034166662</v>
      </c>
      <c r="E21" s="2">
        <f t="shared" ca="1" si="1"/>
        <v>47</v>
      </c>
      <c r="F21" s="2" t="str">
        <f t="shared" ca="1" si="2"/>
        <v>31-60 dias</v>
      </c>
      <c r="G21" s="3">
        <f t="shared" si="3"/>
        <v>3</v>
      </c>
      <c r="H21" s="3">
        <f t="shared" si="4"/>
        <v>2026</v>
      </c>
      <c r="I21" s="3">
        <f t="shared" si="5"/>
        <v>284</v>
      </c>
      <c r="J21" s="3">
        <f t="shared" si="6"/>
        <v>194</v>
      </c>
      <c r="K21" s="5">
        <f t="shared" si="7"/>
        <v>0.68309859154929575</v>
      </c>
      <c r="L21" s="7">
        <f>1</f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C21">
        <v>1</v>
      </c>
      <c r="AF21" s="1">
        <v>46094.531471875001</v>
      </c>
    </row>
    <row r="22" spans="1:32" ht="18" customHeight="1" x14ac:dyDescent="0.25">
      <c r="A22">
        <v>1333386763</v>
      </c>
      <c r="B22" t="s">
        <v>350</v>
      </c>
      <c r="C22" t="s">
        <v>7</v>
      </c>
      <c r="D22" s="1">
        <v>46121.796596805551</v>
      </c>
      <c r="E22" s="2">
        <f t="shared" ca="1" si="1"/>
        <v>12</v>
      </c>
      <c r="F22" s="2" t="str">
        <f t="shared" ca="1" si="2"/>
        <v>0-14 dias</v>
      </c>
      <c r="G22" s="3">
        <f t="shared" si="3"/>
        <v>4</v>
      </c>
      <c r="H22" s="3">
        <f t="shared" si="4"/>
        <v>2026</v>
      </c>
      <c r="I22" s="3">
        <f t="shared" si="5"/>
        <v>146</v>
      </c>
      <c r="J22" s="3">
        <f t="shared" si="6"/>
        <v>28</v>
      </c>
      <c r="K22" s="5">
        <f t="shared" si="7"/>
        <v>0.19178082191780821</v>
      </c>
      <c r="L22" s="7">
        <f>1</f>
        <v>1</v>
      </c>
    </row>
    <row r="23" spans="1:32" ht="18" customHeight="1" x14ac:dyDescent="0.25">
      <c r="A23">
        <v>1328775103</v>
      </c>
      <c r="B23" t="s">
        <v>406</v>
      </c>
      <c r="C23" t="s">
        <v>5</v>
      </c>
      <c r="D23" s="1">
        <v>46113.797979282397</v>
      </c>
      <c r="E23" s="2">
        <f t="shared" ca="1" si="1"/>
        <v>20</v>
      </c>
      <c r="F23" s="2" t="str">
        <f t="shared" ca="1" si="2"/>
        <v>20-24 dias</v>
      </c>
      <c r="G23" s="3">
        <f t="shared" si="3"/>
        <v>4</v>
      </c>
      <c r="H23" s="3">
        <f t="shared" si="4"/>
        <v>2026</v>
      </c>
      <c r="I23" s="3">
        <f t="shared" si="5"/>
        <v>146</v>
      </c>
      <c r="J23" s="3">
        <f t="shared" si="6"/>
        <v>28</v>
      </c>
      <c r="K23" s="5">
        <f t="shared" si="7"/>
        <v>0.19178082191780821</v>
      </c>
      <c r="L23" s="7">
        <f>1</f>
        <v>1</v>
      </c>
      <c r="P23">
        <v>1</v>
      </c>
      <c r="AE23">
        <v>1</v>
      </c>
      <c r="AF23" s="1">
        <v>46134.538029849537</v>
      </c>
    </row>
    <row r="24" spans="1:32" ht="18" customHeight="1" x14ac:dyDescent="0.25">
      <c r="A24">
        <v>1320817186</v>
      </c>
      <c r="B24" t="s">
        <v>13</v>
      </c>
      <c r="C24" t="s">
        <v>5</v>
      </c>
      <c r="D24" s="1">
        <v>46100.921153425923</v>
      </c>
      <c r="E24" s="2">
        <f t="shared" ca="1" si="1"/>
        <v>33</v>
      </c>
      <c r="F24" s="2" t="str">
        <f t="shared" ca="1" si="2"/>
        <v>31-60 dias</v>
      </c>
      <c r="G24" s="3">
        <f t="shared" si="3"/>
        <v>3</v>
      </c>
      <c r="H24" s="3">
        <f t="shared" si="4"/>
        <v>2026</v>
      </c>
      <c r="I24" s="3">
        <f t="shared" si="5"/>
        <v>284</v>
      </c>
      <c r="J24" s="3">
        <f t="shared" si="6"/>
        <v>194</v>
      </c>
      <c r="K24" s="5">
        <f t="shared" si="7"/>
        <v>0.68309859154929575</v>
      </c>
      <c r="L24" s="7">
        <f>1</f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F24" s="1">
        <v>46126.535251180547</v>
      </c>
    </row>
    <row r="25" spans="1:32" ht="18" customHeight="1" x14ac:dyDescent="0.25">
      <c r="A25">
        <v>1337451405</v>
      </c>
      <c r="B25" t="s">
        <v>14</v>
      </c>
      <c r="C25" t="s">
        <v>7</v>
      </c>
      <c r="D25" s="1">
        <v>46128.797989606479</v>
      </c>
      <c r="E25" s="2">
        <f t="shared" ca="1" si="1"/>
        <v>5</v>
      </c>
      <c r="F25" s="2" t="str">
        <f t="shared" ca="1" si="2"/>
        <v>0-14 dias</v>
      </c>
      <c r="G25" s="3">
        <f t="shared" si="3"/>
        <v>4</v>
      </c>
      <c r="H25" s="3">
        <f t="shared" si="4"/>
        <v>2026</v>
      </c>
      <c r="I25" s="3">
        <f t="shared" si="5"/>
        <v>146</v>
      </c>
      <c r="J25" s="3">
        <f t="shared" si="6"/>
        <v>28</v>
      </c>
      <c r="K25" s="5">
        <f t="shared" si="7"/>
        <v>0.19178082191780821</v>
      </c>
      <c r="L25" s="7">
        <f>1</f>
        <v>1</v>
      </c>
      <c r="N25">
        <v>2</v>
      </c>
    </row>
    <row r="26" spans="1:32" ht="18" customHeight="1" x14ac:dyDescent="0.25">
      <c r="A26">
        <v>1313162240</v>
      </c>
      <c r="B26" t="s">
        <v>14</v>
      </c>
      <c r="C26" t="s">
        <v>5</v>
      </c>
      <c r="D26" s="1">
        <v>46090.797107939812</v>
      </c>
      <c r="E26" s="2">
        <f t="shared" ca="1" si="1"/>
        <v>43</v>
      </c>
      <c r="F26" s="2" t="str">
        <f t="shared" ca="1" si="2"/>
        <v>31-60 dias</v>
      </c>
      <c r="G26" s="3">
        <f t="shared" si="3"/>
        <v>3</v>
      </c>
      <c r="H26" s="3">
        <f t="shared" si="4"/>
        <v>2026</v>
      </c>
      <c r="I26" s="3">
        <f t="shared" si="5"/>
        <v>284</v>
      </c>
      <c r="J26" s="3">
        <f t="shared" si="6"/>
        <v>194</v>
      </c>
      <c r="K26" s="5">
        <f t="shared" si="7"/>
        <v>0.68309859154929575</v>
      </c>
      <c r="L26" s="7">
        <f>1</f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AE26">
        <v>2</v>
      </c>
      <c r="AF26" s="1">
        <v>46115.548966226852</v>
      </c>
    </row>
    <row r="27" spans="1:32" ht="18" customHeight="1" x14ac:dyDescent="0.25">
      <c r="A27">
        <v>1327281922</v>
      </c>
      <c r="B27" t="s">
        <v>275</v>
      </c>
      <c r="C27" t="s">
        <v>5</v>
      </c>
      <c r="D27" s="1">
        <v>46111.795234942118</v>
      </c>
      <c r="E27" s="2">
        <f t="shared" ca="1" si="1"/>
        <v>22</v>
      </c>
      <c r="F27" s="2" t="str">
        <f t="shared" ca="1" si="2"/>
        <v>20-24 dias</v>
      </c>
      <c r="G27" s="3">
        <f t="shared" si="3"/>
        <v>3</v>
      </c>
      <c r="H27" s="3">
        <f t="shared" si="4"/>
        <v>2026</v>
      </c>
      <c r="I27" s="3">
        <f t="shared" si="5"/>
        <v>284</v>
      </c>
      <c r="J27" s="3">
        <f t="shared" si="6"/>
        <v>194</v>
      </c>
      <c r="K27" s="5">
        <f t="shared" si="7"/>
        <v>0.68309859154929575</v>
      </c>
      <c r="L27" s="7">
        <f>1</f>
        <v>1</v>
      </c>
      <c r="N27">
        <v>1</v>
      </c>
      <c r="AC27">
        <v>1</v>
      </c>
      <c r="AF27" s="1">
        <v>46115.547905902778</v>
      </c>
    </row>
    <row r="28" spans="1:32" ht="18" customHeight="1" x14ac:dyDescent="0.25">
      <c r="A28">
        <v>1333930040</v>
      </c>
      <c r="B28" t="s">
        <v>275</v>
      </c>
      <c r="C28" t="s">
        <v>7</v>
      </c>
      <c r="D28" s="1">
        <v>46122.796901365742</v>
      </c>
      <c r="E28" s="2">
        <f t="shared" ca="1" si="1"/>
        <v>11</v>
      </c>
      <c r="F28" s="2" t="str">
        <f t="shared" ca="1" si="2"/>
        <v>0-14 dias</v>
      </c>
      <c r="G28" s="3">
        <f t="shared" si="3"/>
        <v>4</v>
      </c>
      <c r="H28" s="3">
        <f t="shared" si="4"/>
        <v>2026</v>
      </c>
      <c r="I28" s="3">
        <f t="shared" si="5"/>
        <v>146</v>
      </c>
      <c r="J28" s="3">
        <f t="shared" si="6"/>
        <v>28</v>
      </c>
      <c r="K28" s="5">
        <f t="shared" si="7"/>
        <v>0.19178082191780821</v>
      </c>
      <c r="L28" s="7">
        <f>1</f>
        <v>1</v>
      </c>
      <c r="Y28">
        <v>2</v>
      </c>
    </row>
    <row r="29" spans="1:32" ht="18" customHeight="1" x14ac:dyDescent="0.25">
      <c r="A29">
        <v>1309289104</v>
      </c>
      <c r="B29" t="s">
        <v>16</v>
      </c>
      <c r="C29" t="s">
        <v>5</v>
      </c>
      <c r="D29" s="1">
        <v>46085.79579704861</v>
      </c>
      <c r="E29" s="2">
        <f t="shared" ca="1" si="1"/>
        <v>48</v>
      </c>
      <c r="F29" s="2" t="str">
        <f t="shared" ca="1" si="2"/>
        <v>31-60 dias</v>
      </c>
      <c r="G29" s="3">
        <f t="shared" si="3"/>
        <v>3</v>
      </c>
      <c r="H29" s="3">
        <f t="shared" si="4"/>
        <v>2026</v>
      </c>
      <c r="I29" s="3">
        <f t="shared" si="5"/>
        <v>284</v>
      </c>
      <c r="J29" s="3">
        <f t="shared" si="6"/>
        <v>194</v>
      </c>
      <c r="K29" s="5">
        <f t="shared" si="7"/>
        <v>0.68309859154929575</v>
      </c>
      <c r="L29" s="7">
        <f>1</f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AC29">
        <v>1</v>
      </c>
      <c r="AF29" s="1">
        <v>46115.547550740739</v>
      </c>
    </row>
    <row r="30" spans="1:32" ht="18" customHeight="1" x14ac:dyDescent="0.25">
      <c r="A30">
        <v>1329552215</v>
      </c>
      <c r="B30" t="s">
        <v>317</v>
      </c>
      <c r="C30" t="s">
        <v>5</v>
      </c>
      <c r="D30" s="1">
        <v>46114.797213495367</v>
      </c>
      <c r="E30" s="2">
        <f t="shared" ca="1" si="1"/>
        <v>19</v>
      </c>
      <c r="F30" s="2" t="str">
        <f t="shared" ca="1" si="2"/>
        <v>15-19 dias</v>
      </c>
      <c r="G30" s="3">
        <f t="shared" si="3"/>
        <v>4</v>
      </c>
      <c r="H30" s="3">
        <f t="shared" si="4"/>
        <v>2026</v>
      </c>
      <c r="I30" s="3">
        <f t="shared" si="5"/>
        <v>146</v>
      </c>
      <c r="J30" s="3">
        <f t="shared" si="6"/>
        <v>28</v>
      </c>
      <c r="K30" s="5">
        <f t="shared" si="7"/>
        <v>0.19178082191780821</v>
      </c>
      <c r="L30" s="7">
        <f>1</f>
        <v>1</v>
      </c>
      <c r="R30">
        <v>1</v>
      </c>
      <c r="AF30" s="1">
        <v>46127.720320300927</v>
      </c>
    </row>
    <row r="31" spans="1:32" ht="18" customHeight="1" x14ac:dyDescent="0.25">
      <c r="A31">
        <v>1329552620</v>
      </c>
      <c r="B31" t="s">
        <v>317</v>
      </c>
      <c r="C31" t="s">
        <v>5</v>
      </c>
      <c r="D31" s="1">
        <v>46114.79743053241</v>
      </c>
      <c r="E31" s="2">
        <f t="shared" ca="1" si="1"/>
        <v>19</v>
      </c>
      <c r="F31" s="2" t="str">
        <f t="shared" ca="1" si="2"/>
        <v>15-19 dias</v>
      </c>
      <c r="G31" s="3">
        <f t="shared" si="3"/>
        <v>4</v>
      </c>
      <c r="H31" s="3">
        <f t="shared" si="4"/>
        <v>2026</v>
      </c>
      <c r="I31" s="3">
        <f t="shared" si="5"/>
        <v>146</v>
      </c>
      <c r="J31" s="3">
        <f t="shared" si="6"/>
        <v>28</v>
      </c>
      <c r="K31" s="5">
        <f t="shared" si="7"/>
        <v>0.19178082191780821</v>
      </c>
      <c r="L31" s="7">
        <f>1</f>
        <v>1</v>
      </c>
      <c r="N31">
        <v>2</v>
      </c>
      <c r="AC31">
        <v>2</v>
      </c>
      <c r="AF31" s="1">
        <v>46127.715711747689</v>
      </c>
    </row>
    <row r="32" spans="1:32" ht="18" customHeight="1" x14ac:dyDescent="0.25">
      <c r="A32">
        <v>1332566177</v>
      </c>
      <c r="B32" t="s">
        <v>407</v>
      </c>
      <c r="C32" t="s">
        <v>5</v>
      </c>
      <c r="D32" s="1">
        <v>46120.545415324072</v>
      </c>
      <c r="E32" s="2">
        <f t="shared" ca="1" si="1"/>
        <v>13</v>
      </c>
      <c r="F32" s="2" t="str">
        <f t="shared" ca="1" si="2"/>
        <v>0-14 dias</v>
      </c>
      <c r="G32" s="3">
        <f t="shared" si="3"/>
        <v>4</v>
      </c>
      <c r="H32" s="3">
        <f t="shared" si="4"/>
        <v>2026</v>
      </c>
      <c r="I32" s="3">
        <f t="shared" si="5"/>
        <v>146</v>
      </c>
      <c r="J32" s="3">
        <f t="shared" si="6"/>
        <v>28</v>
      </c>
      <c r="K32" s="5">
        <f t="shared" si="7"/>
        <v>0.19178082191780821</v>
      </c>
      <c r="L32" s="7">
        <f>1</f>
        <v>1</v>
      </c>
      <c r="Y32">
        <v>1</v>
      </c>
      <c r="AE32">
        <v>1</v>
      </c>
      <c r="AF32" s="1">
        <v>46126.724486064813</v>
      </c>
    </row>
    <row r="33" spans="1:32" ht="18" customHeight="1" x14ac:dyDescent="0.25">
      <c r="A33">
        <v>1339136344</v>
      </c>
      <c r="B33" t="s">
        <v>408</v>
      </c>
      <c r="C33" t="s">
        <v>7</v>
      </c>
      <c r="D33" s="1">
        <v>46132.796708668982</v>
      </c>
      <c r="E33" s="2">
        <f t="shared" ca="1" si="1"/>
        <v>1</v>
      </c>
      <c r="F33" s="2" t="str">
        <f t="shared" ca="1" si="2"/>
        <v>0-14 dias</v>
      </c>
      <c r="G33" s="3">
        <f t="shared" si="3"/>
        <v>4</v>
      </c>
      <c r="H33" s="3">
        <f t="shared" si="4"/>
        <v>2026</v>
      </c>
      <c r="I33" s="3">
        <f t="shared" si="5"/>
        <v>146</v>
      </c>
      <c r="J33" s="3">
        <f t="shared" si="6"/>
        <v>28</v>
      </c>
      <c r="K33" s="5">
        <f t="shared" si="7"/>
        <v>0.19178082191780821</v>
      </c>
      <c r="L33" s="7">
        <f>1</f>
        <v>1</v>
      </c>
      <c r="N33">
        <v>1</v>
      </c>
      <c r="O33">
        <v>1</v>
      </c>
    </row>
    <row r="34" spans="1:32" ht="18" customHeight="1" x14ac:dyDescent="0.25">
      <c r="A34">
        <v>1315965015</v>
      </c>
      <c r="B34" t="s">
        <v>17</v>
      </c>
      <c r="C34" t="s">
        <v>21</v>
      </c>
      <c r="D34" s="1">
        <v>46093.796393506942</v>
      </c>
      <c r="E34" s="2">
        <f t="shared" ca="1" si="1"/>
        <v>40</v>
      </c>
      <c r="F34" s="2" t="str">
        <f t="shared" ca="1" si="2"/>
        <v>31-60 dias</v>
      </c>
      <c r="G34" s="3">
        <f t="shared" si="3"/>
        <v>3</v>
      </c>
      <c r="H34" s="3">
        <f t="shared" si="4"/>
        <v>2026</v>
      </c>
      <c r="I34" s="3">
        <f t="shared" si="5"/>
        <v>284</v>
      </c>
      <c r="J34" s="3">
        <f t="shared" si="6"/>
        <v>194</v>
      </c>
      <c r="K34" s="5">
        <f t="shared" si="7"/>
        <v>0.68309859154929575</v>
      </c>
      <c r="L34" s="7">
        <f>1</f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</row>
    <row r="35" spans="1:32" ht="18" customHeight="1" x14ac:dyDescent="0.25">
      <c r="A35">
        <v>1315963805</v>
      </c>
      <c r="B35" t="s">
        <v>19</v>
      </c>
      <c r="C35" t="s">
        <v>5</v>
      </c>
      <c r="D35" s="1">
        <v>46093.795453506937</v>
      </c>
      <c r="E35" s="2">
        <f t="shared" ca="1" si="1"/>
        <v>40</v>
      </c>
      <c r="F35" s="2" t="str">
        <f t="shared" ca="1" si="2"/>
        <v>31-60 dias</v>
      </c>
      <c r="G35" s="3">
        <f t="shared" si="3"/>
        <v>3</v>
      </c>
      <c r="H35" s="3">
        <f t="shared" si="4"/>
        <v>2026</v>
      </c>
      <c r="I35" s="3">
        <f t="shared" si="5"/>
        <v>284</v>
      </c>
      <c r="J35" s="3">
        <f t="shared" si="6"/>
        <v>194</v>
      </c>
      <c r="K35" s="5">
        <f t="shared" si="7"/>
        <v>0.68309859154929575</v>
      </c>
      <c r="L35" s="7">
        <f>1</f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AE35">
        <v>1</v>
      </c>
      <c r="AF35" s="1">
        <v>46118.518663460651</v>
      </c>
    </row>
    <row r="36" spans="1:32" ht="18" customHeight="1" x14ac:dyDescent="0.25">
      <c r="A36">
        <v>1309288031</v>
      </c>
      <c r="B36" t="s">
        <v>20</v>
      </c>
      <c r="C36" t="s">
        <v>21</v>
      </c>
      <c r="D36" s="1">
        <v>46085.794767395833</v>
      </c>
      <c r="E36" s="2">
        <f t="shared" ca="1" si="1"/>
        <v>48</v>
      </c>
      <c r="F36" s="2" t="str">
        <f t="shared" ca="1" si="2"/>
        <v>31-60 dias</v>
      </c>
      <c r="G36" s="3">
        <f t="shared" si="3"/>
        <v>3</v>
      </c>
      <c r="H36" s="3">
        <f t="shared" si="4"/>
        <v>2026</v>
      </c>
      <c r="I36" s="3">
        <f t="shared" si="5"/>
        <v>284</v>
      </c>
      <c r="J36" s="3">
        <f t="shared" si="6"/>
        <v>194</v>
      </c>
      <c r="K36" s="5">
        <f t="shared" si="7"/>
        <v>0.68309859154929575</v>
      </c>
      <c r="L36" s="7">
        <f>1</f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32" ht="18" customHeight="1" x14ac:dyDescent="0.25">
      <c r="A37">
        <v>1325731239</v>
      </c>
      <c r="B37" t="s">
        <v>22</v>
      </c>
      <c r="C37" t="s">
        <v>11</v>
      </c>
      <c r="D37" s="1">
        <v>46108.628530868053</v>
      </c>
      <c r="E37" s="2">
        <f t="shared" ca="1" si="1"/>
        <v>25</v>
      </c>
      <c r="F37" s="2" t="str">
        <f t="shared" ca="1" si="2"/>
        <v>25-30 dias</v>
      </c>
      <c r="G37" s="3">
        <f t="shared" si="3"/>
        <v>3</v>
      </c>
      <c r="H37" s="3">
        <f t="shared" si="4"/>
        <v>2026</v>
      </c>
      <c r="I37" s="3">
        <f t="shared" si="5"/>
        <v>284</v>
      </c>
      <c r="J37" s="3">
        <f t="shared" si="6"/>
        <v>194</v>
      </c>
      <c r="K37" s="5">
        <f t="shared" si="7"/>
        <v>0.68309859154929575</v>
      </c>
      <c r="L37" s="7">
        <f>1</f>
        <v>1</v>
      </c>
      <c r="R37">
        <v>3</v>
      </c>
    </row>
    <row r="38" spans="1:32" ht="18" customHeight="1" x14ac:dyDescent="0.25">
      <c r="A38">
        <v>1337566760</v>
      </c>
      <c r="B38" t="s">
        <v>409</v>
      </c>
      <c r="C38" t="s">
        <v>7</v>
      </c>
      <c r="D38" s="1">
        <v>46128.921879965274</v>
      </c>
      <c r="E38" s="2">
        <f t="shared" ca="1" si="1"/>
        <v>5</v>
      </c>
      <c r="F38" s="2" t="str">
        <f t="shared" ca="1" si="2"/>
        <v>0-14 dias</v>
      </c>
      <c r="G38" s="3">
        <f t="shared" si="3"/>
        <v>4</v>
      </c>
      <c r="H38" s="3">
        <f t="shared" si="4"/>
        <v>2026</v>
      </c>
      <c r="I38" s="3">
        <f t="shared" si="5"/>
        <v>146</v>
      </c>
      <c r="J38" s="3">
        <f t="shared" si="6"/>
        <v>28</v>
      </c>
      <c r="K38" s="5">
        <f t="shared" si="7"/>
        <v>0.19178082191780821</v>
      </c>
      <c r="L38" s="7">
        <f>1</f>
        <v>1</v>
      </c>
      <c r="N38">
        <v>1</v>
      </c>
    </row>
    <row r="39" spans="1:32" ht="18" customHeight="1" x14ac:dyDescent="0.25">
      <c r="A39">
        <v>1333386698</v>
      </c>
      <c r="B39" t="s">
        <v>351</v>
      </c>
      <c r="C39" t="s">
        <v>7</v>
      </c>
      <c r="D39" s="1">
        <v>46121.79652650463</v>
      </c>
      <c r="E39" s="2">
        <f t="shared" ca="1" si="1"/>
        <v>12</v>
      </c>
      <c r="F39" s="2" t="str">
        <f t="shared" ca="1" si="2"/>
        <v>0-14 dias</v>
      </c>
      <c r="G39" s="3">
        <f t="shared" si="3"/>
        <v>4</v>
      </c>
      <c r="H39" s="3">
        <f t="shared" si="4"/>
        <v>2026</v>
      </c>
      <c r="I39" s="3">
        <f t="shared" si="5"/>
        <v>146</v>
      </c>
      <c r="J39" s="3">
        <f t="shared" si="6"/>
        <v>28</v>
      </c>
      <c r="K39" s="5">
        <f t="shared" si="7"/>
        <v>0.19178082191780821</v>
      </c>
      <c r="L39" s="7">
        <f>1</f>
        <v>1</v>
      </c>
      <c r="Y39">
        <v>1</v>
      </c>
    </row>
    <row r="40" spans="1:32" ht="18" customHeight="1" x14ac:dyDescent="0.25">
      <c r="A40">
        <v>1337451092</v>
      </c>
      <c r="B40" t="s">
        <v>410</v>
      </c>
      <c r="C40" t="s">
        <v>7</v>
      </c>
      <c r="D40" s="1">
        <v>46128.797771331017</v>
      </c>
      <c r="E40" s="2">
        <f t="shared" ca="1" si="1"/>
        <v>5</v>
      </c>
      <c r="F40" s="2" t="str">
        <f t="shared" ca="1" si="2"/>
        <v>0-14 dias</v>
      </c>
      <c r="G40" s="3">
        <f t="shared" si="3"/>
        <v>4</v>
      </c>
      <c r="H40" s="3">
        <f t="shared" si="4"/>
        <v>2026</v>
      </c>
      <c r="I40" s="3">
        <f t="shared" si="5"/>
        <v>146</v>
      </c>
      <c r="J40" s="3">
        <f t="shared" si="6"/>
        <v>28</v>
      </c>
      <c r="K40" s="5">
        <f t="shared" si="7"/>
        <v>0.19178082191780821</v>
      </c>
      <c r="L40" s="7">
        <f>1</f>
        <v>1</v>
      </c>
      <c r="Y40">
        <v>1</v>
      </c>
    </row>
    <row r="41" spans="1:32" ht="18" customHeight="1" x14ac:dyDescent="0.25">
      <c r="A41">
        <v>1335260607</v>
      </c>
      <c r="B41" t="s">
        <v>411</v>
      </c>
      <c r="C41" t="s">
        <v>118</v>
      </c>
      <c r="D41" s="1">
        <v>46125.772758888888</v>
      </c>
      <c r="E41" s="2">
        <f t="shared" ca="1" si="1"/>
        <v>8</v>
      </c>
      <c r="F41" s="2" t="str">
        <f t="shared" ca="1" si="2"/>
        <v>0-14 dias</v>
      </c>
      <c r="G41" s="3">
        <f t="shared" si="3"/>
        <v>4</v>
      </c>
      <c r="H41" s="3">
        <f t="shared" si="4"/>
        <v>2026</v>
      </c>
      <c r="I41" s="3">
        <f t="shared" si="5"/>
        <v>146</v>
      </c>
      <c r="J41" s="3">
        <f t="shared" si="6"/>
        <v>28</v>
      </c>
      <c r="K41" s="5">
        <f t="shared" si="7"/>
        <v>0.19178082191780821</v>
      </c>
      <c r="L41" s="7">
        <f>1</f>
        <v>1</v>
      </c>
      <c r="Y41">
        <v>2</v>
      </c>
    </row>
    <row r="42" spans="1:32" ht="18" customHeight="1" x14ac:dyDescent="0.25">
      <c r="A42">
        <v>1320687369</v>
      </c>
      <c r="B42" t="s">
        <v>23</v>
      </c>
      <c r="C42" t="s">
        <v>21</v>
      </c>
      <c r="D42" s="1">
        <v>46100.795962326389</v>
      </c>
      <c r="E42" s="2">
        <f t="shared" ca="1" si="1"/>
        <v>33</v>
      </c>
      <c r="F42" s="2" t="str">
        <f t="shared" ca="1" si="2"/>
        <v>31-60 dias</v>
      </c>
      <c r="G42" s="3">
        <f t="shared" si="3"/>
        <v>3</v>
      </c>
      <c r="H42" s="3">
        <f t="shared" si="4"/>
        <v>2026</v>
      </c>
      <c r="I42" s="3">
        <f t="shared" si="5"/>
        <v>284</v>
      </c>
      <c r="J42" s="3">
        <f t="shared" si="6"/>
        <v>194</v>
      </c>
      <c r="K42" s="5">
        <f t="shared" si="7"/>
        <v>0.68309859154929575</v>
      </c>
      <c r="L42" s="7">
        <f>1</f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 spans="1:32" ht="18" customHeight="1" x14ac:dyDescent="0.25">
      <c r="A43">
        <v>1315002992</v>
      </c>
      <c r="B43" t="s">
        <v>23</v>
      </c>
      <c r="C43" t="s">
        <v>21</v>
      </c>
      <c r="D43" s="1">
        <v>46092.920657731484</v>
      </c>
      <c r="E43" s="2">
        <f t="shared" ca="1" si="1"/>
        <v>41</v>
      </c>
      <c r="F43" s="2" t="str">
        <f t="shared" ca="1" si="2"/>
        <v>31-60 dias</v>
      </c>
      <c r="G43" s="3">
        <f t="shared" si="3"/>
        <v>3</v>
      </c>
      <c r="H43" s="3">
        <f t="shared" si="4"/>
        <v>2026</v>
      </c>
      <c r="I43" s="3">
        <f t="shared" si="5"/>
        <v>284</v>
      </c>
      <c r="J43" s="3">
        <f t="shared" si="6"/>
        <v>194</v>
      </c>
      <c r="K43" s="5">
        <f t="shared" si="7"/>
        <v>0.68309859154929575</v>
      </c>
      <c r="L43" s="7">
        <f>1</f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32" ht="18" customHeight="1" x14ac:dyDescent="0.25">
      <c r="A44">
        <v>1335309601</v>
      </c>
      <c r="B44" t="s">
        <v>23</v>
      </c>
      <c r="C44" t="s">
        <v>7</v>
      </c>
      <c r="D44" s="1">
        <v>46125.797082280093</v>
      </c>
      <c r="E44" s="2">
        <f t="shared" ca="1" si="1"/>
        <v>8</v>
      </c>
      <c r="F44" s="2" t="str">
        <f t="shared" ca="1" si="2"/>
        <v>0-14 dias</v>
      </c>
      <c r="G44" s="3">
        <f t="shared" si="3"/>
        <v>4</v>
      </c>
      <c r="H44" s="3">
        <f t="shared" si="4"/>
        <v>2026</v>
      </c>
      <c r="I44" s="3">
        <f t="shared" si="5"/>
        <v>146</v>
      </c>
      <c r="J44" s="3">
        <f t="shared" si="6"/>
        <v>28</v>
      </c>
      <c r="K44" s="5">
        <f t="shared" si="7"/>
        <v>0.19178082191780821</v>
      </c>
      <c r="L44" s="7">
        <f>1</f>
        <v>1</v>
      </c>
      <c r="R44">
        <v>1</v>
      </c>
    </row>
    <row r="45" spans="1:32" ht="18" customHeight="1" x14ac:dyDescent="0.25">
      <c r="A45">
        <v>1319733381</v>
      </c>
      <c r="B45" t="s">
        <v>24</v>
      </c>
      <c r="C45" t="s">
        <v>5</v>
      </c>
      <c r="D45" s="1">
        <v>46099.543759803237</v>
      </c>
      <c r="E45" s="2">
        <f t="shared" ca="1" si="1"/>
        <v>34</v>
      </c>
      <c r="F45" s="2" t="str">
        <f t="shared" ca="1" si="2"/>
        <v>31-60 dias</v>
      </c>
      <c r="G45" s="3">
        <f t="shared" si="3"/>
        <v>3</v>
      </c>
      <c r="H45" s="3">
        <f t="shared" si="4"/>
        <v>2026</v>
      </c>
      <c r="I45" s="3">
        <f t="shared" si="5"/>
        <v>284</v>
      </c>
      <c r="J45" s="3">
        <f t="shared" si="6"/>
        <v>194</v>
      </c>
      <c r="K45" s="5">
        <f t="shared" si="7"/>
        <v>0.68309859154929575</v>
      </c>
      <c r="L45" s="7">
        <f>1</f>
        <v>1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AC45">
        <v>2</v>
      </c>
      <c r="AF45" s="1">
        <v>46105.752299907414</v>
      </c>
    </row>
    <row r="46" spans="1:32" ht="18" customHeight="1" x14ac:dyDescent="0.25">
      <c r="A46">
        <v>1313954383</v>
      </c>
      <c r="B46" t="s">
        <v>25</v>
      </c>
      <c r="C46" t="s">
        <v>5</v>
      </c>
      <c r="D46" s="1">
        <v>46091.79560099537</v>
      </c>
      <c r="E46" s="2">
        <f t="shared" ca="1" si="1"/>
        <v>42</v>
      </c>
      <c r="F46" s="2" t="str">
        <f t="shared" ca="1" si="2"/>
        <v>31-60 dias</v>
      </c>
      <c r="G46" s="3">
        <f t="shared" si="3"/>
        <v>3</v>
      </c>
      <c r="H46" s="3">
        <f t="shared" si="4"/>
        <v>2026</v>
      </c>
      <c r="I46" s="3">
        <f t="shared" si="5"/>
        <v>284</v>
      </c>
      <c r="J46" s="3">
        <f t="shared" si="6"/>
        <v>194</v>
      </c>
      <c r="K46" s="5">
        <f t="shared" si="7"/>
        <v>0.68309859154929575</v>
      </c>
      <c r="L46" s="7">
        <f>1</f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F46" s="1">
        <v>46126.649922384262</v>
      </c>
    </row>
    <row r="47" spans="1:32" ht="18" customHeight="1" x14ac:dyDescent="0.25">
      <c r="A47">
        <v>1310810906</v>
      </c>
      <c r="B47" t="s">
        <v>26</v>
      </c>
      <c r="C47" t="s">
        <v>5</v>
      </c>
      <c r="D47" s="1">
        <v>46087.774530150462</v>
      </c>
      <c r="E47" s="2">
        <f t="shared" ca="1" si="1"/>
        <v>46</v>
      </c>
      <c r="F47" s="2" t="str">
        <f t="shared" ca="1" si="2"/>
        <v>31-60 dias</v>
      </c>
      <c r="G47" s="3">
        <f t="shared" si="3"/>
        <v>3</v>
      </c>
      <c r="H47" s="3">
        <f t="shared" si="4"/>
        <v>2026</v>
      </c>
      <c r="I47" s="3">
        <f t="shared" si="5"/>
        <v>284</v>
      </c>
      <c r="J47" s="3">
        <f t="shared" si="6"/>
        <v>194</v>
      </c>
      <c r="K47" s="5">
        <f t="shared" si="7"/>
        <v>0.68309859154929575</v>
      </c>
      <c r="L47" s="7">
        <f>1</f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AE47">
        <v>2</v>
      </c>
      <c r="AF47" s="1">
        <v>46104.834289895844</v>
      </c>
    </row>
    <row r="48" spans="1:32" ht="18" customHeight="1" x14ac:dyDescent="0.25">
      <c r="A48">
        <v>1324172773</v>
      </c>
      <c r="B48" t="s">
        <v>27</v>
      </c>
      <c r="C48" t="s">
        <v>5</v>
      </c>
      <c r="D48" s="1">
        <v>46106.628358101851</v>
      </c>
      <c r="E48" s="2">
        <f t="shared" ca="1" si="1"/>
        <v>27</v>
      </c>
      <c r="F48" s="2" t="str">
        <f t="shared" ca="1" si="2"/>
        <v>25-30 dias</v>
      </c>
      <c r="G48" s="3">
        <f t="shared" si="3"/>
        <v>3</v>
      </c>
      <c r="H48" s="3">
        <f t="shared" si="4"/>
        <v>2026</v>
      </c>
      <c r="I48" s="3">
        <f t="shared" si="5"/>
        <v>284</v>
      </c>
      <c r="J48" s="3">
        <f t="shared" si="6"/>
        <v>194</v>
      </c>
      <c r="K48" s="5">
        <f t="shared" si="7"/>
        <v>0.68309859154929575</v>
      </c>
      <c r="L48" s="7">
        <f>1</f>
        <v>1</v>
      </c>
      <c r="S48">
        <v>1</v>
      </c>
      <c r="AF48" s="1">
        <v>46126.564083275473</v>
      </c>
    </row>
    <row r="49" spans="1:32" ht="18" customHeight="1" x14ac:dyDescent="0.25">
      <c r="A49">
        <v>1307008823</v>
      </c>
      <c r="B49" t="s">
        <v>28</v>
      </c>
      <c r="C49" t="s">
        <v>5</v>
      </c>
      <c r="D49" s="1">
        <v>46083.544668402777</v>
      </c>
      <c r="E49" s="2">
        <f t="shared" ca="1" si="1"/>
        <v>50</v>
      </c>
      <c r="F49" s="2" t="str">
        <f t="shared" ca="1" si="2"/>
        <v>31-60 dias</v>
      </c>
      <c r="G49" s="3">
        <f t="shared" si="3"/>
        <v>3</v>
      </c>
      <c r="H49" s="3">
        <f t="shared" si="4"/>
        <v>2026</v>
      </c>
      <c r="I49" s="3">
        <f t="shared" si="5"/>
        <v>284</v>
      </c>
      <c r="J49" s="3">
        <f t="shared" si="6"/>
        <v>194</v>
      </c>
      <c r="K49" s="5">
        <f t="shared" si="7"/>
        <v>0.68309859154929575</v>
      </c>
      <c r="L49" s="7">
        <f>1</f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AD49">
        <v>1</v>
      </c>
      <c r="AF49" s="1">
        <v>46094.535572199078</v>
      </c>
    </row>
    <row r="50" spans="1:32" ht="18" customHeight="1" x14ac:dyDescent="0.25">
      <c r="A50">
        <v>1328929301</v>
      </c>
      <c r="B50" t="s">
        <v>318</v>
      </c>
      <c r="C50" t="s">
        <v>15</v>
      </c>
      <c r="D50" s="1">
        <v>46113.922593368057</v>
      </c>
      <c r="E50" s="2">
        <f t="shared" ca="1" si="1"/>
        <v>20</v>
      </c>
      <c r="F50" s="2" t="str">
        <f t="shared" ca="1" si="2"/>
        <v>20-24 dias</v>
      </c>
      <c r="G50" s="3">
        <f t="shared" si="3"/>
        <v>4</v>
      </c>
      <c r="H50" s="3">
        <f t="shared" si="4"/>
        <v>2026</v>
      </c>
      <c r="I50" s="3">
        <f t="shared" si="5"/>
        <v>146</v>
      </c>
      <c r="J50" s="3">
        <f t="shared" si="6"/>
        <v>28</v>
      </c>
      <c r="K50" s="5">
        <f t="shared" si="7"/>
        <v>0.19178082191780821</v>
      </c>
      <c r="L50" s="7">
        <f>1</f>
        <v>1</v>
      </c>
      <c r="Y50">
        <v>1</v>
      </c>
    </row>
    <row r="51" spans="1:32" ht="18" customHeight="1" x14ac:dyDescent="0.25">
      <c r="A51">
        <v>1308191152</v>
      </c>
      <c r="B51" t="s">
        <v>29</v>
      </c>
      <c r="C51" t="s">
        <v>5</v>
      </c>
      <c r="D51" s="1">
        <v>46084.627178900468</v>
      </c>
      <c r="E51" s="2">
        <f t="shared" ca="1" si="1"/>
        <v>49</v>
      </c>
      <c r="F51" s="2" t="str">
        <f t="shared" ca="1" si="2"/>
        <v>31-60 dias</v>
      </c>
      <c r="G51" s="3">
        <f t="shared" si="3"/>
        <v>3</v>
      </c>
      <c r="H51" s="3">
        <f t="shared" si="4"/>
        <v>2026</v>
      </c>
      <c r="I51" s="3">
        <f t="shared" si="5"/>
        <v>284</v>
      </c>
      <c r="J51" s="3">
        <f t="shared" si="6"/>
        <v>194</v>
      </c>
      <c r="K51" s="5">
        <f t="shared" si="7"/>
        <v>0.68309859154929575</v>
      </c>
      <c r="L51" s="7">
        <f>1</f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C51">
        <v>1</v>
      </c>
      <c r="AF51" s="1">
        <v>46126.634771435187</v>
      </c>
    </row>
    <row r="52" spans="1:32" ht="18" customHeight="1" x14ac:dyDescent="0.25">
      <c r="A52">
        <v>1328928630</v>
      </c>
      <c r="B52" t="s">
        <v>319</v>
      </c>
      <c r="C52" t="s">
        <v>21</v>
      </c>
      <c r="D52" s="1">
        <v>46113.92166630787</v>
      </c>
      <c r="E52" s="2">
        <f t="shared" ca="1" si="1"/>
        <v>20</v>
      </c>
      <c r="F52" s="2" t="str">
        <f t="shared" ca="1" si="2"/>
        <v>20-24 dias</v>
      </c>
      <c r="G52" s="3">
        <f t="shared" si="3"/>
        <v>4</v>
      </c>
      <c r="H52" s="3">
        <f t="shared" si="4"/>
        <v>2026</v>
      </c>
      <c r="I52" s="3">
        <f t="shared" si="5"/>
        <v>146</v>
      </c>
      <c r="J52" s="3">
        <f t="shared" si="6"/>
        <v>28</v>
      </c>
      <c r="K52" s="5">
        <f t="shared" si="7"/>
        <v>0.19178082191780821</v>
      </c>
      <c r="L52" s="7">
        <f>1</f>
        <v>1</v>
      </c>
      <c r="N52">
        <v>1</v>
      </c>
    </row>
    <row r="53" spans="1:32" ht="18" customHeight="1" x14ac:dyDescent="0.25">
      <c r="A53">
        <v>1323286934</v>
      </c>
      <c r="B53" t="s">
        <v>352</v>
      </c>
      <c r="C53" t="s">
        <v>21</v>
      </c>
      <c r="D53" s="1">
        <v>46105.628592905086</v>
      </c>
      <c r="E53" s="2">
        <f t="shared" ca="1" si="1"/>
        <v>28</v>
      </c>
      <c r="F53" s="2" t="str">
        <f t="shared" ca="1" si="2"/>
        <v>25-30 dias</v>
      </c>
      <c r="G53" s="3">
        <f t="shared" si="3"/>
        <v>3</v>
      </c>
      <c r="H53" s="3">
        <f t="shared" si="4"/>
        <v>2026</v>
      </c>
      <c r="I53" s="3">
        <f t="shared" si="5"/>
        <v>284</v>
      </c>
      <c r="J53" s="3">
        <f t="shared" si="6"/>
        <v>194</v>
      </c>
      <c r="K53" s="5">
        <f t="shared" si="7"/>
        <v>0.68309859154929575</v>
      </c>
      <c r="L53" s="7">
        <f>1</f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32" ht="18" customHeight="1" x14ac:dyDescent="0.25">
      <c r="A54">
        <v>1327099415</v>
      </c>
      <c r="B54" t="s">
        <v>30</v>
      </c>
      <c r="C54" t="s">
        <v>21</v>
      </c>
      <c r="D54" s="1">
        <v>46111.627919594903</v>
      </c>
      <c r="E54" s="2">
        <f t="shared" ca="1" si="1"/>
        <v>22</v>
      </c>
      <c r="F54" s="2" t="str">
        <f t="shared" ca="1" si="2"/>
        <v>20-24 dias</v>
      </c>
      <c r="G54" s="3">
        <f t="shared" si="3"/>
        <v>3</v>
      </c>
      <c r="H54" s="3">
        <f t="shared" si="4"/>
        <v>2026</v>
      </c>
      <c r="I54" s="3">
        <f t="shared" si="5"/>
        <v>284</v>
      </c>
      <c r="J54" s="3">
        <f t="shared" si="6"/>
        <v>194</v>
      </c>
      <c r="K54" s="5">
        <f t="shared" si="7"/>
        <v>0.68309859154929575</v>
      </c>
      <c r="L54" s="7">
        <f>1</f>
        <v>1</v>
      </c>
    </row>
    <row r="55" spans="1:32" ht="18" customHeight="1" x14ac:dyDescent="0.25">
      <c r="A55">
        <v>1319998969</v>
      </c>
      <c r="B55" t="s">
        <v>276</v>
      </c>
      <c r="C55" t="s">
        <v>5</v>
      </c>
      <c r="D55" s="1">
        <v>46099.795068784719</v>
      </c>
      <c r="E55" s="2">
        <f t="shared" ca="1" si="1"/>
        <v>34</v>
      </c>
      <c r="F55" s="2" t="str">
        <f t="shared" ca="1" si="2"/>
        <v>31-60 dias</v>
      </c>
      <c r="G55" s="3">
        <f t="shared" si="3"/>
        <v>3</v>
      </c>
      <c r="H55" s="3">
        <f t="shared" si="4"/>
        <v>2026</v>
      </c>
      <c r="I55" s="3">
        <f t="shared" si="5"/>
        <v>284</v>
      </c>
      <c r="J55" s="3">
        <f t="shared" si="6"/>
        <v>194</v>
      </c>
      <c r="K55" s="5">
        <f t="shared" si="7"/>
        <v>0.68309859154929575</v>
      </c>
      <c r="L55" s="7">
        <f>1</f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AF55" s="1">
        <v>46126.637914386578</v>
      </c>
    </row>
    <row r="56" spans="1:32" ht="18" customHeight="1" x14ac:dyDescent="0.25">
      <c r="A56">
        <v>1321490212</v>
      </c>
      <c r="B56" t="s">
        <v>31</v>
      </c>
      <c r="C56" t="s">
        <v>5</v>
      </c>
      <c r="D56" s="1">
        <v>46101.920958009257</v>
      </c>
      <c r="E56" s="2">
        <f t="shared" ca="1" si="1"/>
        <v>32</v>
      </c>
      <c r="F56" s="2" t="str">
        <f t="shared" ca="1" si="2"/>
        <v>31-60 dias</v>
      </c>
      <c r="G56" s="3">
        <f t="shared" si="3"/>
        <v>3</v>
      </c>
      <c r="H56" s="3">
        <f t="shared" si="4"/>
        <v>2026</v>
      </c>
      <c r="I56" s="3">
        <f t="shared" si="5"/>
        <v>284</v>
      </c>
      <c r="J56" s="3">
        <f t="shared" si="6"/>
        <v>194</v>
      </c>
      <c r="K56" s="5">
        <f t="shared" si="7"/>
        <v>0.68309859154929575</v>
      </c>
      <c r="L56" s="7">
        <f>1</f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AE56">
        <v>1</v>
      </c>
      <c r="AF56" s="1">
        <v>46127.539809027767</v>
      </c>
    </row>
    <row r="57" spans="1:32" ht="18" customHeight="1" x14ac:dyDescent="0.25">
      <c r="A57">
        <v>1318985910</v>
      </c>
      <c r="B57" t="s">
        <v>32</v>
      </c>
      <c r="C57" t="s">
        <v>5</v>
      </c>
      <c r="D57" s="1">
        <v>46098.558481354157</v>
      </c>
      <c r="E57" s="2">
        <f t="shared" ca="1" si="1"/>
        <v>35</v>
      </c>
      <c r="F57" s="2" t="str">
        <f t="shared" ca="1" si="2"/>
        <v>31-60 dias</v>
      </c>
      <c r="G57" s="3">
        <f t="shared" si="3"/>
        <v>3</v>
      </c>
      <c r="H57" s="3">
        <f t="shared" si="4"/>
        <v>2026</v>
      </c>
      <c r="I57" s="3">
        <f t="shared" si="5"/>
        <v>284</v>
      </c>
      <c r="J57" s="3">
        <f t="shared" si="6"/>
        <v>194</v>
      </c>
      <c r="K57" s="5">
        <f t="shared" si="7"/>
        <v>0.68309859154929575</v>
      </c>
      <c r="L57" s="7">
        <f>1</f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AE57">
        <v>1</v>
      </c>
      <c r="AF57" s="1">
        <v>46098.559123148152</v>
      </c>
    </row>
    <row r="58" spans="1:32" ht="18" customHeight="1" x14ac:dyDescent="0.25">
      <c r="A58">
        <v>1313292512</v>
      </c>
      <c r="B58" t="s">
        <v>33</v>
      </c>
      <c r="C58" t="s">
        <v>5</v>
      </c>
      <c r="D58" s="1">
        <v>46090.919829699073</v>
      </c>
      <c r="E58" s="2">
        <f t="shared" ca="1" si="1"/>
        <v>43</v>
      </c>
      <c r="F58" s="2" t="str">
        <f t="shared" ca="1" si="2"/>
        <v>31-60 dias</v>
      </c>
      <c r="G58" s="3">
        <f t="shared" si="3"/>
        <v>3</v>
      </c>
      <c r="H58" s="3">
        <f t="shared" si="4"/>
        <v>2026</v>
      </c>
      <c r="I58" s="3">
        <f t="shared" si="5"/>
        <v>284</v>
      </c>
      <c r="J58" s="3">
        <f t="shared" si="6"/>
        <v>194</v>
      </c>
      <c r="K58" s="5">
        <f t="shared" si="7"/>
        <v>0.68309859154929575</v>
      </c>
      <c r="L58" s="7">
        <f>1</f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C58">
        <v>1</v>
      </c>
      <c r="AF58" s="1">
        <v>46126.622663136572</v>
      </c>
    </row>
    <row r="59" spans="1:32" ht="18" customHeight="1" x14ac:dyDescent="0.25">
      <c r="A59">
        <v>1338966313</v>
      </c>
      <c r="B59" t="s">
        <v>412</v>
      </c>
      <c r="C59" t="s">
        <v>11</v>
      </c>
      <c r="D59" s="1">
        <v>46132.620101435183</v>
      </c>
      <c r="E59" s="2">
        <f t="shared" ca="1" si="1"/>
        <v>1</v>
      </c>
      <c r="F59" s="2" t="str">
        <f t="shared" ca="1" si="2"/>
        <v>0-14 dias</v>
      </c>
      <c r="G59" s="3">
        <f t="shared" si="3"/>
        <v>4</v>
      </c>
      <c r="H59" s="3">
        <f t="shared" si="4"/>
        <v>2026</v>
      </c>
      <c r="I59" s="3">
        <f t="shared" si="5"/>
        <v>146</v>
      </c>
      <c r="J59" s="3">
        <f t="shared" si="6"/>
        <v>28</v>
      </c>
      <c r="K59" s="5">
        <f t="shared" si="7"/>
        <v>0.19178082191780821</v>
      </c>
      <c r="L59" s="7">
        <f>1</f>
        <v>1</v>
      </c>
      <c r="N59">
        <v>1</v>
      </c>
    </row>
    <row r="60" spans="1:32" ht="18" customHeight="1" x14ac:dyDescent="0.25">
      <c r="A60">
        <v>1331078764</v>
      </c>
      <c r="B60" t="s">
        <v>320</v>
      </c>
      <c r="C60" t="s">
        <v>5</v>
      </c>
      <c r="D60" s="1">
        <v>46118.546983368047</v>
      </c>
      <c r="E60" s="2">
        <f t="shared" ca="1" si="1"/>
        <v>15</v>
      </c>
      <c r="F60" s="2" t="str">
        <f t="shared" ca="1" si="2"/>
        <v>15-19 dias</v>
      </c>
      <c r="G60" s="3">
        <f t="shared" si="3"/>
        <v>4</v>
      </c>
      <c r="H60" s="3">
        <f t="shared" si="4"/>
        <v>2026</v>
      </c>
      <c r="I60" s="3">
        <f t="shared" si="5"/>
        <v>146</v>
      </c>
      <c r="J60" s="3">
        <f t="shared" si="6"/>
        <v>28</v>
      </c>
      <c r="K60" s="5">
        <f t="shared" si="7"/>
        <v>0.19178082191780821</v>
      </c>
      <c r="L60" s="7">
        <f>1</f>
        <v>1</v>
      </c>
      <c r="P60">
        <v>5</v>
      </c>
      <c r="AE60">
        <v>7</v>
      </c>
      <c r="AF60" s="1">
        <v>46126.579149224533</v>
      </c>
    </row>
    <row r="61" spans="1:32" ht="18" customHeight="1" x14ac:dyDescent="0.25">
      <c r="A61">
        <v>1322756775</v>
      </c>
      <c r="B61" t="s">
        <v>34</v>
      </c>
      <c r="C61" t="s">
        <v>11</v>
      </c>
      <c r="D61" s="1">
        <v>46104.795831504627</v>
      </c>
      <c r="E61" s="2">
        <f t="shared" ca="1" si="1"/>
        <v>29</v>
      </c>
      <c r="F61" s="2" t="str">
        <f t="shared" ca="1" si="2"/>
        <v>25-30 dias</v>
      </c>
      <c r="G61" s="3">
        <f t="shared" si="3"/>
        <v>3</v>
      </c>
      <c r="H61" s="3">
        <f t="shared" si="4"/>
        <v>2026</v>
      </c>
      <c r="I61" s="3">
        <f t="shared" si="5"/>
        <v>284</v>
      </c>
      <c r="J61" s="3">
        <f t="shared" si="6"/>
        <v>194</v>
      </c>
      <c r="K61" s="5">
        <f t="shared" si="7"/>
        <v>0.68309859154929575</v>
      </c>
      <c r="L61" s="7">
        <f>1</f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32" ht="18" customHeight="1" x14ac:dyDescent="0.25">
      <c r="A62">
        <v>1335441512</v>
      </c>
      <c r="B62" t="s">
        <v>413</v>
      </c>
      <c r="C62" t="s">
        <v>7</v>
      </c>
      <c r="D62" s="1">
        <v>46125.901060486111</v>
      </c>
      <c r="E62" s="2">
        <f t="shared" ca="1" si="1"/>
        <v>8</v>
      </c>
      <c r="F62" s="2" t="str">
        <f t="shared" ca="1" si="2"/>
        <v>0-14 dias</v>
      </c>
      <c r="G62" s="3">
        <f t="shared" si="3"/>
        <v>4</v>
      </c>
      <c r="H62" s="3">
        <f t="shared" si="4"/>
        <v>2026</v>
      </c>
      <c r="I62" s="3">
        <f t="shared" si="5"/>
        <v>146</v>
      </c>
      <c r="J62" s="3">
        <f t="shared" si="6"/>
        <v>28</v>
      </c>
      <c r="K62" s="5">
        <f t="shared" si="7"/>
        <v>0.19178082191780821</v>
      </c>
      <c r="L62" s="7">
        <f>1</f>
        <v>1</v>
      </c>
      <c r="N62">
        <v>1</v>
      </c>
    </row>
    <row r="63" spans="1:32" ht="18" customHeight="1" x14ac:dyDescent="0.25">
      <c r="A63">
        <v>1339238891</v>
      </c>
      <c r="B63" t="s">
        <v>414</v>
      </c>
      <c r="C63" t="s">
        <v>7</v>
      </c>
      <c r="D63" s="1">
        <v>46132.921108634248</v>
      </c>
      <c r="E63" s="2">
        <f t="shared" ca="1" si="1"/>
        <v>1</v>
      </c>
      <c r="F63" s="2" t="str">
        <f t="shared" ca="1" si="2"/>
        <v>0-14 dias</v>
      </c>
      <c r="G63" s="3">
        <f t="shared" si="3"/>
        <v>4</v>
      </c>
      <c r="H63" s="3">
        <f t="shared" si="4"/>
        <v>2026</v>
      </c>
      <c r="I63" s="3">
        <f t="shared" si="5"/>
        <v>146</v>
      </c>
      <c r="J63" s="3">
        <f t="shared" si="6"/>
        <v>28</v>
      </c>
      <c r="K63" s="5">
        <f t="shared" si="7"/>
        <v>0.19178082191780821</v>
      </c>
      <c r="L63" s="7">
        <f>1</f>
        <v>1</v>
      </c>
    </row>
    <row r="64" spans="1:32" ht="18" customHeight="1" x14ac:dyDescent="0.25">
      <c r="A64">
        <v>1314897838</v>
      </c>
      <c r="B64" t="s">
        <v>35</v>
      </c>
      <c r="C64" t="s">
        <v>5</v>
      </c>
      <c r="D64" s="1">
        <v>46092.853987418981</v>
      </c>
      <c r="E64" s="2">
        <f t="shared" ca="1" si="1"/>
        <v>41</v>
      </c>
      <c r="F64" s="2" t="str">
        <f t="shared" ca="1" si="2"/>
        <v>31-60 dias</v>
      </c>
      <c r="G64" s="3">
        <f t="shared" si="3"/>
        <v>3</v>
      </c>
      <c r="H64" s="3">
        <f t="shared" si="4"/>
        <v>2026</v>
      </c>
      <c r="I64" s="3">
        <f t="shared" si="5"/>
        <v>284</v>
      </c>
      <c r="J64" s="3">
        <f t="shared" si="6"/>
        <v>194</v>
      </c>
      <c r="K64" s="5">
        <f t="shared" si="7"/>
        <v>0.68309859154929575</v>
      </c>
      <c r="L64" s="7">
        <f>1</f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AE64">
        <v>1</v>
      </c>
      <c r="AF64" s="1">
        <v>46104.761372002307</v>
      </c>
    </row>
    <row r="65" spans="1:32" ht="18" customHeight="1" x14ac:dyDescent="0.25">
      <c r="A65">
        <v>1314897377</v>
      </c>
      <c r="B65" t="s">
        <v>35</v>
      </c>
      <c r="C65" t="s">
        <v>5</v>
      </c>
      <c r="D65" s="1">
        <v>46092.853630289348</v>
      </c>
      <c r="E65" s="2">
        <f t="shared" ca="1" si="1"/>
        <v>41</v>
      </c>
      <c r="F65" s="2" t="str">
        <f t="shared" ca="1" si="2"/>
        <v>31-60 dias</v>
      </c>
      <c r="G65" s="3">
        <f t="shared" si="3"/>
        <v>3</v>
      </c>
      <c r="H65" s="3">
        <f t="shared" si="4"/>
        <v>2026</v>
      </c>
      <c r="I65" s="3">
        <f t="shared" si="5"/>
        <v>284</v>
      </c>
      <c r="J65" s="3">
        <f t="shared" si="6"/>
        <v>194</v>
      </c>
      <c r="K65" s="5">
        <f t="shared" si="7"/>
        <v>0.68309859154929575</v>
      </c>
      <c r="L65" s="7">
        <f>1</f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AB65">
        <v>1</v>
      </c>
      <c r="AF65" s="1">
        <v>46094.518737766208</v>
      </c>
    </row>
    <row r="66" spans="1:32" ht="18" customHeight="1" x14ac:dyDescent="0.25">
      <c r="A66">
        <v>1333929618</v>
      </c>
      <c r="B66" t="s">
        <v>353</v>
      </c>
      <c r="C66" t="s">
        <v>7</v>
      </c>
      <c r="D66" s="1">
        <v>46122.796354745369</v>
      </c>
      <c r="E66" s="2">
        <f t="shared" ca="1" si="1"/>
        <v>11</v>
      </c>
      <c r="F66" s="2" t="str">
        <f t="shared" ca="1" si="2"/>
        <v>0-14 dias</v>
      </c>
      <c r="G66" s="3">
        <f t="shared" si="3"/>
        <v>4</v>
      </c>
      <c r="H66" s="3">
        <f t="shared" si="4"/>
        <v>2026</v>
      </c>
      <c r="I66" s="3">
        <f t="shared" si="5"/>
        <v>146</v>
      </c>
      <c r="J66" s="3">
        <f t="shared" si="6"/>
        <v>28</v>
      </c>
      <c r="K66" s="5">
        <f t="shared" si="7"/>
        <v>0.19178082191780821</v>
      </c>
      <c r="L66" s="7">
        <f>1</f>
        <v>1</v>
      </c>
      <c r="P66">
        <v>1</v>
      </c>
      <c r="Q66">
        <v>1</v>
      </c>
    </row>
    <row r="67" spans="1:32" ht="18" customHeight="1" x14ac:dyDescent="0.25">
      <c r="A67">
        <v>1307301093</v>
      </c>
      <c r="B67" t="s">
        <v>36</v>
      </c>
      <c r="C67" t="s">
        <v>5</v>
      </c>
      <c r="D67" s="1">
        <v>46083.794668518523</v>
      </c>
      <c r="E67" s="2">
        <f t="shared" ref="E67:E130" ca="1" si="8">INT(TODAY() - D67)</f>
        <v>50</v>
      </c>
      <c r="F67" s="2" t="str">
        <f t="shared" ref="F67:F130" ca="1" si="9">IF(E67&lt;=14,"0-14 dias",
IF(E67&lt;=19,"15-19 dias",
IF(E67&lt;=24,"20-24 dias",
IF(E67&lt;=30,"25-30 dias",
IF(E67&lt;=60,"31-60 dias",
"&gt;60 dias")))))</f>
        <v>31-60 dias</v>
      </c>
      <c r="G67" s="3">
        <f t="shared" ref="G67:G130" si="10">MONTH(D67)</f>
        <v>3</v>
      </c>
      <c r="H67" s="3">
        <f t="shared" ref="H67:H130" si="11">YEAR(D67)</f>
        <v>2026</v>
      </c>
      <c r="I67" s="3">
        <f t="shared" ref="I67:I130" si="12">COUNTIFS(G:G,G67)</f>
        <v>284</v>
      </c>
      <c r="J67" s="3">
        <f t="shared" ref="J67:J130" si="13">COUNTIFS(G:G,G67,C:C,"Recebido")</f>
        <v>194</v>
      </c>
      <c r="K67" s="5">
        <f t="shared" ref="K67:K130" si="14">(J67/I67)</f>
        <v>0.68309859154929575</v>
      </c>
      <c r="L67" s="7">
        <f>1</f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AC67">
        <v>1</v>
      </c>
      <c r="AF67" s="1">
        <v>46098.561083101849</v>
      </c>
    </row>
    <row r="68" spans="1:32" ht="18" customHeight="1" x14ac:dyDescent="0.25">
      <c r="A68">
        <v>1335442682</v>
      </c>
      <c r="B68" t="s">
        <v>415</v>
      </c>
      <c r="C68" t="s">
        <v>7</v>
      </c>
      <c r="D68" s="1">
        <v>46125.903964502308</v>
      </c>
      <c r="E68" s="2">
        <f t="shared" ca="1" si="8"/>
        <v>8</v>
      </c>
      <c r="F68" s="2" t="str">
        <f t="shared" ca="1" si="9"/>
        <v>0-14 dias</v>
      </c>
      <c r="G68" s="3">
        <f t="shared" si="10"/>
        <v>4</v>
      </c>
      <c r="H68" s="3">
        <f t="shared" si="11"/>
        <v>2026</v>
      </c>
      <c r="I68" s="3">
        <f t="shared" si="12"/>
        <v>146</v>
      </c>
      <c r="J68" s="3">
        <f t="shared" si="13"/>
        <v>28</v>
      </c>
      <c r="K68" s="5">
        <f t="shared" si="14"/>
        <v>0.19178082191780821</v>
      </c>
      <c r="L68" s="7">
        <f>1</f>
        <v>1</v>
      </c>
    </row>
    <row r="69" spans="1:32" ht="18" customHeight="1" x14ac:dyDescent="0.25">
      <c r="A69">
        <v>1316810511</v>
      </c>
      <c r="B69" t="s">
        <v>37</v>
      </c>
      <c r="C69" t="s">
        <v>5</v>
      </c>
      <c r="D69" s="1">
        <v>46094.920971145839</v>
      </c>
      <c r="E69" s="2">
        <f t="shared" ca="1" si="8"/>
        <v>39</v>
      </c>
      <c r="F69" s="2" t="str">
        <f t="shared" ca="1" si="9"/>
        <v>31-60 dias</v>
      </c>
      <c r="G69" s="3">
        <f t="shared" si="10"/>
        <v>3</v>
      </c>
      <c r="H69" s="3">
        <f t="shared" si="11"/>
        <v>2026</v>
      </c>
      <c r="I69" s="3">
        <f t="shared" si="12"/>
        <v>284</v>
      </c>
      <c r="J69" s="3">
        <f t="shared" si="13"/>
        <v>194</v>
      </c>
      <c r="K69" s="5">
        <f t="shared" si="14"/>
        <v>0.68309859154929575</v>
      </c>
      <c r="L69" s="7">
        <f>1</f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AF69" s="1">
        <v>46114.53744158565</v>
      </c>
    </row>
    <row r="70" spans="1:32" ht="18" customHeight="1" x14ac:dyDescent="0.25">
      <c r="A70">
        <v>1320817646</v>
      </c>
      <c r="B70" t="s">
        <v>37</v>
      </c>
      <c r="C70" t="s">
        <v>5</v>
      </c>
      <c r="D70" s="1">
        <v>46100.921650023141</v>
      </c>
      <c r="E70" s="2">
        <f t="shared" ca="1" si="8"/>
        <v>33</v>
      </c>
      <c r="F70" s="2" t="str">
        <f t="shared" ca="1" si="9"/>
        <v>31-60 dias</v>
      </c>
      <c r="G70" s="3">
        <f t="shared" si="10"/>
        <v>3</v>
      </c>
      <c r="H70" s="3">
        <f t="shared" si="11"/>
        <v>2026</v>
      </c>
      <c r="I70" s="3">
        <f t="shared" si="12"/>
        <v>284</v>
      </c>
      <c r="J70" s="3">
        <f t="shared" si="13"/>
        <v>194</v>
      </c>
      <c r="K70" s="5">
        <f t="shared" si="14"/>
        <v>0.68309859154929575</v>
      </c>
      <c r="L70" s="7">
        <f>1</f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AF70" s="1">
        <v>46114.537838761578</v>
      </c>
    </row>
    <row r="71" spans="1:32" ht="18" customHeight="1" x14ac:dyDescent="0.25">
      <c r="A71">
        <v>1332234698</v>
      </c>
      <c r="B71" t="s">
        <v>354</v>
      </c>
      <c r="C71" t="s">
        <v>7</v>
      </c>
      <c r="D71" s="1">
        <v>46119.793338738433</v>
      </c>
      <c r="E71" s="2">
        <f t="shared" ca="1" si="8"/>
        <v>14</v>
      </c>
      <c r="F71" s="2" t="str">
        <f t="shared" ca="1" si="9"/>
        <v>0-14 dias</v>
      </c>
      <c r="G71" s="3">
        <f t="shared" si="10"/>
        <v>4</v>
      </c>
      <c r="H71" s="3">
        <f t="shared" si="11"/>
        <v>2026</v>
      </c>
      <c r="I71" s="3">
        <f t="shared" si="12"/>
        <v>146</v>
      </c>
      <c r="J71" s="3">
        <f t="shared" si="13"/>
        <v>28</v>
      </c>
      <c r="K71" s="5">
        <f t="shared" si="14"/>
        <v>0.19178082191780821</v>
      </c>
      <c r="L71" s="7">
        <f>1</f>
        <v>1</v>
      </c>
      <c r="N71">
        <v>3</v>
      </c>
      <c r="P71">
        <v>3</v>
      </c>
    </row>
    <row r="72" spans="1:32" ht="18" customHeight="1" x14ac:dyDescent="0.25">
      <c r="A72">
        <v>1322470053</v>
      </c>
      <c r="B72" t="s">
        <v>38</v>
      </c>
      <c r="C72" t="s">
        <v>5</v>
      </c>
      <c r="D72" s="1">
        <v>46104.545303599538</v>
      </c>
      <c r="E72" s="2">
        <f t="shared" ca="1" si="8"/>
        <v>29</v>
      </c>
      <c r="F72" s="2" t="str">
        <f t="shared" ca="1" si="9"/>
        <v>25-30 dias</v>
      </c>
      <c r="G72" s="3">
        <f t="shared" si="10"/>
        <v>3</v>
      </c>
      <c r="H72" s="3">
        <f t="shared" si="11"/>
        <v>2026</v>
      </c>
      <c r="I72" s="3">
        <f t="shared" si="12"/>
        <v>284</v>
      </c>
      <c r="J72" s="3">
        <f t="shared" si="13"/>
        <v>194</v>
      </c>
      <c r="K72" s="5">
        <f t="shared" si="14"/>
        <v>0.68309859154929575</v>
      </c>
      <c r="L72" s="7">
        <f>1</f>
        <v>1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AB72">
        <v>1</v>
      </c>
      <c r="AE72">
        <v>1</v>
      </c>
      <c r="AF72" s="1">
        <v>46126.585582094907</v>
      </c>
    </row>
    <row r="73" spans="1:32" ht="18" customHeight="1" x14ac:dyDescent="0.25">
      <c r="A73">
        <v>1310027737</v>
      </c>
      <c r="B73" t="s">
        <v>39</v>
      </c>
      <c r="C73" t="s">
        <v>15</v>
      </c>
      <c r="D73" s="1">
        <v>46086.795067604173</v>
      </c>
      <c r="E73" s="2">
        <f t="shared" ca="1" si="8"/>
        <v>47</v>
      </c>
      <c r="F73" s="2" t="str">
        <f t="shared" ca="1" si="9"/>
        <v>31-60 dias</v>
      </c>
      <c r="G73" s="3">
        <f t="shared" si="10"/>
        <v>3</v>
      </c>
      <c r="H73" s="3">
        <f t="shared" si="11"/>
        <v>2026</v>
      </c>
      <c r="I73" s="3">
        <f t="shared" si="12"/>
        <v>284</v>
      </c>
      <c r="J73" s="3">
        <f t="shared" si="13"/>
        <v>194</v>
      </c>
      <c r="K73" s="5">
        <f t="shared" si="14"/>
        <v>0.68309859154929575</v>
      </c>
      <c r="L73" s="7">
        <f>1</f>
        <v>1</v>
      </c>
      <c r="M73">
        <v>0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</row>
    <row r="74" spans="1:32" ht="18" customHeight="1" x14ac:dyDescent="0.25">
      <c r="A74">
        <v>1314095926</v>
      </c>
      <c r="B74" t="s">
        <v>40</v>
      </c>
      <c r="C74" t="s">
        <v>21</v>
      </c>
      <c r="D74" s="1">
        <v>46091.920427129633</v>
      </c>
      <c r="E74" s="2">
        <f t="shared" ca="1" si="8"/>
        <v>42</v>
      </c>
      <c r="F74" s="2" t="str">
        <f t="shared" ca="1" si="9"/>
        <v>31-60 dias</v>
      </c>
      <c r="G74" s="3">
        <f t="shared" si="10"/>
        <v>3</v>
      </c>
      <c r="H74" s="3">
        <f t="shared" si="11"/>
        <v>2026</v>
      </c>
      <c r="I74" s="3">
        <f t="shared" si="12"/>
        <v>284</v>
      </c>
      <c r="J74" s="3">
        <f t="shared" si="13"/>
        <v>194</v>
      </c>
      <c r="K74" s="5">
        <f t="shared" si="14"/>
        <v>0.68309859154929575</v>
      </c>
      <c r="L74" s="7">
        <f>1</f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32" ht="18" customHeight="1" x14ac:dyDescent="0.25">
      <c r="A75">
        <v>1319095496</v>
      </c>
      <c r="B75" t="s">
        <v>41</v>
      </c>
      <c r="C75" t="s">
        <v>21</v>
      </c>
      <c r="D75" s="1">
        <v>46098.627476608803</v>
      </c>
      <c r="E75" s="2">
        <f t="shared" ca="1" si="8"/>
        <v>35</v>
      </c>
      <c r="F75" s="2" t="str">
        <f t="shared" ca="1" si="9"/>
        <v>31-60 dias</v>
      </c>
      <c r="G75" s="3">
        <f t="shared" si="10"/>
        <v>3</v>
      </c>
      <c r="H75" s="3">
        <f t="shared" si="11"/>
        <v>2026</v>
      </c>
      <c r="I75" s="3">
        <f t="shared" si="12"/>
        <v>284</v>
      </c>
      <c r="J75" s="3">
        <f t="shared" si="13"/>
        <v>194</v>
      </c>
      <c r="K75" s="5">
        <f t="shared" si="14"/>
        <v>0.68309859154929575</v>
      </c>
      <c r="L75" s="7">
        <f>1</f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32" ht="18" customHeight="1" x14ac:dyDescent="0.25">
      <c r="A76">
        <v>1320688217</v>
      </c>
      <c r="B76" t="s">
        <v>42</v>
      </c>
      <c r="C76" t="s">
        <v>21</v>
      </c>
      <c r="D76" s="1">
        <v>46100.796714317134</v>
      </c>
      <c r="E76" s="2">
        <f t="shared" ca="1" si="8"/>
        <v>33</v>
      </c>
      <c r="F76" s="2" t="str">
        <f t="shared" ca="1" si="9"/>
        <v>31-60 dias</v>
      </c>
      <c r="G76" s="3">
        <f t="shared" si="10"/>
        <v>3</v>
      </c>
      <c r="H76" s="3">
        <f t="shared" si="11"/>
        <v>2026</v>
      </c>
      <c r="I76" s="3">
        <f t="shared" si="12"/>
        <v>284</v>
      </c>
      <c r="J76" s="3">
        <f t="shared" si="13"/>
        <v>194</v>
      </c>
      <c r="K76" s="5">
        <f t="shared" si="14"/>
        <v>0.68309859154929575</v>
      </c>
      <c r="L76" s="7">
        <f>1</f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32" ht="18" customHeight="1" x14ac:dyDescent="0.25">
      <c r="A77">
        <v>1327842826</v>
      </c>
      <c r="B77" t="s">
        <v>42</v>
      </c>
      <c r="C77" t="s">
        <v>21</v>
      </c>
      <c r="D77" s="1">
        <v>46112.628078807873</v>
      </c>
      <c r="E77" s="2">
        <f t="shared" ca="1" si="8"/>
        <v>21</v>
      </c>
      <c r="F77" s="2" t="str">
        <f t="shared" ca="1" si="9"/>
        <v>20-24 dias</v>
      </c>
      <c r="G77" s="3">
        <f t="shared" si="10"/>
        <v>3</v>
      </c>
      <c r="H77" s="3">
        <f t="shared" si="11"/>
        <v>2026</v>
      </c>
      <c r="I77" s="3">
        <f t="shared" si="12"/>
        <v>284</v>
      </c>
      <c r="J77" s="3">
        <f t="shared" si="13"/>
        <v>194</v>
      </c>
      <c r="K77" s="5">
        <f t="shared" si="14"/>
        <v>0.68309859154929575</v>
      </c>
      <c r="L77" s="7">
        <f>1</f>
        <v>1</v>
      </c>
      <c r="N77">
        <v>1</v>
      </c>
    </row>
    <row r="78" spans="1:32" ht="18" customHeight="1" x14ac:dyDescent="0.25">
      <c r="A78">
        <v>1331617215</v>
      </c>
      <c r="B78" t="s">
        <v>43</v>
      </c>
      <c r="C78" t="s">
        <v>18</v>
      </c>
      <c r="D78" s="1">
        <v>46118.920583749998</v>
      </c>
      <c r="E78" s="2">
        <f t="shared" ca="1" si="8"/>
        <v>15</v>
      </c>
      <c r="F78" s="2" t="str">
        <f t="shared" ca="1" si="9"/>
        <v>15-19 dias</v>
      </c>
      <c r="G78" s="3">
        <f t="shared" si="10"/>
        <v>4</v>
      </c>
      <c r="H78" s="3">
        <f t="shared" si="11"/>
        <v>2026</v>
      </c>
      <c r="I78" s="3">
        <f t="shared" si="12"/>
        <v>146</v>
      </c>
      <c r="J78" s="3">
        <f t="shared" si="13"/>
        <v>28</v>
      </c>
      <c r="K78" s="5">
        <f t="shared" si="14"/>
        <v>0.19178082191780821</v>
      </c>
      <c r="L78" s="7">
        <f>1</f>
        <v>1</v>
      </c>
      <c r="O78">
        <v>1</v>
      </c>
      <c r="P78">
        <v>1</v>
      </c>
    </row>
    <row r="79" spans="1:32" ht="18" customHeight="1" x14ac:dyDescent="0.25">
      <c r="A79">
        <v>1324345984</v>
      </c>
      <c r="B79" t="s">
        <v>43</v>
      </c>
      <c r="C79" t="s">
        <v>11</v>
      </c>
      <c r="D79" s="1">
        <v>46106.795307037042</v>
      </c>
      <c r="E79" s="2">
        <f t="shared" ca="1" si="8"/>
        <v>27</v>
      </c>
      <c r="F79" s="2" t="str">
        <f t="shared" ca="1" si="9"/>
        <v>25-30 dias</v>
      </c>
      <c r="G79" s="3">
        <f t="shared" si="10"/>
        <v>3</v>
      </c>
      <c r="H79" s="3">
        <f t="shared" si="11"/>
        <v>2026</v>
      </c>
      <c r="I79" s="3">
        <f t="shared" si="12"/>
        <v>284</v>
      </c>
      <c r="J79" s="3">
        <f t="shared" si="13"/>
        <v>194</v>
      </c>
      <c r="K79" s="5">
        <f t="shared" si="14"/>
        <v>0.68309859154929575</v>
      </c>
      <c r="L79" s="7">
        <f>1</f>
        <v>1</v>
      </c>
    </row>
    <row r="80" spans="1:32" ht="18" customHeight="1" x14ac:dyDescent="0.25">
      <c r="A80">
        <v>1331470804</v>
      </c>
      <c r="B80" t="s">
        <v>43</v>
      </c>
      <c r="C80" t="s">
        <v>18</v>
      </c>
      <c r="D80" s="1">
        <v>46118.796595601852</v>
      </c>
      <c r="E80" s="2">
        <f t="shared" ca="1" si="8"/>
        <v>15</v>
      </c>
      <c r="F80" s="2" t="str">
        <f t="shared" ca="1" si="9"/>
        <v>15-19 dias</v>
      </c>
      <c r="G80" s="3">
        <f t="shared" si="10"/>
        <v>4</v>
      </c>
      <c r="H80" s="3">
        <f t="shared" si="11"/>
        <v>2026</v>
      </c>
      <c r="I80" s="3">
        <f t="shared" si="12"/>
        <v>146</v>
      </c>
      <c r="J80" s="3">
        <f t="shared" si="13"/>
        <v>28</v>
      </c>
      <c r="K80" s="5">
        <f t="shared" si="14"/>
        <v>0.19178082191780821</v>
      </c>
      <c r="L80" s="7">
        <f>1</f>
        <v>1</v>
      </c>
      <c r="Y80">
        <v>1</v>
      </c>
    </row>
    <row r="81" spans="1:32" ht="18" customHeight="1" x14ac:dyDescent="0.25">
      <c r="A81">
        <v>1336130174</v>
      </c>
      <c r="B81" t="s">
        <v>416</v>
      </c>
      <c r="C81" t="s">
        <v>7</v>
      </c>
      <c r="D81" s="1">
        <v>46126.796384907408</v>
      </c>
      <c r="E81" s="2">
        <f t="shared" ca="1" si="8"/>
        <v>7</v>
      </c>
      <c r="F81" s="2" t="str">
        <f t="shared" ca="1" si="9"/>
        <v>0-14 dias</v>
      </c>
      <c r="G81" s="3">
        <f t="shared" si="10"/>
        <v>4</v>
      </c>
      <c r="H81" s="3">
        <f t="shared" si="11"/>
        <v>2026</v>
      </c>
      <c r="I81" s="3">
        <f t="shared" si="12"/>
        <v>146</v>
      </c>
      <c r="J81" s="3">
        <f t="shared" si="13"/>
        <v>28</v>
      </c>
      <c r="K81" s="5">
        <f t="shared" si="14"/>
        <v>0.19178082191780821</v>
      </c>
      <c r="L81" s="7">
        <f>1</f>
        <v>1</v>
      </c>
      <c r="N81">
        <v>2</v>
      </c>
      <c r="Y81">
        <v>2</v>
      </c>
    </row>
    <row r="82" spans="1:32" ht="18" customHeight="1" x14ac:dyDescent="0.25">
      <c r="A82">
        <v>1335441948</v>
      </c>
      <c r="B82" t="s">
        <v>417</v>
      </c>
      <c r="C82" t="s">
        <v>5</v>
      </c>
      <c r="D82" s="1">
        <v>46125.901804756941</v>
      </c>
      <c r="E82" s="2">
        <f t="shared" ca="1" si="8"/>
        <v>8</v>
      </c>
      <c r="F82" s="2" t="str">
        <f t="shared" ca="1" si="9"/>
        <v>0-14 dias</v>
      </c>
      <c r="G82" s="3">
        <f t="shared" si="10"/>
        <v>4</v>
      </c>
      <c r="H82" s="3">
        <f t="shared" si="11"/>
        <v>2026</v>
      </c>
      <c r="I82" s="3">
        <f t="shared" si="12"/>
        <v>146</v>
      </c>
      <c r="J82" s="3">
        <f t="shared" si="13"/>
        <v>28</v>
      </c>
      <c r="K82" s="5">
        <f t="shared" si="14"/>
        <v>0.19178082191780821</v>
      </c>
      <c r="L82" s="7">
        <f>1</f>
        <v>1</v>
      </c>
      <c r="P82">
        <v>1</v>
      </c>
      <c r="AE82">
        <v>1</v>
      </c>
      <c r="AF82" s="1">
        <v>46126.6171684375</v>
      </c>
    </row>
    <row r="83" spans="1:32" ht="18" customHeight="1" x14ac:dyDescent="0.25">
      <c r="A83">
        <v>1329552525</v>
      </c>
      <c r="B83" t="s">
        <v>321</v>
      </c>
      <c r="C83" t="s">
        <v>18</v>
      </c>
      <c r="D83" s="1">
        <v>46114.797380416669</v>
      </c>
      <c r="E83" s="2">
        <f t="shared" ca="1" si="8"/>
        <v>19</v>
      </c>
      <c r="F83" s="2" t="str">
        <f t="shared" ca="1" si="9"/>
        <v>15-19 dias</v>
      </c>
      <c r="G83" s="3">
        <f t="shared" si="10"/>
        <v>4</v>
      </c>
      <c r="H83" s="3">
        <f t="shared" si="11"/>
        <v>2026</v>
      </c>
      <c r="I83" s="3">
        <f t="shared" si="12"/>
        <v>146</v>
      </c>
      <c r="J83" s="3">
        <f t="shared" si="13"/>
        <v>28</v>
      </c>
      <c r="K83" s="5">
        <f t="shared" si="14"/>
        <v>0.19178082191780821</v>
      </c>
      <c r="L83" s="7">
        <f>1</f>
        <v>1</v>
      </c>
      <c r="N83">
        <v>1</v>
      </c>
      <c r="P83">
        <v>1</v>
      </c>
    </row>
    <row r="84" spans="1:32" ht="18" customHeight="1" x14ac:dyDescent="0.25">
      <c r="A84">
        <v>1338301147</v>
      </c>
      <c r="B84" t="s">
        <v>418</v>
      </c>
      <c r="C84" t="s">
        <v>7</v>
      </c>
      <c r="D84" s="1">
        <v>46129.921284247677</v>
      </c>
      <c r="E84" s="2">
        <f t="shared" ca="1" si="8"/>
        <v>4</v>
      </c>
      <c r="F84" s="2" t="str">
        <f t="shared" ca="1" si="9"/>
        <v>0-14 dias</v>
      </c>
      <c r="G84" s="3">
        <f t="shared" si="10"/>
        <v>4</v>
      </c>
      <c r="H84" s="3">
        <f t="shared" si="11"/>
        <v>2026</v>
      </c>
      <c r="I84" s="3">
        <f t="shared" si="12"/>
        <v>146</v>
      </c>
      <c r="J84" s="3">
        <f t="shared" si="13"/>
        <v>28</v>
      </c>
      <c r="K84" s="5">
        <f t="shared" si="14"/>
        <v>0.19178082191780821</v>
      </c>
      <c r="L84" s="7">
        <f>1</f>
        <v>1</v>
      </c>
      <c r="Y84">
        <v>2</v>
      </c>
    </row>
    <row r="85" spans="1:32" ht="18" customHeight="1" x14ac:dyDescent="0.25">
      <c r="A85">
        <v>1304256732</v>
      </c>
      <c r="B85" t="s">
        <v>44</v>
      </c>
      <c r="C85" t="s">
        <v>5</v>
      </c>
      <c r="D85" s="1">
        <v>46078.919409085647</v>
      </c>
      <c r="E85" s="2">
        <f t="shared" ca="1" si="8"/>
        <v>55</v>
      </c>
      <c r="F85" s="2" t="str">
        <f t="shared" ca="1" si="9"/>
        <v>31-60 dias</v>
      </c>
      <c r="G85" s="3">
        <f t="shared" si="10"/>
        <v>2</v>
      </c>
      <c r="H85" s="3">
        <f t="shared" si="11"/>
        <v>2026</v>
      </c>
      <c r="I85" s="3">
        <f t="shared" si="12"/>
        <v>17</v>
      </c>
      <c r="J85" s="3">
        <f t="shared" si="13"/>
        <v>11</v>
      </c>
      <c r="K85" s="5">
        <f t="shared" si="14"/>
        <v>0.6470588235294118</v>
      </c>
      <c r="L85" s="7">
        <f>1</f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AF85" s="1">
        <v>46100.815020497677</v>
      </c>
    </row>
    <row r="86" spans="1:32" ht="18" customHeight="1" x14ac:dyDescent="0.25">
      <c r="A86">
        <v>1337451252</v>
      </c>
      <c r="B86" t="s">
        <v>419</v>
      </c>
      <c r="C86" t="s">
        <v>7</v>
      </c>
      <c r="D86" s="1">
        <v>46128.797878622681</v>
      </c>
      <c r="E86" s="2">
        <f t="shared" ca="1" si="8"/>
        <v>5</v>
      </c>
      <c r="F86" s="2" t="str">
        <f t="shared" ca="1" si="9"/>
        <v>0-14 dias</v>
      </c>
      <c r="G86" s="3">
        <f t="shared" si="10"/>
        <v>4</v>
      </c>
      <c r="H86" s="3">
        <f t="shared" si="11"/>
        <v>2026</v>
      </c>
      <c r="I86" s="3">
        <f t="shared" si="12"/>
        <v>146</v>
      </c>
      <c r="J86" s="3">
        <f t="shared" si="13"/>
        <v>28</v>
      </c>
      <c r="K86" s="5">
        <f t="shared" si="14"/>
        <v>0.19178082191780821</v>
      </c>
      <c r="L86" s="7">
        <f>1</f>
        <v>1</v>
      </c>
      <c r="T86">
        <v>1</v>
      </c>
      <c r="Y86">
        <v>1</v>
      </c>
    </row>
    <row r="87" spans="1:32" ht="18" customHeight="1" x14ac:dyDescent="0.25">
      <c r="A87">
        <v>1318537706</v>
      </c>
      <c r="B87" t="s">
        <v>45</v>
      </c>
      <c r="C87" t="s">
        <v>5</v>
      </c>
      <c r="D87" s="1">
        <v>46097.794794687499</v>
      </c>
      <c r="E87" s="2">
        <f t="shared" ca="1" si="8"/>
        <v>36</v>
      </c>
      <c r="F87" s="2" t="str">
        <f t="shared" ca="1" si="9"/>
        <v>31-60 dias</v>
      </c>
      <c r="G87" s="3">
        <f t="shared" si="10"/>
        <v>3</v>
      </c>
      <c r="H87" s="3">
        <f t="shared" si="11"/>
        <v>2026</v>
      </c>
      <c r="I87" s="3">
        <f t="shared" si="12"/>
        <v>284</v>
      </c>
      <c r="J87" s="3">
        <f t="shared" si="13"/>
        <v>194</v>
      </c>
      <c r="K87" s="5">
        <f t="shared" si="14"/>
        <v>0.68309859154929575</v>
      </c>
      <c r="L87" s="7">
        <f>1</f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C87">
        <v>1</v>
      </c>
      <c r="AF87" s="1">
        <v>46126.520934768523</v>
      </c>
    </row>
    <row r="88" spans="1:32" ht="18" customHeight="1" x14ac:dyDescent="0.25">
      <c r="A88">
        <v>1307302033</v>
      </c>
      <c r="B88" t="s">
        <v>46</v>
      </c>
      <c r="C88" t="s">
        <v>5</v>
      </c>
      <c r="D88" s="1">
        <v>46083.795330081019</v>
      </c>
      <c r="E88" s="2">
        <f t="shared" ca="1" si="8"/>
        <v>50</v>
      </c>
      <c r="F88" s="2" t="str">
        <f t="shared" ca="1" si="9"/>
        <v>31-60 dias</v>
      </c>
      <c r="G88" s="3">
        <f t="shared" si="10"/>
        <v>3</v>
      </c>
      <c r="H88" s="3">
        <f t="shared" si="11"/>
        <v>2026</v>
      </c>
      <c r="I88" s="3">
        <f t="shared" si="12"/>
        <v>284</v>
      </c>
      <c r="J88" s="3">
        <f t="shared" si="13"/>
        <v>194</v>
      </c>
      <c r="K88" s="5">
        <f t="shared" si="14"/>
        <v>0.68309859154929575</v>
      </c>
      <c r="L88" s="7">
        <f>1</f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AC88">
        <v>1</v>
      </c>
      <c r="AF88" s="1">
        <v>46098.557095081022</v>
      </c>
    </row>
    <row r="89" spans="1:32" ht="18" customHeight="1" x14ac:dyDescent="0.25">
      <c r="A89">
        <v>1319999311</v>
      </c>
      <c r="B89" t="s">
        <v>47</v>
      </c>
      <c r="C89" t="s">
        <v>5</v>
      </c>
      <c r="D89" s="1">
        <v>46099.795434745363</v>
      </c>
      <c r="E89" s="2">
        <f t="shared" ca="1" si="8"/>
        <v>34</v>
      </c>
      <c r="F89" s="2" t="str">
        <f t="shared" ca="1" si="9"/>
        <v>31-60 dias</v>
      </c>
      <c r="G89" s="3">
        <f t="shared" si="10"/>
        <v>3</v>
      </c>
      <c r="H89" s="3">
        <f t="shared" si="11"/>
        <v>2026</v>
      </c>
      <c r="I89" s="3">
        <f t="shared" si="12"/>
        <v>284</v>
      </c>
      <c r="J89" s="3">
        <f t="shared" si="13"/>
        <v>194</v>
      </c>
      <c r="K89" s="5">
        <f t="shared" si="14"/>
        <v>0.68309859154929575</v>
      </c>
      <c r="L89" s="7">
        <f>1</f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 t="s">
        <v>311</v>
      </c>
      <c r="AA89">
        <v>1</v>
      </c>
      <c r="AE89">
        <v>1</v>
      </c>
      <c r="AF89" s="1">
        <v>46107.755527256937</v>
      </c>
    </row>
    <row r="90" spans="1:32" ht="18" customHeight="1" x14ac:dyDescent="0.25">
      <c r="A90">
        <v>1318141732</v>
      </c>
      <c r="B90" t="s">
        <v>48</v>
      </c>
      <c r="C90" t="s">
        <v>5</v>
      </c>
      <c r="D90" s="1">
        <v>46097.547282731481</v>
      </c>
      <c r="E90" s="2">
        <f t="shared" ca="1" si="8"/>
        <v>36</v>
      </c>
      <c r="F90" s="2" t="str">
        <f t="shared" ca="1" si="9"/>
        <v>31-60 dias</v>
      </c>
      <c r="G90" s="3">
        <f t="shared" si="10"/>
        <v>3</v>
      </c>
      <c r="H90" s="3">
        <f t="shared" si="11"/>
        <v>2026</v>
      </c>
      <c r="I90" s="3">
        <f t="shared" si="12"/>
        <v>284</v>
      </c>
      <c r="J90" s="3">
        <f t="shared" si="13"/>
        <v>194</v>
      </c>
      <c r="K90" s="5">
        <f t="shared" si="14"/>
        <v>0.68309859154929575</v>
      </c>
      <c r="L90" s="7">
        <f>1</f>
        <v>1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AE90">
        <v>1</v>
      </c>
      <c r="AF90" s="1">
        <v>46105.775280555557</v>
      </c>
    </row>
    <row r="91" spans="1:32" ht="18" customHeight="1" x14ac:dyDescent="0.25">
      <c r="A91">
        <v>1335441063</v>
      </c>
      <c r="B91" t="s">
        <v>420</v>
      </c>
      <c r="C91" t="s">
        <v>11</v>
      </c>
      <c r="D91" s="1">
        <v>46125.900204212972</v>
      </c>
      <c r="E91" s="2">
        <f t="shared" ca="1" si="8"/>
        <v>8</v>
      </c>
      <c r="F91" s="2" t="str">
        <f t="shared" ca="1" si="9"/>
        <v>0-14 dias</v>
      </c>
      <c r="G91" s="3">
        <f t="shared" si="10"/>
        <v>4</v>
      </c>
      <c r="H91" s="3">
        <f t="shared" si="11"/>
        <v>2026</v>
      </c>
      <c r="I91" s="3">
        <f t="shared" si="12"/>
        <v>146</v>
      </c>
      <c r="J91" s="3">
        <f t="shared" si="13"/>
        <v>28</v>
      </c>
      <c r="K91" s="5">
        <f t="shared" si="14"/>
        <v>0.19178082191780821</v>
      </c>
      <c r="L91" s="7">
        <f>1</f>
        <v>1</v>
      </c>
      <c r="N91">
        <v>6</v>
      </c>
      <c r="Y91">
        <v>6</v>
      </c>
    </row>
    <row r="92" spans="1:32" ht="18" customHeight="1" x14ac:dyDescent="0.25">
      <c r="A92">
        <v>1336653817</v>
      </c>
      <c r="B92" t="s">
        <v>420</v>
      </c>
      <c r="C92" t="s">
        <v>7</v>
      </c>
      <c r="D92" s="1">
        <v>46127.621769953708</v>
      </c>
      <c r="E92" s="2">
        <f t="shared" ca="1" si="8"/>
        <v>6</v>
      </c>
      <c r="F92" s="2" t="str">
        <f t="shared" ca="1" si="9"/>
        <v>0-14 dias</v>
      </c>
      <c r="G92" s="3">
        <f t="shared" si="10"/>
        <v>4</v>
      </c>
      <c r="H92" s="3">
        <f t="shared" si="11"/>
        <v>2026</v>
      </c>
      <c r="I92" s="3">
        <f t="shared" si="12"/>
        <v>146</v>
      </c>
      <c r="J92" s="3">
        <f t="shared" si="13"/>
        <v>28</v>
      </c>
      <c r="K92" s="5">
        <f t="shared" si="14"/>
        <v>0.19178082191780821</v>
      </c>
      <c r="L92" s="7">
        <f>1</f>
        <v>1</v>
      </c>
      <c r="N92">
        <v>1</v>
      </c>
      <c r="Y92">
        <v>1</v>
      </c>
    </row>
    <row r="93" spans="1:32" ht="18" customHeight="1" x14ac:dyDescent="0.25">
      <c r="A93">
        <v>1333244870</v>
      </c>
      <c r="B93" t="s">
        <v>355</v>
      </c>
      <c r="C93" t="s">
        <v>7</v>
      </c>
      <c r="D93" s="1">
        <v>46121.629842060182</v>
      </c>
      <c r="E93" s="2">
        <f t="shared" ca="1" si="8"/>
        <v>12</v>
      </c>
      <c r="F93" s="2" t="str">
        <f t="shared" ca="1" si="9"/>
        <v>0-14 dias</v>
      </c>
      <c r="G93" s="3">
        <f t="shared" si="10"/>
        <v>4</v>
      </c>
      <c r="H93" s="3">
        <f t="shared" si="11"/>
        <v>2026</v>
      </c>
      <c r="I93" s="3">
        <f t="shared" si="12"/>
        <v>146</v>
      </c>
      <c r="J93" s="3">
        <f t="shared" si="13"/>
        <v>28</v>
      </c>
      <c r="K93" s="5">
        <f t="shared" si="14"/>
        <v>0.19178082191780821</v>
      </c>
      <c r="L93" s="7">
        <f>1</f>
        <v>1</v>
      </c>
      <c r="N93">
        <v>1</v>
      </c>
    </row>
    <row r="94" spans="1:32" ht="18" customHeight="1" x14ac:dyDescent="0.25">
      <c r="A94">
        <v>1329780889</v>
      </c>
      <c r="B94" t="s">
        <v>322</v>
      </c>
      <c r="C94" t="s">
        <v>5</v>
      </c>
      <c r="D94" s="1">
        <v>46114.921368356481</v>
      </c>
      <c r="E94" s="2">
        <f t="shared" ca="1" si="8"/>
        <v>19</v>
      </c>
      <c r="F94" s="2" t="str">
        <f t="shared" ca="1" si="9"/>
        <v>15-19 dias</v>
      </c>
      <c r="G94" s="3">
        <f t="shared" si="10"/>
        <v>4</v>
      </c>
      <c r="H94" s="3">
        <f t="shared" si="11"/>
        <v>2026</v>
      </c>
      <c r="I94" s="3">
        <f t="shared" si="12"/>
        <v>146</v>
      </c>
      <c r="J94" s="3">
        <f t="shared" si="13"/>
        <v>28</v>
      </c>
      <c r="K94" s="5">
        <f t="shared" si="14"/>
        <v>0.19178082191780821</v>
      </c>
      <c r="L94" s="7">
        <f>1</f>
        <v>1</v>
      </c>
      <c r="Q94">
        <v>1</v>
      </c>
      <c r="AF94" s="1">
        <v>46129.548430057868</v>
      </c>
    </row>
    <row r="95" spans="1:32" ht="18" customHeight="1" x14ac:dyDescent="0.25">
      <c r="A95">
        <v>1310029271</v>
      </c>
      <c r="B95" t="s">
        <v>49</v>
      </c>
      <c r="C95" t="s">
        <v>5</v>
      </c>
      <c r="D95" s="1">
        <v>46086.796168877321</v>
      </c>
      <c r="E95" s="2">
        <f t="shared" ca="1" si="8"/>
        <v>47</v>
      </c>
      <c r="F95" s="2" t="str">
        <f t="shared" ca="1" si="9"/>
        <v>31-60 dias</v>
      </c>
      <c r="G95" s="3">
        <f t="shared" si="10"/>
        <v>3</v>
      </c>
      <c r="H95" s="3">
        <f t="shared" si="11"/>
        <v>2026</v>
      </c>
      <c r="I95" s="3">
        <f t="shared" si="12"/>
        <v>284</v>
      </c>
      <c r="J95" s="3">
        <f t="shared" si="13"/>
        <v>194</v>
      </c>
      <c r="K95" s="5">
        <f t="shared" si="14"/>
        <v>0.68309859154929575</v>
      </c>
      <c r="L95" s="7">
        <f>1</f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AC95">
        <v>1</v>
      </c>
      <c r="AF95" s="1">
        <v>46098.56237190972</v>
      </c>
    </row>
    <row r="96" spans="1:32" ht="18" customHeight="1" x14ac:dyDescent="0.25">
      <c r="A96">
        <v>1329781005</v>
      </c>
      <c r="B96" t="s">
        <v>323</v>
      </c>
      <c r="C96" t="s">
        <v>5</v>
      </c>
      <c r="D96" s="1">
        <v>46114.92143072917</v>
      </c>
      <c r="E96" s="2">
        <f t="shared" ca="1" si="8"/>
        <v>19</v>
      </c>
      <c r="F96" s="2" t="str">
        <f t="shared" ca="1" si="9"/>
        <v>15-19 dias</v>
      </c>
      <c r="G96" s="3">
        <f t="shared" si="10"/>
        <v>4</v>
      </c>
      <c r="H96" s="3">
        <f t="shared" si="11"/>
        <v>2026</v>
      </c>
      <c r="I96" s="3">
        <f t="shared" si="12"/>
        <v>146</v>
      </c>
      <c r="J96" s="3">
        <f t="shared" si="13"/>
        <v>28</v>
      </c>
      <c r="K96" s="5">
        <f t="shared" si="14"/>
        <v>0.19178082191780821</v>
      </c>
      <c r="L96" s="7">
        <f>1</f>
        <v>1</v>
      </c>
      <c r="Y96">
        <v>1</v>
      </c>
      <c r="Z96" t="s">
        <v>312</v>
      </c>
      <c r="AA96">
        <v>1</v>
      </c>
      <c r="AE96">
        <v>1</v>
      </c>
      <c r="AF96" s="1">
        <v>46127.514369062497</v>
      </c>
    </row>
    <row r="97" spans="1:32" ht="18" customHeight="1" x14ac:dyDescent="0.25">
      <c r="A97">
        <v>1326993236</v>
      </c>
      <c r="B97" t="s">
        <v>50</v>
      </c>
      <c r="C97" t="s">
        <v>5</v>
      </c>
      <c r="D97" s="1">
        <v>46111.546109710653</v>
      </c>
      <c r="E97" s="2">
        <f t="shared" ca="1" si="8"/>
        <v>22</v>
      </c>
      <c r="F97" s="2" t="str">
        <f t="shared" ca="1" si="9"/>
        <v>20-24 dias</v>
      </c>
      <c r="G97" s="3">
        <f t="shared" si="10"/>
        <v>3</v>
      </c>
      <c r="H97" s="3">
        <f t="shared" si="11"/>
        <v>2026</v>
      </c>
      <c r="I97" s="3">
        <f t="shared" si="12"/>
        <v>284</v>
      </c>
      <c r="J97" s="3">
        <f t="shared" si="13"/>
        <v>194</v>
      </c>
      <c r="K97" s="5">
        <f t="shared" si="14"/>
        <v>0.68309859154929575</v>
      </c>
      <c r="L97" s="7">
        <f>1</f>
        <v>1</v>
      </c>
      <c r="Y97">
        <v>1</v>
      </c>
      <c r="AE97">
        <v>1</v>
      </c>
      <c r="AF97" s="1">
        <v>46126.83319399305</v>
      </c>
    </row>
    <row r="98" spans="1:32" ht="18" customHeight="1" x14ac:dyDescent="0.25">
      <c r="A98">
        <v>1328010026</v>
      </c>
      <c r="B98" t="s">
        <v>50</v>
      </c>
      <c r="C98" t="s">
        <v>5</v>
      </c>
      <c r="D98" s="1">
        <v>46112.795065844897</v>
      </c>
      <c r="E98" s="2">
        <f t="shared" ca="1" si="8"/>
        <v>21</v>
      </c>
      <c r="F98" s="2" t="str">
        <f t="shared" ca="1" si="9"/>
        <v>20-24 dias</v>
      </c>
      <c r="G98" s="3">
        <f t="shared" si="10"/>
        <v>3</v>
      </c>
      <c r="H98" s="3">
        <f t="shared" si="11"/>
        <v>2026</v>
      </c>
      <c r="I98" s="3">
        <f t="shared" si="12"/>
        <v>284</v>
      </c>
      <c r="J98" s="3">
        <f t="shared" si="13"/>
        <v>194</v>
      </c>
      <c r="K98" s="5">
        <f t="shared" si="14"/>
        <v>0.68309859154929575</v>
      </c>
      <c r="L98" s="7">
        <f>1</f>
        <v>1</v>
      </c>
      <c r="N98">
        <v>1</v>
      </c>
      <c r="AC98">
        <v>1</v>
      </c>
      <c r="AF98" s="1">
        <v>46126.530656828712</v>
      </c>
    </row>
    <row r="99" spans="1:32" ht="18" customHeight="1" x14ac:dyDescent="0.25">
      <c r="A99">
        <v>1313292410</v>
      </c>
      <c r="B99" t="s">
        <v>50</v>
      </c>
      <c r="C99" t="s">
        <v>5</v>
      </c>
      <c r="D99" s="1">
        <v>46090.919631018522</v>
      </c>
      <c r="E99" s="2">
        <f t="shared" ca="1" si="8"/>
        <v>43</v>
      </c>
      <c r="F99" s="2" t="str">
        <f t="shared" ca="1" si="9"/>
        <v>31-60 dias</v>
      </c>
      <c r="G99" s="3">
        <f t="shared" si="10"/>
        <v>3</v>
      </c>
      <c r="H99" s="3">
        <f t="shared" si="11"/>
        <v>2026</v>
      </c>
      <c r="I99" s="3">
        <f t="shared" si="12"/>
        <v>284</v>
      </c>
      <c r="J99" s="3">
        <f t="shared" si="13"/>
        <v>194</v>
      </c>
      <c r="K99" s="5">
        <f t="shared" si="14"/>
        <v>0.68309859154929575</v>
      </c>
      <c r="L99" s="7">
        <f>1</f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AC99">
        <v>1</v>
      </c>
      <c r="AF99" s="1">
        <v>46101.640753807871</v>
      </c>
    </row>
    <row r="100" spans="1:32" ht="18" customHeight="1" x14ac:dyDescent="0.25">
      <c r="A100">
        <v>1315002768</v>
      </c>
      <c r="B100" t="s">
        <v>51</v>
      </c>
      <c r="C100" t="s">
        <v>5</v>
      </c>
      <c r="D100" s="1">
        <v>46092.920354398142</v>
      </c>
      <c r="E100" s="2">
        <f t="shared" ca="1" si="8"/>
        <v>41</v>
      </c>
      <c r="F100" s="2" t="str">
        <f t="shared" ca="1" si="9"/>
        <v>31-60 dias</v>
      </c>
      <c r="G100" s="3">
        <f t="shared" si="10"/>
        <v>3</v>
      </c>
      <c r="H100" s="3">
        <f t="shared" si="11"/>
        <v>2026</v>
      </c>
      <c r="I100" s="3">
        <f t="shared" si="12"/>
        <v>284</v>
      </c>
      <c r="J100" s="3">
        <f t="shared" si="13"/>
        <v>194</v>
      </c>
      <c r="K100" s="5">
        <f t="shared" si="14"/>
        <v>0.68309859154929575</v>
      </c>
      <c r="L100" s="7">
        <f>1</f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 t="s">
        <v>312</v>
      </c>
      <c r="AA100">
        <v>1</v>
      </c>
      <c r="AE100">
        <v>1</v>
      </c>
      <c r="AF100" s="1">
        <v>46127.562785543982</v>
      </c>
    </row>
    <row r="101" spans="1:32" ht="18" customHeight="1" x14ac:dyDescent="0.25">
      <c r="A101">
        <v>1319410984</v>
      </c>
      <c r="B101" t="s">
        <v>51</v>
      </c>
      <c r="C101" t="s">
        <v>5</v>
      </c>
      <c r="D101" s="1">
        <v>46098.9206490625</v>
      </c>
      <c r="E101" s="2">
        <f t="shared" ca="1" si="8"/>
        <v>35</v>
      </c>
      <c r="F101" s="2" t="str">
        <f t="shared" ca="1" si="9"/>
        <v>31-60 dias</v>
      </c>
      <c r="G101" s="3">
        <f t="shared" si="10"/>
        <v>3</v>
      </c>
      <c r="H101" s="3">
        <f t="shared" si="11"/>
        <v>2026</v>
      </c>
      <c r="I101" s="3">
        <f t="shared" si="12"/>
        <v>284</v>
      </c>
      <c r="J101" s="3">
        <f t="shared" si="13"/>
        <v>194</v>
      </c>
      <c r="K101" s="5">
        <f t="shared" si="14"/>
        <v>0.68309859154929575</v>
      </c>
      <c r="L101" s="7">
        <f>1</f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AE101">
        <v>1</v>
      </c>
      <c r="AF101" s="1">
        <v>46127.564840613428</v>
      </c>
    </row>
    <row r="102" spans="1:32" ht="18" customHeight="1" x14ac:dyDescent="0.25">
      <c r="A102">
        <v>1310165643</v>
      </c>
      <c r="B102" t="s">
        <v>52</v>
      </c>
      <c r="C102" t="s">
        <v>5</v>
      </c>
      <c r="D102" s="1">
        <v>46086.920470856479</v>
      </c>
      <c r="E102" s="2">
        <f t="shared" ca="1" si="8"/>
        <v>47</v>
      </c>
      <c r="F102" s="2" t="str">
        <f t="shared" ca="1" si="9"/>
        <v>31-60 dias</v>
      </c>
      <c r="G102" s="3">
        <f t="shared" si="10"/>
        <v>3</v>
      </c>
      <c r="H102" s="3">
        <f t="shared" si="11"/>
        <v>2026</v>
      </c>
      <c r="I102" s="3">
        <f t="shared" si="12"/>
        <v>284</v>
      </c>
      <c r="J102" s="3">
        <f t="shared" si="13"/>
        <v>194</v>
      </c>
      <c r="K102" s="5">
        <f t="shared" si="14"/>
        <v>0.68309859154929575</v>
      </c>
      <c r="L102" s="7">
        <f>1</f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AF102" s="1">
        <v>46129.670046990737</v>
      </c>
    </row>
    <row r="103" spans="1:32" ht="18" customHeight="1" x14ac:dyDescent="0.25">
      <c r="A103">
        <v>1308389620</v>
      </c>
      <c r="B103" t="s">
        <v>53</v>
      </c>
      <c r="C103" t="s">
        <v>5</v>
      </c>
      <c r="D103" s="1">
        <v>46084.794266331017</v>
      </c>
      <c r="E103" s="2">
        <f t="shared" ca="1" si="8"/>
        <v>49</v>
      </c>
      <c r="F103" s="2" t="str">
        <f t="shared" ca="1" si="9"/>
        <v>31-60 dias</v>
      </c>
      <c r="G103" s="3">
        <f t="shared" si="10"/>
        <v>3</v>
      </c>
      <c r="H103" s="3">
        <f t="shared" si="11"/>
        <v>2026</v>
      </c>
      <c r="I103" s="3">
        <f t="shared" si="12"/>
        <v>284</v>
      </c>
      <c r="J103" s="3">
        <f t="shared" si="13"/>
        <v>194</v>
      </c>
      <c r="K103" s="5">
        <f t="shared" si="14"/>
        <v>0.68309859154929575</v>
      </c>
      <c r="L103" s="7">
        <f>1</f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AF103" s="1">
        <v>46098.554309918982</v>
      </c>
    </row>
    <row r="104" spans="1:32" ht="18" customHeight="1" x14ac:dyDescent="0.25">
      <c r="A104">
        <v>1335309639</v>
      </c>
      <c r="B104" t="s">
        <v>421</v>
      </c>
      <c r="C104" t="s">
        <v>7</v>
      </c>
      <c r="D104" s="1">
        <v>46125.797097002323</v>
      </c>
      <c r="E104" s="2">
        <f t="shared" ca="1" si="8"/>
        <v>8</v>
      </c>
      <c r="F104" s="2" t="str">
        <f t="shared" ca="1" si="9"/>
        <v>0-14 dias</v>
      </c>
      <c r="G104" s="3">
        <f t="shared" si="10"/>
        <v>4</v>
      </c>
      <c r="H104" s="3">
        <f t="shared" si="11"/>
        <v>2026</v>
      </c>
      <c r="I104" s="3">
        <f t="shared" si="12"/>
        <v>146</v>
      </c>
      <c r="J104" s="3">
        <f t="shared" si="13"/>
        <v>28</v>
      </c>
      <c r="K104" s="5">
        <f t="shared" si="14"/>
        <v>0.19178082191780821</v>
      </c>
      <c r="L104" s="7">
        <f>1</f>
        <v>1</v>
      </c>
    </row>
    <row r="105" spans="1:32" ht="18" customHeight="1" x14ac:dyDescent="0.25">
      <c r="A105">
        <v>1315965323</v>
      </c>
      <c r="B105" t="s">
        <v>324</v>
      </c>
      <c r="C105" t="s">
        <v>242</v>
      </c>
      <c r="D105" s="1">
        <v>46093.796620127323</v>
      </c>
      <c r="E105" s="2">
        <f t="shared" ca="1" si="8"/>
        <v>40</v>
      </c>
      <c r="F105" s="2" t="str">
        <f t="shared" ca="1" si="9"/>
        <v>31-60 dias</v>
      </c>
      <c r="G105" s="3">
        <f t="shared" si="10"/>
        <v>3</v>
      </c>
      <c r="H105" s="3">
        <f t="shared" si="11"/>
        <v>2026</v>
      </c>
      <c r="I105" s="3">
        <f t="shared" si="12"/>
        <v>284</v>
      </c>
      <c r="J105" s="3">
        <f t="shared" si="13"/>
        <v>194</v>
      </c>
      <c r="K105" s="5">
        <f t="shared" si="14"/>
        <v>0.68309859154929575</v>
      </c>
      <c r="L105" s="7">
        <f>1</f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AE105">
        <v>1</v>
      </c>
    </row>
    <row r="106" spans="1:32" ht="18" customHeight="1" x14ac:dyDescent="0.25">
      <c r="A106">
        <v>1305500137</v>
      </c>
      <c r="B106" t="s">
        <v>54</v>
      </c>
      <c r="C106" t="s">
        <v>5</v>
      </c>
      <c r="D106" s="1">
        <v>46080.795221342589</v>
      </c>
      <c r="E106" s="2">
        <f t="shared" ca="1" si="8"/>
        <v>53</v>
      </c>
      <c r="F106" s="2" t="str">
        <f t="shared" ca="1" si="9"/>
        <v>31-60 dias</v>
      </c>
      <c r="G106" s="3">
        <f t="shared" si="10"/>
        <v>2</v>
      </c>
      <c r="H106" s="3">
        <f t="shared" si="11"/>
        <v>2026</v>
      </c>
      <c r="I106" s="3">
        <f t="shared" si="12"/>
        <v>17</v>
      </c>
      <c r="J106" s="3">
        <f t="shared" si="13"/>
        <v>11</v>
      </c>
      <c r="K106" s="5">
        <f t="shared" si="14"/>
        <v>0.6470588235294118</v>
      </c>
      <c r="L106" s="7">
        <f>1</f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B106">
        <v>1</v>
      </c>
      <c r="AF106" s="1">
        <v>46105.72749853009</v>
      </c>
    </row>
    <row r="107" spans="1:32" ht="18" customHeight="1" x14ac:dyDescent="0.25">
      <c r="A107">
        <v>1332841649</v>
      </c>
      <c r="B107" t="s">
        <v>356</v>
      </c>
      <c r="C107" t="s">
        <v>7</v>
      </c>
      <c r="D107" s="1">
        <v>46120.795081296303</v>
      </c>
      <c r="E107" s="2">
        <f t="shared" ca="1" si="8"/>
        <v>13</v>
      </c>
      <c r="F107" s="2" t="str">
        <f t="shared" ca="1" si="9"/>
        <v>0-14 dias</v>
      </c>
      <c r="G107" s="3">
        <f t="shared" si="10"/>
        <v>4</v>
      </c>
      <c r="H107" s="3">
        <f t="shared" si="11"/>
        <v>2026</v>
      </c>
      <c r="I107" s="3">
        <f t="shared" si="12"/>
        <v>146</v>
      </c>
      <c r="J107" s="3">
        <f t="shared" si="13"/>
        <v>28</v>
      </c>
      <c r="K107" s="5">
        <f t="shared" si="14"/>
        <v>0.19178082191780821</v>
      </c>
      <c r="L107" s="7">
        <f>1</f>
        <v>1</v>
      </c>
      <c r="Y107">
        <v>4</v>
      </c>
    </row>
    <row r="108" spans="1:32" ht="18" customHeight="1" x14ac:dyDescent="0.25">
      <c r="A108">
        <v>1313798748</v>
      </c>
      <c r="B108" t="s">
        <v>55</v>
      </c>
      <c r="C108" t="s">
        <v>21</v>
      </c>
      <c r="D108" s="1">
        <v>46091.627521539347</v>
      </c>
      <c r="E108" s="2">
        <f t="shared" ca="1" si="8"/>
        <v>42</v>
      </c>
      <c r="F108" s="2" t="str">
        <f t="shared" ca="1" si="9"/>
        <v>31-60 dias</v>
      </c>
      <c r="G108" s="3">
        <f t="shared" si="10"/>
        <v>3</v>
      </c>
      <c r="H108" s="3">
        <f t="shared" si="11"/>
        <v>2026</v>
      </c>
      <c r="I108" s="3">
        <f t="shared" si="12"/>
        <v>284</v>
      </c>
      <c r="J108" s="3">
        <f t="shared" si="13"/>
        <v>194</v>
      </c>
      <c r="K108" s="5">
        <f t="shared" si="14"/>
        <v>0.68309859154929575</v>
      </c>
      <c r="L108" s="7">
        <f>1</f>
        <v>1</v>
      </c>
      <c r="M108">
        <v>0</v>
      </c>
      <c r="N108">
        <v>19</v>
      </c>
      <c r="O108">
        <v>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32" ht="18" customHeight="1" x14ac:dyDescent="0.25">
      <c r="A109">
        <v>1318539308</v>
      </c>
      <c r="B109" t="s">
        <v>56</v>
      </c>
      <c r="C109" t="s">
        <v>5</v>
      </c>
      <c r="D109" s="1">
        <v>46097.795858020843</v>
      </c>
      <c r="E109" s="2">
        <f t="shared" ca="1" si="8"/>
        <v>36</v>
      </c>
      <c r="F109" s="2" t="str">
        <f t="shared" ca="1" si="9"/>
        <v>31-60 dias</v>
      </c>
      <c r="G109" s="3">
        <f t="shared" si="10"/>
        <v>3</v>
      </c>
      <c r="H109" s="3">
        <f t="shared" si="11"/>
        <v>2026</v>
      </c>
      <c r="I109" s="3">
        <f t="shared" si="12"/>
        <v>284</v>
      </c>
      <c r="J109" s="3">
        <f t="shared" si="13"/>
        <v>194</v>
      </c>
      <c r="K109" s="5">
        <f t="shared" si="14"/>
        <v>0.68309859154929575</v>
      </c>
      <c r="L109" s="7">
        <f>1</f>
        <v>1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 t="s">
        <v>311</v>
      </c>
      <c r="AA109">
        <v>2</v>
      </c>
      <c r="AD109">
        <v>2</v>
      </c>
      <c r="AF109" s="1">
        <v>46101.62045509259</v>
      </c>
    </row>
    <row r="110" spans="1:32" ht="18" customHeight="1" x14ac:dyDescent="0.25">
      <c r="A110">
        <v>1327281935</v>
      </c>
      <c r="B110" t="s">
        <v>277</v>
      </c>
      <c r="C110" t="s">
        <v>5</v>
      </c>
      <c r="D110" s="1">
        <v>46111.79525920139</v>
      </c>
      <c r="E110" s="2">
        <f t="shared" ca="1" si="8"/>
        <v>22</v>
      </c>
      <c r="F110" s="2" t="str">
        <f t="shared" ca="1" si="9"/>
        <v>20-24 dias</v>
      </c>
      <c r="G110" s="3">
        <f t="shared" si="10"/>
        <v>3</v>
      </c>
      <c r="H110" s="3">
        <f t="shared" si="11"/>
        <v>2026</v>
      </c>
      <c r="I110" s="3">
        <f t="shared" si="12"/>
        <v>284</v>
      </c>
      <c r="J110" s="3">
        <f t="shared" si="13"/>
        <v>194</v>
      </c>
      <c r="K110" s="5">
        <f t="shared" si="14"/>
        <v>0.68309859154929575</v>
      </c>
      <c r="L110" s="7">
        <f>1</f>
        <v>1</v>
      </c>
      <c r="O110">
        <v>1</v>
      </c>
      <c r="AB110">
        <v>1</v>
      </c>
      <c r="AF110" s="1">
        <v>46126.639695821759</v>
      </c>
    </row>
    <row r="111" spans="1:32" ht="18" customHeight="1" x14ac:dyDescent="0.25">
      <c r="A111">
        <v>1329315737</v>
      </c>
      <c r="B111" t="s">
        <v>325</v>
      </c>
      <c r="C111" t="s">
        <v>18</v>
      </c>
      <c r="D111" s="1">
        <v>46114.630507615737</v>
      </c>
      <c r="E111" s="2">
        <f t="shared" ca="1" si="8"/>
        <v>19</v>
      </c>
      <c r="F111" s="2" t="str">
        <f t="shared" ca="1" si="9"/>
        <v>15-19 dias</v>
      </c>
      <c r="G111" s="3">
        <f t="shared" si="10"/>
        <v>4</v>
      </c>
      <c r="H111" s="3">
        <f t="shared" si="11"/>
        <v>2026</v>
      </c>
      <c r="I111" s="3">
        <f t="shared" si="12"/>
        <v>146</v>
      </c>
      <c r="J111" s="3">
        <f t="shared" si="13"/>
        <v>28</v>
      </c>
      <c r="K111" s="5">
        <f t="shared" si="14"/>
        <v>0.19178082191780821</v>
      </c>
      <c r="L111" s="7">
        <f>1</f>
        <v>1</v>
      </c>
      <c r="Y111">
        <v>1</v>
      </c>
    </row>
    <row r="112" spans="1:32" ht="18" customHeight="1" x14ac:dyDescent="0.25">
      <c r="A112">
        <v>1309288815</v>
      </c>
      <c r="B112" t="s">
        <v>57</v>
      </c>
      <c r="C112" t="s">
        <v>5</v>
      </c>
      <c r="D112" s="1">
        <v>46085.795499143533</v>
      </c>
      <c r="E112" s="2">
        <f t="shared" ca="1" si="8"/>
        <v>48</v>
      </c>
      <c r="F112" s="2" t="str">
        <f t="shared" ca="1" si="9"/>
        <v>31-60 dias</v>
      </c>
      <c r="G112" s="3">
        <f t="shared" si="10"/>
        <v>3</v>
      </c>
      <c r="H112" s="3">
        <f t="shared" si="11"/>
        <v>2026</v>
      </c>
      <c r="I112" s="3">
        <f t="shared" si="12"/>
        <v>284</v>
      </c>
      <c r="J112" s="3">
        <f t="shared" si="13"/>
        <v>194</v>
      </c>
      <c r="K112" s="5">
        <f t="shared" si="14"/>
        <v>0.68309859154929575</v>
      </c>
      <c r="L112" s="7">
        <f>1</f>
        <v>1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AB112">
        <v>1</v>
      </c>
      <c r="AC112">
        <v>1</v>
      </c>
      <c r="AF112" s="1">
        <v>46100.806998784727</v>
      </c>
    </row>
    <row r="113" spans="1:32" ht="18" customHeight="1" x14ac:dyDescent="0.25">
      <c r="A113">
        <v>1333930527</v>
      </c>
      <c r="B113" t="s">
        <v>357</v>
      </c>
      <c r="C113" t="s">
        <v>7</v>
      </c>
      <c r="D113" s="1">
        <v>46122.797556400459</v>
      </c>
      <c r="E113" s="2">
        <f t="shared" ca="1" si="8"/>
        <v>11</v>
      </c>
      <c r="F113" s="2" t="str">
        <f t="shared" ca="1" si="9"/>
        <v>0-14 dias</v>
      </c>
      <c r="G113" s="3">
        <f t="shared" si="10"/>
        <v>4</v>
      </c>
      <c r="H113" s="3">
        <f t="shared" si="11"/>
        <v>2026</v>
      </c>
      <c r="I113" s="3">
        <f t="shared" si="12"/>
        <v>146</v>
      </c>
      <c r="J113" s="3">
        <f t="shared" si="13"/>
        <v>28</v>
      </c>
      <c r="K113" s="5">
        <f t="shared" si="14"/>
        <v>0.19178082191780821</v>
      </c>
      <c r="L113" s="7">
        <f>1</f>
        <v>1</v>
      </c>
      <c r="N113">
        <v>2</v>
      </c>
      <c r="Y113">
        <v>2</v>
      </c>
    </row>
    <row r="114" spans="1:32" ht="18" customHeight="1" x14ac:dyDescent="0.25">
      <c r="A114">
        <v>1323157503</v>
      </c>
      <c r="B114" t="s">
        <v>58</v>
      </c>
      <c r="C114" t="s">
        <v>5</v>
      </c>
      <c r="D114" s="1">
        <v>46105.512631307873</v>
      </c>
      <c r="E114" s="2">
        <f t="shared" ca="1" si="8"/>
        <v>28</v>
      </c>
      <c r="F114" s="2" t="str">
        <f t="shared" ca="1" si="9"/>
        <v>25-30 dias</v>
      </c>
      <c r="G114" s="3">
        <f t="shared" si="10"/>
        <v>3</v>
      </c>
      <c r="H114" s="3">
        <f t="shared" si="11"/>
        <v>2026</v>
      </c>
      <c r="I114" s="3">
        <f t="shared" si="12"/>
        <v>284</v>
      </c>
      <c r="J114" s="3">
        <f t="shared" si="13"/>
        <v>194</v>
      </c>
      <c r="K114" s="5">
        <f t="shared" si="14"/>
        <v>0.68309859154929575</v>
      </c>
      <c r="L114" s="7">
        <f>1</f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AC114">
        <v>1</v>
      </c>
      <c r="AF114" s="1">
        <v>46106.743066076393</v>
      </c>
    </row>
    <row r="115" spans="1:32" ht="18" customHeight="1" x14ac:dyDescent="0.25">
      <c r="A115">
        <v>1335450651</v>
      </c>
      <c r="B115" t="s">
        <v>59</v>
      </c>
      <c r="C115" t="s">
        <v>7</v>
      </c>
      <c r="D115" s="1">
        <v>46125.92092694444</v>
      </c>
      <c r="E115" s="2">
        <f t="shared" ca="1" si="8"/>
        <v>8</v>
      </c>
      <c r="F115" s="2" t="str">
        <f t="shared" ca="1" si="9"/>
        <v>0-14 dias</v>
      </c>
      <c r="G115" s="3">
        <f t="shared" si="10"/>
        <v>4</v>
      </c>
      <c r="H115" s="3">
        <f t="shared" si="11"/>
        <v>2026</v>
      </c>
      <c r="I115" s="3">
        <f t="shared" si="12"/>
        <v>146</v>
      </c>
      <c r="J115" s="3">
        <f t="shared" si="13"/>
        <v>28</v>
      </c>
      <c r="K115" s="5">
        <f t="shared" si="14"/>
        <v>0.19178082191780821</v>
      </c>
      <c r="L115" s="7">
        <f>1</f>
        <v>1</v>
      </c>
      <c r="P115">
        <v>1</v>
      </c>
      <c r="Q115">
        <v>1</v>
      </c>
    </row>
    <row r="116" spans="1:32" ht="18" customHeight="1" x14ac:dyDescent="0.25">
      <c r="A116">
        <v>1315963872</v>
      </c>
      <c r="B116" t="s">
        <v>59</v>
      </c>
      <c r="C116" t="s">
        <v>5</v>
      </c>
      <c r="D116" s="1">
        <v>46093.795509976851</v>
      </c>
      <c r="E116" s="2">
        <f t="shared" ca="1" si="8"/>
        <v>40</v>
      </c>
      <c r="F116" s="2" t="str">
        <f t="shared" ca="1" si="9"/>
        <v>31-60 dias</v>
      </c>
      <c r="G116" s="3">
        <f t="shared" si="10"/>
        <v>3</v>
      </c>
      <c r="H116" s="3">
        <f t="shared" si="11"/>
        <v>2026</v>
      </c>
      <c r="I116" s="3">
        <f t="shared" si="12"/>
        <v>284</v>
      </c>
      <c r="J116" s="3">
        <f t="shared" si="13"/>
        <v>194</v>
      </c>
      <c r="K116" s="5">
        <f t="shared" si="14"/>
        <v>0.68309859154929575</v>
      </c>
      <c r="L116" s="7">
        <f>1</f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 t="s">
        <v>312</v>
      </c>
      <c r="AA116">
        <v>1</v>
      </c>
      <c r="AE116">
        <v>1</v>
      </c>
      <c r="AF116" s="1">
        <v>46115.558595729162</v>
      </c>
    </row>
    <row r="117" spans="1:32" ht="18" customHeight="1" x14ac:dyDescent="0.25">
      <c r="A117">
        <v>1338148917</v>
      </c>
      <c r="B117" t="s">
        <v>422</v>
      </c>
      <c r="C117" t="s">
        <v>7</v>
      </c>
      <c r="D117" s="1">
        <v>46129.796991608797</v>
      </c>
      <c r="E117" s="2">
        <f t="shared" ca="1" si="8"/>
        <v>4</v>
      </c>
      <c r="F117" s="2" t="str">
        <f t="shared" ca="1" si="9"/>
        <v>0-14 dias</v>
      </c>
      <c r="G117" s="3">
        <f t="shared" si="10"/>
        <v>4</v>
      </c>
      <c r="H117" s="3">
        <f t="shared" si="11"/>
        <v>2026</v>
      </c>
      <c r="I117" s="3">
        <f t="shared" si="12"/>
        <v>146</v>
      </c>
      <c r="J117" s="3">
        <f t="shared" si="13"/>
        <v>28</v>
      </c>
      <c r="K117" s="5">
        <f t="shared" si="14"/>
        <v>0.19178082191780821</v>
      </c>
      <c r="L117" s="7">
        <f>1</f>
        <v>1</v>
      </c>
      <c r="Y117">
        <v>2</v>
      </c>
    </row>
    <row r="118" spans="1:32" ht="18" customHeight="1" x14ac:dyDescent="0.25">
      <c r="A118">
        <v>1313709044</v>
      </c>
      <c r="B118" t="s">
        <v>60</v>
      </c>
      <c r="C118" t="s">
        <v>5</v>
      </c>
      <c r="D118" s="1">
        <v>46091.544947719907</v>
      </c>
      <c r="E118" s="2">
        <f t="shared" ca="1" si="8"/>
        <v>42</v>
      </c>
      <c r="F118" s="2" t="str">
        <f t="shared" ca="1" si="9"/>
        <v>31-60 dias</v>
      </c>
      <c r="G118" s="3">
        <f t="shared" si="10"/>
        <v>3</v>
      </c>
      <c r="H118" s="3">
        <f t="shared" si="11"/>
        <v>2026</v>
      </c>
      <c r="I118" s="3">
        <f t="shared" si="12"/>
        <v>284</v>
      </c>
      <c r="J118" s="3">
        <f t="shared" si="13"/>
        <v>194</v>
      </c>
      <c r="K118" s="5">
        <f t="shared" si="14"/>
        <v>0.68309859154929575</v>
      </c>
      <c r="L118" s="7">
        <f>1</f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AF118" s="1">
        <v>46104.815832569453</v>
      </c>
    </row>
    <row r="119" spans="1:32" ht="18" customHeight="1" x14ac:dyDescent="0.25">
      <c r="A119">
        <v>1325731126</v>
      </c>
      <c r="B119" t="s">
        <v>61</v>
      </c>
      <c r="C119" t="s">
        <v>242</v>
      </c>
      <c r="D119" s="1">
        <v>46108.62842951389</v>
      </c>
      <c r="E119" s="2">
        <f t="shared" ca="1" si="8"/>
        <v>25</v>
      </c>
      <c r="F119" s="2" t="str">
        <f t="shared" ca="1" si="9"/>
        <v>25-30 dias</v>
      </c>
      <c r="G119" s="3">
        <f t="shared" si="10"/>
        <v>3</v>
      </c>
      <c r="H119" s="3">
        <f t="shared" si="11"/>
        <v>2026</v>
      </c>
      <c r="I119" s="3">
        <f t="shared" si="12"/>
        <v>284</v>
      </c>
      <c r="J119" s="3">
        <f t="shared" si="13"/>
        <v>194</v>
      </c>
      <c r="K119" s="5">
        <f t="shared" si="14"/>
        <v>0.68309859154929575</v>
      </c>
      <c r="L119" s="7">
        <f>1</f>
        <v>1</v>
      </c>
      <c r="Y119">
        <v>1</v>
      </c>
    </row>
    <row r="120" spans="1:32" ht="18" customHeight="1" x14ac:dyDescent="0.25">
      <c r="A120">
        <v>1315003657</v>
      </c>
      <c r="B120" t="s">
        <v>62</v>
      </c>
      <c r="C120" t="s">
        <v>5</v>
      </c>
      <c r="D120" s="1">
        <v>46092.921549305553</v>
      </c>
      <c r="E120" s="2">
        <f t="shared" ca="1" si="8"/>
        <v>41</v>
      </c>
      <c r="F120" s="2" t="str">
        <f t="shared" ca="1" si="9"/>
        <v>31-60 dias</v>
      </c>
      <c r="G120" s="3">
        <f t="shared" si="10"/>
        <v>3</v>
      </c>
      <c r="H120" s="3">
        <f t="shared" si="11"/>
        <v>2026</v>
      </c>
      <c r="I120" s="3">
        <f t="shared" si="12"/>
        <v>284</v>
      </c>
      <c r="J120" s="3">
        <f t="shared" si="13"/>
        <v>194</v>
      </c>
      <c r="K120" s="5">
        <f t="shared" si="14"/>
        <v>0.68309859154929575</v>
      </c>
      <c r="L120" s="7">
        <f>1</f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AE120">
        <v>1</v>
      </c>
      <c r="AF120" s="1">
        <v>46127.586958483793</v>
      </c>
    </row>
    <row r="121" spans="1:32" ht="18" customHeight="1" x14ac:dyDescent="0.25">
      <c r="A121">
        <v>1310841054</v>
      </c>
      <c r="B121" t="s">
        <v>63</v>
      </c>
      <c r="C121" t="s">
        <v>5</v>
      </c>
      <c r="D121" s="1">
        <v>46087.796112638876</v>
      </c>
      <c r="E121" s="2">
        <f t="shared" ca="1" si="8"/>
        <v>46</v>
      </c>
      <c r="F121" s="2" t="str">
        <f t="shared" ca="1" si="9"/>
        <v>31-60 dias</v>
      </c>
      <c r="G121" s="3">
        <f t="shared" si="10"/>
        <v>3</v>
      </c>
      <c r="H121" s="3">
        <f t="shared" si="11"/>
        <v>2026</v>
      </c>
      <c r="I121" s="3">
        <f t="shared" si="12"/>
        <v>284</v>
      </c>
      <c r="J121" s="3">
        <f t="shared" si="13"/>
        <v>194</v>
      </c>
      <c r="K121" s="5">
        <f t="shared" si="14"/>
        <v>0.68309859154929575</v>
      </c>
      <c r="L121" s="7">
        <f>1</f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AC121">
        <v>1</v>
      </c>
      <c r="AF121" s="1">
        <v>46100.767168321763</v>
      </c>
    </row>
    <row r="122" spans="1:32" ht="18" customHeight="1" x14ac:dyDescent="0.25">
      <c r="A122">
        <v>1327282232</v>
      </c>
      <c r="B122" t="s">
        <v>278</v>
      </c>
      <c r="C122" t="s">
        <v>5</v>
      </c>
      <c r="D122" s="1">
        <v>46111.795517476858</v>
      </c>
      <c r="E122" s="2">
        <f t="shared" ca="1" si="8"/>
        <v>22</v>
      </c>
      <c r="F122" s="2" t="str">
        <f t="shared" ca="1" si="9"/>
        <v>20-24 dias</v>
      </c>
      <c r="G122" s="3">
        <f t="shared" si="10"/>
        <v>3</v>
      </c>
      <c r="H122" s="3">
        <f t="shared" si="11"/>
        <v>2026</v>
      </c>
      <c r="I122" s="3">
        <f t="shared" si="12"/>
        <v>284</v>
      </c>
      <c r="J122" s="3">
        <f t="shared" si="13"/>
        <v>194</v>
      </c>
      <c r="K122" s="5">
        <f t="shared" si="14"/>
        <v>0.68309859154929575</v>
      </c>
      <c r="L122" s="7">
        <f>1</f>
        <v>1</v>
      </c>
      <c r="Y122">
        <v>1</v>
      </c>
      <c r="AE122">
        <v>1</v>
      </c>
      <c r="AF122" s="1">
        <v>46115.510773009257</v>
      </c>
    </row>
    <row r="123" spans="1:32" ht="18" customHeight="1" x14ac:dyDescent="0.25">
      <c r="A123">
        <v>1333930117</v>
      </c>
      <c r="B123" t="s">
        <v>358</v>
      </c>
      <c r="C123" t="s">
        <v>7</v>
      </c>
      <c r="D123" s="1">
        <v>46122.797004479173</v>
      </c>
      <c r="E123" s="2">
        <f t="shared" ca="1" si="8"/>
        <v>11</v>
      </c>
      <c r="F123" s="2" t="str">
        <f t="shared" ca="1" si="9"/>
        <v>0-14 dias</v>
      </c>
      <c r="G123" s="3">
        <f t="shared" si="10"/>
        <v>4</v>
      </c>
      <c r="H123" s="3">
        <f t="shared" si="11"/>
        <v>2026</v>
      </c>
      <c r="I123" s="3">
        <f t="shared" si="12"/>
        <v>146</v>
      </c>
      <c r="J123" s="3">
        <f t="shared" si="13"/>
        <v>28</v>
      </c>
      <c r="K123" s="5">
        <f t="shared" si="14"/>
        <v>0.19178082191780821</v>
      </c>
      <c r="L123" s="7">
        <f>1</f>
        <v>1</v>
      </c>
      <c r="Y123">
        <v>6</v>
      </c>
    </row>
    <row r="124" spans="1:32" ht="18" customHeight="1" x14ac:dyDescent="0.25">
      <c r="A124">
        <v>1314805418</v>
      </c>
      <c r="B124" t="s">
        <v>64</v>
      </c>
      <c r="C124" t="s">
        <v>21</v>
      </c>
      <c r="D124" s="1">
        <v>46092.796360185181</v>
      </c>
      <c r="E124" s="2">
        <f t="shared" ca="1" si="8"/>
        <v>41</v>
      </c>
      <c r="F124" s="2" t="str">
        <f t="shared" ca="1" si="9"/>
        <v>31-60 dias</v>
      </c>
      <c r="G124" s="3">
        <f t="shared" si="10"/>
        <v>3</v>
      </c>
      <c r="H124" s="3">
        <f t="shared" si="11"/>
        <v>2026</v>
      </c>
      <c r="I124" s="3">
        <f t="shared" si="12"/>
        <v>284</v>
      </c>
      <c r="J124" s="3">
        <f t="shared" si="13"/>
        <v>194</v>
      </c>
      <c r="K124" s="5">
        <f t="shared" si="14"/>
        <v>0.68309859154929575</v>
      </c>
      <c r="L124" s="7">
        <f>1</f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32" ht="18" customHeight="1" x14ac:dyDescent="0.25">
      <c r="A125">
        <v>1305500237</v>
      </c>
      <c r="B125" t="s">
        <v>65</v>
      </c>
      <c r="C125" t="s">
        <v>5</v>
      </c>
      <c r="D125" s="1">
        <v>46080.795287534733</v>
      </c>
      <c r="E125" s="2">
        <f t="shared" ca="1" si="8"/>
        <v>53</v>
      </c>
      <c r="F125" s="2" t="str">
        <f t="shared" ca="1" si="9"/>
        <v>31-60 dias</v>
      </c>
      <c r="G125" s="3">
        <f t="shared" si="10"/>
        <v>2</v>
      </c>
      <c r="H125" s="3">
        <f t="shared" si="11"/>
        <v>2026</v>
      </c>
      <c r="I125" s="3">
        <f t="shared" si="12"/>
        <v>17</v>
      </c>
      <c r="J125" s="3">
        <f t="shared" si="13"/>
        <v>11</v>
      </c>
      <c r="K125" s="5">
        <f t="shared" si="14"/>
        <v>0.6470588235294118</v>
      </c>
      <c r="L125" s="7">
        <f>1</f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AB125">
        <v>1</v>
      </c>
      <c r="AF125" s="1">
        <v>46094.543112997693</v>
      </c>
    </row>
    <row r="126" spans="1:32" ht="18" customHeight="1" x14ac:dyDescent="0.25">
      <c r="A126">
        <v>1335440960</v>
      </c>
      <c r="B126" t="s">
        <v>423</v>
      </c>
      <c r="C126" t="s">
        <v>11</v>
      </c>
      <c r="D126" s="1">
        <v>46125.899857777767</v>
      </c>
      <c r="E126" s="2">
        <f t="shared" ca="1" si="8"/>
        <v>8</v>
      </c>
      <c r="F126" s="2" t="str">
        <f t="shared" ca="1" si="9"/>
        <v>0-14 dias</v>
      </c>
      <c r="G126" s="3">
        <f t="shared" si="10"/>
        <v>4</v>
      </c>
      <c r="H126" s="3">
        <f t="shared" si="11"/>
        <v>2026</v>
      </c>
      <c r="I126" s="3">
        <f t="shared" si="12"/>
        <v>146</v>
      </c>
      <c r="J126" s="3">
        <f t="shared" si="13"/>
        <v>28</v>
      </c>
      <c r="K126" s="5">
        <f t="shared" si="14"/>
        <v>0.19178082191780821</v>
      </c>
      <c r="L126" s="7">
        <f>1</f>
        <v>1</v>
      </c>
      <c r="R126">
        <v>1</v>
      </c>
    </row>
    <row r="127" spans="1:32" ht="18" customHeight="1" x14ac:dyDescent="0.25">
      <c r="A127">
        <v>1332238343</v>
      </c>
      <c r="B127" t="s">
        <v>359</v>
      </c>
      <c r="C127" t="s">
        <v>7</v>
      </c>
      <c r="D127" s="1">
        <v>46119.796050289347</v>
      </c>
      <c r="E127" s="2">
        <f t="shared" ca="1" si="8"/>
        <v>14</v>
      </c>
      <c r="F127" s="2" t="str">
        <f t="shared" ca="1" si="9"/>
        <v>0-14 dias</v>
      </c>
      <c r="G127" s="3">
        <f t="shared" si="10"/>
        <v>4</v>
      </c>
      <c r="H127" s="3">
        <f t="shared" si="11"/>
        <v>2026</v>
      </c>
      <c r="I127" s="3">
        <f t="shared" si="12"/>
        <v>146</v>
      </c>
      <c r="J127" s="3">
        <f t="shared" si="13"/>
        <v>28</v>
      </c>
      <c r="K127" s="5">
        <f t="shared" si="14"/>
        <v>0.19178082191780821</v>
      </c>
      <c r="L127" s="7">
        <f>1</f>
        <v>1</v>
      </c>
    </row>
    <row r="128" spans="1:32" ht="18" customHeight="1" x14ac:dyDescent="0.25">
      <c r="A128">
        <v>1329552716</v>
      </c>
      <c r="B128" t="s">
        <v>326</v>
      </c>
      <c r="C128" t="s">
        <v>5</v>
      </c>
      <c r="D128" s="1">
        <v>46114.797492939819</v>
      </c>
      <c r="E128" s="2">
        <f t="shared" ca="1" si="8"/>
        <v>19</v>
      </c>
      <c r="F128" s="2" t="str">
        <f t="shared" ca="1" si="9"/>
        <v>15-19 dias</v>
      </c>
      <c r="G128" s="3">
        <f t="shared" si="10"/>
        <v>4</v>
      </c>
      <c r="H128" s="3">
        <f t="shared" si="11"/>
        <v>2026</v>
      </c>
      <c r="I128" s="3">
        <f t="shared" si="12"/>
        <v>146</v>
      </c>
      <c r="J128" s="3">
        <f t="shared" si="13"/>
        <v>28</v>
      </c>
      <c r="K128" s="5">
        <f t="shared" si="14"/>
        <v>0.19178082191780821</v>
      </c>
      <c r="L128" s="7">
        <f>1</f>
        <v>1</v>
      </c>
      <c r="N128">
        <v>2</v>
      </c>
      <c r="AB128">
        <v>2</v>
      </c>
      <c r="AF128" s="1">
        <v>46132.609263287042</v>
      </c>
    </row>
    <row r="129" spans="1:32" ht="18" customHeight="1" x14ac:dyDescent="0.25">
      <c r="A129">
        <v>1334947576</v>
      </c>
      <c r="B129" t="s">
        <v>67</v>
      </c>
      <c r="C129" t="s">
        <v>5</v>
      </c>
      <c r="D129" s="1">
        <v>46125.546701585648</v>
      </c>
      <c r="E129" s="2">
        <f t="shared" ca="1" si="8"/>
        <v>8</v>
      </c>
      <c r="F129" s="2" t="str">
        <f t="shared" ca="1" si="9"/>
        <v>0-14 dias</v>
      </c>
      <c r="G129" s="3">
        <f t="shared" si="10"/>
        <v>4</v>
      </c>
      <c r="H129" s="3">
        <f t="shared" si="11"/>
        <v>2026</v>
      </c>
      <c r="I129" s="3">
        <f t="shared" si="12"/>
        <v>146</v>
      </c>
      <c r="J129" s="3">
        <f t="shared" si="13"/>
        <v>28</v>
      </c>
      <c r="K129" s="5">
        <f t="shared" si="14"/>
        <v>0.19178082191780821</v>
      </c>
      <c r="L129" s="7">
        <f>1</f>
        <v>1</v>
      </c>
      <c r="R129">
        <v>1</v>
      </c>
      <c r="AF129" s="1">
        <v>46132.612976435194</v>
      </c>
    </row>
    <row r="130" spans="1:32" ht="18" customHeight="1" x14ac:dyDescent="0.25">
      <c r="A130">
        <v>1335440549</v>
      </c>
      <c r="B130" t="s">
        <v>67</v>
      </c>
      <c r="C130" t="s">
        <v>7</v>
      </c>
      <c r="D130" s="1">
        <v>46125.8989190625</v>
      </c>
      <c r="E130" s="2">
        <f t="shared" ca="1" si="8"/>
        <v>8</v>
      </c>
      <c r="F130" s="2" t="str">
        <f t="shared" ca="1" si="9"/>
        <v>0-14 dias</v>
      </c>
      <c r="G130" s="3">
        <f t="shared" si="10"/>
        <v>4</v>
      </c>
      <c r="H130" s="3">
        <f t="shared" si="11"/>
        <v>2026</v>
      </c>
      <c r="I130" s="3">
        <f t="shared" si="12"/>
        <v>146</v>
      </c>
      <c r="J130" s="3">
        <f t="shared" si="13"/>
        <v>28</v>
      </c>
      <c r="K130" s="5">
        <f t="shared" si="14"/>
        <v>0.19178082191780821</v>
      </c>
      <c r="L130" s="7">
        <f>1</f>
        <v>1</v>
      </c>
      <c r="Y130">
        <v>1</v>
      </c>
    </row>
    <row r="131" spans="1:32" ht="18" customHeight="1" x14ac:dyDescent="0.25">
      <c r="A131">
        <v>1324346367</v>
      </c>
      <c r="B131" t="s">
        <v>66</v>
      </c>
      <c r="C131" t="s">
        <v>5</v>
      </c>
      <c r="D131" s="1">
        <v>46106.795522210647</v>
      </c>
      <c r="E131" s="2">
        <f t="shared" ref="E131:E194" ca="1" si="15">INT(TODAY() - D131)</f>
        <v>27</v>
      </c>
      <c r="F131" s="2" t="str">
        <f t="shared" ref="F131:F194" ca="1" si="16">IF(E131&lt;=14,"0-14 dias",
IF(E131&lt;=19,"15-19 dias",
IF(E131&lt;=24,"20-24 dias",
IF(E131&lt;=30,"25-30 dias",
IF(E131&lt;=60,"31-60 dias",
"&gt;60 dias")))))</f>
        <v>25-30 dias</v>
      </c>
      <c r="G131" s="3">
        <f t="shared" ref="G131:G194" si="17">MONTH(D131)</f>
        <v>3</v>
      </c>
      <c r="H131" s="3">
        <f t="shared" ref="H131:H194" si="18">YEAR(D131)</f>
        <v>2026</v>
      </c>
      <c r="I131" s="3">
        <f t="shared" ref="I131:I194" si="19">COUNTIFS(G:G,G131)</f>
        <v>284</v>
      </c>
      <c r="J131" s="3">
        <f t="shared" ref="J131:J194" si="20">COUNTIFS(G:G,G131,C:C,"Recebido")</f>
        <v>194</v>
      </c>
      <c r="K131" s="5">
        <f t="shared" ref="K131:K194" si="21">(J131/I131)</f>
        <v>0.68309859154929575</v>
      </c>
      <c r="L131" s="7">
        <f>1</f>
        <v>1</v>
      </c>
      <c r="AF131" s="1">
        <v>46126.599408842587</v>
      </c>
    </row>
    <row r="132" spans="1:32" ht="18" customHeight="1" x14ac:dyDescent="0.25">
      <c r="A132">
        <v>1318538537</v>
      </c>
      <c r="B132" t="s">
        <v>67</v>
      </c>
      <c r="C132" t="s">
        <v>21</v>
      </c>
      <c r="D132" s="1">
        <v>46097.795310173613</v>
      </c>
      <c r="E132" s="2">
        <f t="shared" ca="1" si="15"/>
        <v>36</v>
      </c>
      <c r="F132" s="2" t="str">
        <f t="shared" ca="1" si="16"/>
        <v>31-60 dias</v>
      </c>
      <c r="G132" s="3">
        <f t="shared" si="17"/>
        <v>3</v>
      </c>
      <c r="H132" s="3">
        <f t="shared" si="18"/>
        <v>2026</v>
      </c>
      <c r="I132" s="3">
        <f t="shared" si="19"/>
        <v>284</v>
      </c>
      <c r="J132" s="3">
        <f t="shared" si="20"/>
        <v>194</v>
      </c>
      <c r="K132" s="5">
        <f t="shared" si="21"/>
        <v>0.68309859154929575</v>
      </c>
      <c r="L132" s="7">
        <f>1</f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32" ht="18" customHeight="1" x14ac:dyDescent="0.25">
      <c r="A133">
        <v>1305500482</v>
      </c>
      <c r="B133" t="s">
        <v>68</v>
      </c>
      <c r="C133" t="s">
        <v>5</v>
      </c>
      <c r="D133" s="1">
        <v>46080.795469629629</v>
      </c>
      <c r="E133" s="2">
        <f t="shared" ca="1" si="15"/>
        <v>53</v>
      </c>
      <c r="F133" s="2" t="str">
        <f t="shared" ca="1" si="16"/>
        <v>31-60 dias</v>
      </c>
      <c r="G133" s="3">
        <f t="shared" si="17"/>
        <v>2</v>
      </c>
      <c r="H133" s="3">
        <f t="shared" si="18"/>
        <v>2026</v>
      </c>
      <c r="I133" s="3">
        <f t="shared" si="19"/>
        <v>17</v>
      </c>
      <c r="J133" s="3">
        <f t="shared" si="20"/>
        <v>11</v>
      </c>
      <c r="K133" s="5">
        <f t="shared" si="21"/>
        <v>0.6470588235294118</v>
      </c>
      <c r="L133" s="7">
        <f>1</f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AC133">
        <v>1</v>
      </c>
      <c r="AE133">
        <v>1</v>
      </c>
      <c r="AF133" s="1">
        <v>46126.630285717591</v>
      </c>
    </row>
    <row r="134" spans="1:32" ht="18" customHeight="1" x14ac:dyDescent="0.25">
      <c r="A134">
        <v>1322470699</v>
      </c>
      <c r="B134" t="s">
        <v>69</v>
      </c>
      <c r="C134" t="s">
        <v>5</v>
      </c>
      <c r="D134" s="1">
        <v>46104.545925196748</v>
      </c>
      <c r="E134" s="2">
        <f t="shared" ca="1" si="15"/>
        <v>29</v>
      </c>
      <c r="F134" s="2" t="str">
        <f t="shared" ca="1" si="16"/>
        <v>25-30 dias</v>
      </c>
      <c r="G134" s="3">
        <f t="shared" si="17"/>
        <v>3</v>
      </c>
      <c r="H134" s="3">
        <f t="shared" si="18"/>
        <v>2026</v>
      </c>
      <c r="I134" s="3">
        <f t="shared" si="19"/>
        <v>284</v>
      </c>
      <c r="J134" s="3">
        <f t="shared" si="20"/>
        <v>194</v>
      </c>
      <c r="K134" s="5">
        <f t="shared" si="21"/>
        <v>0.68309859154929575</v>
      </c>
      <c r="L134" s="7">
        <f>1</f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AB134">
        <v>1</v>
      </c>
      <c r="AE134">
        <v>1</v>
      </c>
      <c r="AF134" s="1">
        <v>46115.623566030088</v>
      </c>
    </row>
    <row r="135" spans="1:32" ht="18" customHeight="1" x14ac:dyDescent="0.25">
      <c r="A135">
        <v>1325884390</v>
      </c>
      <c r="B135" t="s">
        <v>424</v>
      </c>
      <c r="C135" t="s">
        <v>242</v>
      </c>
      <c r="D135" s="1">
        <v>46108.795083923607</v>
      </c>
      <c r="E135" s="2">
        <f t="shared" ca="1" si="15"/>
        <v>25</v>
      </c>
      <c r="F135" s="2" t="str">
        <f t="shared" ca="1" si="16"/>
        <v>25-30 dias</v>
      </c>
      <c r="G135" s="3">
        <f t="shared" si="17"/>
        <v>3</v>
      </c>
      <c r="H135" s="3">
        <f t="shared" si="18"/>
        <v>2026</v>
      </c>
      <c r="I135" s="3">
        <f t="shared" si="19"/>
        <v>284</v>
      </c>
      <c r="J135" s="3">
        <f t="shared" si="20"/>
        <v>194</v>
      </c>
      <c r="K135" s="5">
        <f t="shared" si="21"/>
        <v>0.68309859154929575</v>
      </c>
      <c r="L135" s="7">
        <f>1</f>
        <v>1</v>
      </c>
    </row>
    <row r="136" spans="1:32" ht="18" customHeight="1" x14ac:dyDescent="0.25">
      <c r="A136">
        <v>1322470640</v>
      </c>
      <c r="B136" t="s">
        <v>70</v>
      </c>
      <c r="C136" t="s">
        <v>5</v>
      </c>
      <c r="D136" s="1">
        <v>46104.545875219897</v>
      </c>
      <c r="E136" s="2">
        <f t="shared" ca="1" si="15"/>
        <v>29</v>
      </c>
      <c r="F136" s="2" t="str">
        <f t="shared" ca="1" si="16"/>
        <v>25-30 dias</v>
      </c>
      <c r="G136" s="3">
        <f t="shared" si="17"/>
        <v>3</v>
      </c>
      <c r="H136" s="3">
        <f t="shared" si="18"/>
        <v>2026</v>
      </c>
      <c r="I136" s="3">
        <f t="shared" si="19"/>
        <v>284</v>
      </c>
      <c r="J136" s="3">
        <f t="shared" si="20"/>
        <v>194</v>
      </c>
      <c r="K136" s="5">
        <f t="shared" si="21"/>
        <v>0.68309859154929575</v>
      </c>
      <c r="L136" s="7">
        <f>1</f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AB136">
        <v>1</v>
      </c>
      <c r="AE136">
        <v>1</v>
      </c>
      <c r="AF136" s="1">
        <v>46126.835494444444</v>
      </c>
    </row>
    <row r="137" spans="1:32" ht="18" customHeight="1" x14ac:dyDescent="0.25">
      <c r="A137">
        <v>1319410840</v>
      </c>
      <c r="B137" t="s">
        <v>71</v>
      </c>
      <c r="C137" t="s">
        <v>5</v>
      </c>
      <c r="D137" s="1">
        <v>46098.920485775467</v>
      </c>
      <c r="E137" s="2">
        <f t="shared" ca="1" si="15"/>
        <v>35</v>
      </c>
      <c r="F137" s="2" t="str">
        <f t="shared" ca="1" si="16"/>
        <v>31-60 dias</v>
      </c>
      <c r="G137" s="3">
        <f t="shared" si="17"/>
        <v>3</v>
      </c>
      <c r="H137" s="3">
        <f t="shared" si="18"/>
        <v>2026</v>
      </c>
      <c r="I137" s="3">
        <f t="shared" si="19"/>
        <v>284</v>
      </c>
      <c r="J137" s="3">
        <f t="shared" si="20"/>
        <v>194</v>
      </c>
      <c r="K137" s="5">
        <f t="shared" si="21"/>
        <v>0.68309859154929575</v>
      </c>
      <c r="L137" s="7">
        <f>1</f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AF137" s="1">
        <v>46107.741991770832</v>
      </c>
    </row>
    <row r="138" spans="1:32" ht="18" customHeight="1" x14ac:dyDescent="0.25">
      <c r="A138">
        <v>1307008293</v>
      </c>
      <c r="B138" t="s">
        <v>72</v>
      </c>
      <c r="C138" t="s">
        <v>5</v>
      </c>
      <c r="D138" s="1">
        <v>46083.544223101853</v>
      </c>
      <c r="E138" s="2">
        <f t="shared" ca="1" si="15"/>
        <v>50</v>
      </c>
      <c r="F138" s="2" t="str">
        <f t="shared" ca="1" si="16"/>
        <v>31-60 dias</v>
      </c>
      <c r="G138" s="3">
        <f t="shared" si="17"/>
        <v>3</v>
      </c>
      <c r="H138" s="3">
        <f t="shared" si="18"/>
        <v>2026</v>
      </c>
      <c r="I138" s="3">
        <f t="shared" si="19"/>
        <v>284</v>
      </c>
      <c r="J138" s="3">
        <f t="shared" si="20"/>
        <v>194</v>
      </c>
      <c r="K138" s="5">
        <f t="shared" si="21"/>
        <v>0.68309859154929575</v>
      </c>
      <c r="L138" s="7">
        <f>1</f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AF138" s="1">
        <v>46100.722493761568</v>
      </c>
    </row>
    <row r="139" spans="1:32" ht="18" customHeight="1" x14ac:dyDescent="0.25">
      <c r="A139">
        <v>1334946191</v>
      </c>
      <c r="B139" t="s">
        <v>360</v>
      </c>
      <c r="C139" t="s">
        <v>7</v>
      </c>
      <c r="D139" s="1">
        <v>46125.546181018522</v>
      </c>
      <c r="E139" s="2">
        <f t="shared" ca="1" si="15"/>
        <v>8</v>
      </c>
      <c r="F139" s="2" t="str">
        <f t="shared" ca="1" si="16"/>
        <v>0-14 dias</v>
      </c>
      <c r="G139" s="3">
        <f t="shared" si="17"/>
        <v>4</v>
      </c>
      <c r="H139" s="3">
        <f t="shared" si="18"/>
        <v>2026</v>
      </c>
      <c r="I139" s="3">
        <f t="shared" si="19"/>
        <v>146</v>
      </c>
      <c r="J139" s="3">
        <f t="shared" si="20"/>
        <v>28</v>
      </c>
      <c r="K139" s="5">
        <f t="shared" si="21"/>
        <v>0.19178082191780821</v>
      </c>
      <c r="L139" s="7">
        <f>1</f>
        <v>1</v>
      </c>
      <c r="N139">
        <v>1</v>
      </c>
    </row>
    <row r="140" spans="1:32" ht="18" customHeight="1" x14ac:dyDescent="0.25">
      <c r="A140">
        <v>1319411044</v>
      </c>
      <c r="B140" t="s">
        <v>73</v>
      </c>
      <c r="C140" t="s">
        <v>5</v>
      </c>
      <c r="D140" s="1">
        <v>46098.920710520833</v>
      </c>
      <c r="E140" s="2">
        <f t="shared" ca="1" si="15"/>
        <v>35</v>
      </c>
      <c r="F140" s="2" t="str">
        <f t="shared" ca="1" si="16"/>
        <v>31-60 dias</v>
      </c>
      <c r="G140" s="3">
        <f t="shared" si="17"/>
        <v>3</v>
      </c>
      <c r="H140" s="3">
        <f t="shared" si="18"/>
        <v>2026</v>
      </c>
      <c r="I140" s="3">
        <f t="shared" si="19"/>
        <v>284</v>
      </c>
      <c r="J140" s="3">
        <f t="shared" si="20"/>
        <v>194</v>
      </c>
      <c r="K140" s="5">
        <f t="shared" si="21"/>
        <v>0.68309859154929575</v>
      </c>
      <c r="L140" s="7">
        <f>1</f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 t="s">
        <v>312</v>
      </c>
      <c r="AA140">
        <v>1</v>
      </c>
      <c r="AF140" s="1">
        <v>46106.56585407407</v>
      </c>
    </row>
    <row r="141" spans="1:32" ht="18" customHeight="1" x14ac:dyDescent="0.25">
      <c r="A141">
        <v>1310047016</v>
      </c>
      <c r="B141" t="s">
        <v>74</v>
      </c>
      <c r="C141" t="s">
        <v>5</v>
      </c>
      <c r="D141" s="1">
        <v>46086.811965810193</v>
      </c>
      <c r="E141" s="2">
        <f t="shared" ca="1" si="15"/>
        <v>47</v>
      </c>
      <c r="F141" s="2" t="str">
        <f t="shared" ca="1" si="16"/>
        <v>31-60 dias</v>
      </c>
      <c r="G141" s="3">
        <f t="shared" si="17"/>
        <v>3</v>
      </c>
      <c r="H141" s="3">
        <f t="shared" si="18"/>
        <v>2026</v>
      </c>
      <c r="I141" s="3">
        <f t="shared" si="19"/>
        <v>284</v>
      </c>
      <c r="J141" s="3">
        <f t="shared" si="20"/>
        <v>194</v>
      </c>
      <c r="K141" s="5">
        <f t="shared" si="21"/>
        <v>0.68309859154929575</v>
      </c>
      <c r="L141" s="7">
        <f>1</f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 t="s">
        <v>312</v>
      </c>
      <c r="AA141">
        <v>1</v>
      </c>
      <c r="AF141" s="1">
        <v>46086.813595405103</v>
      </c>
    </row>
    <row r="142" spans="1:32" ht="18" customHeight="1" x14ac:dyDescent="0.25">
      <c r="A142">
        <v>1318538011</v>
      </c>
      <c r="B142" t="s">
        <v>75</v>
      </c>
      <c r="C142" t="s">
        <v>5</v>
      </c>
      <c r="D142" s="1">
        <v>46097.794986307868</v>
      </c>
      <c r="E142" s="2">
        <f t="shared" ca="1" si="15"/>
        <v>36</v>
      </c>
      <c r="F142" s="2" t="str">
        <f t="shared" ca="1" si="16"/>
        <v>31-60 dias</v>
      </c>
      <c r="G142" s="3">
        <f t="shared" si="17"/>
        <v>3</v>
      </c>
      <c r="H142" s="3">
        <f t="shared" si="18"/>
        <v>2026</v>
      </c>
      <c r="I142" s="3">
        <f t="shared" si="19"/>
        <v>284</v>
      </c>
      <c r="J142" s="3">
        <f t="shared" si="20"/>
        <v>194</v>
      </c>
      <c r="K142" s="5">
        <f t="shared" si="21"/>
        <v>0.68309859154929575</v>
      </c>
      <c r="L142" s="7">
        <f>1</f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AF142" s="1">
        <v>46106.739963773151</v>
      </c>
    </row>
    <row r="143" spans="1:32" ht="18" customHeight="1" x14ac:dyDescent="0.25">
      <c r="A143">
        <v>1310029353</v>
      </c>
      <c r="B143" t="s">
        <v>76</v>
      </c>
      <c r="C143" t="s">
        <v>5</v>
      </c>
      <c r="D143" s="1">
        <v>46086.796234664347</v>
      </c>
      <c r="E143" s="2">
        <f t="shared" ca="1" si="15"/>
        <v>47</v>
      </c>
      <c r="F143" s="2" t="str">
        <f t="shared" ca="1" si="16"/>
        <v>31-60 dias</v>
      </c>
      <c r="G143" s="3">
        <f t="shared" si="17"/>
        <v>3</v>
      </c>
      <c r="H143" s="3">
        <f t="shared" si="18"/>
        <v>2026</v>
      </c>
      <c r="I143" s="3">
        <f t="shared" si="19"/>
        <v>284</v>
      </c>
      <c r="J143" s="3">
        <f t="shared" si="20"/>
        <v>194</v>
      </c>
      <c r="K143" s="5">
        <f t="shared" si="21"/>
        <v>0.68309859154929575</v>
      </c>
      <c r="L143" s="7">
        <f>1</f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AC143">
        <v>1</v>
      </c>
      <c r="AF143" s="1">
        <v>46098.542930173608</v>
      </c>
    </row>
    <row r="144" spans="1:32" ht="18" customHeight="1" x14ac:dyDescent="0.25">
      <c r="A144">
        <v>1315765863</v>
      </c>
      <c r="B144" t="s">
        <v>77</v>
      </c>
      <c r="C144" t="s">
        <v>5</v>
      </c>
      <c r="D144" s="1">
        <v>46093.628810127317</v>
      </c>
      <c r="E144" s="2">
        <f t="shared" ca="1" si="15"/>
        <v>40</v>
      </c>
      <c r="F144" s="2" t="str">
        <f t="shared" ca="1" si="16"/>
        <v>31-60 dias</v>
      </c>
      <c r="G144" s="3">
        <f t="shared" si="17"/>
        <v>3</v>
      </c>
      <c r="H144" s="3">
        <f t="shared" si="18"/>
        <v>2026</v>
      </c>
      <c r="I144" s="3">
        <f t="shared" si="19"/>
        <v>284</v>
      </c>
      <c r="J144" s="3">
        <f t="shared" si="20"/>
        <v>194</v>
      </c>
      <c r="K144" s="5">
        <f t="shared" si="21"/>
        <v>0.68309859154929575</v>
      </c>
      <c r="L144" s="7">
        <f>1</f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AE144">
        <v>1</v>
      </c>
      <c r="AF144" s="1">
        <v>46115.577041296303</v>
      </c>
    </row>
    <row r="145" spans="1:32" ht="18" customHeight="1" x14ac:dyDescent="0.25">
      <c r="A145">
        <v>1327842904</v>
      </c>
      <c r="B145" t="s">
        <v>77</v>
      </c>
      <c r="C145" t="s">
        <v>5</v>
      </c>
      <c r="D145" s="1">
        <v>46112.628146979172</v>
      </c>
      <c r="E145" s="2">
        <f t="shared" ca="1" si="15"/>
        <v>21</v>
      </c>
      <c r="F145" s="2" t="str">
        <f t="shared" ca="1" si="16"/>
        <v>20-24 dias</v>
      </c>
      <c r="G145" s="3">
        <f t="shared" si="17"/>
        <v>3</v>
      </c>
      <c r="H145" s="3">
        <f t="shared" si="18"/>
        <v>2026</v>
      </c>
      <c r="I145" s="3">
        <f t="shared" si="19"/>
        <v>284</v>
      </c>
      <c r="J145" s="3">
        <f t="shared" si="20"/>
        <v>194</v>
      </c>
      <c r="K145" s="5">
        <f t="shared" si="21"/>
        <v>0.68309859154929575</v>
      </c>
      <c r="L145" s="7">
        <f>1</f>
        <v>1</v>
      </c>
      <c r="N145">
        <v>1</v>
      </c>
      <c r="Y145">
        <v>1</v>
      </c>
      <c r="AC145">
        <v>1</v>
      </c>
      <c r="AE145">
        <v>1</v>
      </c>
      <c r="AF145" s="1">
        <v>46118.52408761574</v>
      </c>
    </row>
    <row r="146" spans="1:32" ht="18" customHeight="1" x14ac:dyDescent="0.25">
      <c r="A146">
        <v>1319836385</v>
      </c>
      <c r="B146" t="s">
        <v>78</v>
      </c>
      <c r="C146" t="s">
        <v>5</v>
      </c>
      <c r="D146" s="1">
        <v>46099.627305289352</v>
      </c>
      <c r="E146" s="2">
        <f t="shared" ca="1" si="15"/>
        <v>34</v>
      </c>
      <c r="F146" s="2" t="str">
        <f t="shared" ca="1" si="16"/>
        <v>31-60 dias</v>
      </c>
      <c r="G146" s="3">
        <f t="shared" si="17"/>
        <v>3</v>
      </c>
      <c r="H146" s="3">
        <f t="shared" si="18"/>
        <v>2026</v>
      </c>
      <c r="I146" s="3">
        <f t="shared" si="19"/>
        <v>284</v>
      </c>
      <c r="J146" s="3">
        <f t="shared" si="20"/>
        <v>194</v>
      </c>
      <c r="K146" s="5">
        <f t="shared" si="21"/>
        <v>0.68309859154929575</v>
      </c>
      <c r="L146" s="7">
        <f>1</f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AF146" s="1">
        <v>46127.706876782409</v>
      </c>
    </row>
    <row r="147" spans="1:32" ht="18" customHeight="1" x14ac:dyDescent="0.25">
      <c r="A147">
        <v>1305655468</v>
      </c>
      <c r="B147" t="s">
        <v>79</v>
      </c>
      <c r="C147" t="s">
        <v>5</v>
      </c>
      <c r="D147" s="1">
        <v>46080.920406469908</v>
      </c>
      <c r="E147" s="2">
        <f t="shared" ca="1" si="15"/>
        <v>53</v>
      </c>
      <c r="F147" s="2" t="str">
        <f t="shared" ca="1" si="16"/>
        <v>31-60 dias</v>
      </c>
      <c r="G147" s="3">
        <f t="shared" si="17"/>
        <v>2</v>
      </c>
      <c r="H147" s="3">
        <f t="shared" si="18"/>
        <v>2026</v>
      </c>
      <c r="I147" s="3">
        <f t="shared" si="19"/>
        <v>17</v>
      </c>
      <c r="J147" s="3">
        <f t="shared" si="20"/>
        <v>11</v>
      </c>
      <c r="K147" s="5">
        <f t="shared" si="21"/>
        <v>0.6470588235294118</v>
      </c>
      <c r="L147" s="7">
        <f>1</f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B147">
        <v>1</v>
      </c>
      <c r="AF147" s="1">
        <v>46094.534636689823</v>
      </c>
    </row>
    <row r="148" spans="1:32" ht="18" customHeight="1" x14ac:dyDescent="0.25">
      <c r="A148">
        <v>1338898933</v>
      </c>
      <c r="B148" t="s">
        <v>425</v>
      </c>
      <c r="C148" t="s">
        <v>7</v>
      </c>
      <c r="D148" s="1">
        <v>46132.545688819453</v>
      </c>
      <c r="E148" s="2">
        <f t="shared" ca="1" si="15"/>
        <v>1</v>
      </c>
      <c r="F148" s="2" t="str">
        <f t="shared" ca="1" si="16"/>
        <v>0-14 dias</v>
      </c>
      <c r="G148" s="3">
        <f t="shared" si="17"/>
        <v>4</v>
      </c>
      <c r="H148" s="3">
        <f t="shared" si="18"/>
        <v>2026</v>
      </c>
      <c r="I148" s="3">
        <f t="shared" si="19"/>
        <v>146</v>
      </c>
      <c r="J148" s="3">
        <f t="shared" si="20"/>
        <v>28</v>
      </c>
      <c r="K148" s="5">
        <f t="shared" si="21"/>
        <v>0.19178082191780821</v>
      </c>
      <c r="L148" s="7">
        <f>1</f>
        <v>1</v>
      </c>
      <c r="N148">
        <v>1</v>
      </c>
    </row>
    <row r="149" spans="1:32" ht="18" customHeight="1" x14ac:dyDescent="0.25">
      <c r="A149">
        <v>1326014859</v>
      </c>
      <c r="B149" t="s">
        <v>80</v>
      </c>
      <c r="C149" t="s">
        <v>5</v>
      </c>
      <c r="D149" s="1">
        <v>46108.919980983803</v>
      </c>
      <c r="E149" s="2">
        <f t="shared" ca="1" si="15"/>
        <v>25</v>
      </c>
      <c r="F149" s="2" t="str">
        <f t="shared" ca="1" si="16"/>
        <v>25-30 dias</v>
      </c>
      <c r="G149" s="3">
        <f t="shared" si="17"/>
        <v>3</v>
      </c>
      <c r="H149" s="3">
        <f t="shared" si="18"/>
        <v>2026</v>
      </c>
      <c r="I149" s="3">
        <f t="shared" si="19"/>
        <v>284</v>
      </c>
      <c r="J149" s="3">
        <f t="shared" si="20"/>
        <v>194</v>
      </c>
      <c r="K149" s="5">
        <f t="shared" si="21"/>
        <v>0.68309859154929575</v>
      </c>
      <c r="L149" s="7">
        <f>1</f>
        <v>1</v>
      </c>
      <c r="Y149">
        <v>2</v>
      </c>
      <c r="Z149" t="s">
        <v>312</v>
      </c>
      <c r="AA149">
        <v>2</v>
      </c>
      <c r="AE149">
        <v>2</v>
      </c>
      <c r="AF149" s="1">
        <v>46127.548610532409</v>
      </c>
    </row>
    <row r="150" spans="1:32" ht="18" customHeight="1" x14ac:dyDescent="0.25">
      <c r="A150">
        <v>1313799733</v>
      </c>
      <c r="B150" t="s">
        <v>81</v>
      </c>
      <c r="C150" t="s">
        <v>5</v>
      </c>
      <c r="D150" s="1">
        <v>46091.628498148137</v>
      </c>
      <c r="E150" s="2">
        <f t="shared" ca="1" si="15"/>
        <v>42</v>
      </c>
      <c r="F150" s="2" t="str">
        <f t="shared" ca="1" si="16"/>
        <v>31-60 dias</v>
      </c>
      <c r="G150" s="3">
        <f t="shared" si="17"/>
        <v>3</v>
      </c>
      <c r="H150" s="3">
        <f t="shared" si="18"/>
        <v>2026</v>
      </c>
      <c r="I150" s="3">
        <f t="shared" si="19"/>
        <v>284</v>
      </c>
      <c r="J150" s="3">
        <f t="shared" si="20"/>
        <v>194</v>
      </c>
      <c r="K150" s="5">
        <f t="shared" si="21"/>
        <v>0.68309859154929575</v>
      </c>
      <c r="L150" s="7">
        <f>1</f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AE150">
        <v>1</v>
      </c>
      <c r="AF150" s="1">
        <v>46098.566471180558</v>
      </c>
    </row>
    <row r="151" spans="1:32" ht="18" customHeight="1" x14ac:dyDescent="0.25">
      <c r="A151">
        <v>1323286181</v>
      </c>
      <c r="B151" t="s">
        <v>82</v>
      </c>
      <c r="C151" t="s">
        <v>5</v>
      </c>
      <c r="D151" s="1">
        <v>46105.627714780087</v>
      </c>
      <c r="E151" s="2">
        <f t="shared" ca="1" si="15"/>
        <v>28</v>
      </c>
      <c r="F151" s="2" t="str">
        <f t="shared" ca="1" si="16"/>
        <v>25-30 dias</v>
      </c>
      <c r="G151" s="3">
        <f t="shared" si="17"/>
        <v>3</v>
      </c>
      <c r="H151" s="3">
        <f t="shared" si="18"/>
        <v>2026</v>
      </c>
      <c r="I151" s="3">
        <f t="shared" si="19"/>
        <v>284</v>
      </c>
      <c r="J151" s="3">
        <f t="shared" si="20"/>
        <v>194</v>
      </c>
      <c r="K151" s="5">
        <f t="shared" si="21"/>
        <v>0.68309859154929575</v>
      </c>
      <c r="L151" s="7">
        <f>1</f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AE151">
        <v>1</v>
      </c>
      <c r="AF151" s="1">
        <v>46115.606674861112</v>
      </c>
    </row>
    <row r="152" spans="1:32" ht="18" customHeight="1" x14ac:dyDescent="0.25">
      <c r="A152">
        <v>1307438425</v>
      </c>
      <c r="B152" t="s">
        <v>83</v>
      </c>
      <c r="C152" t="s">
        <v>5</v>
      </c>
      <c r="D152" s="1">
        <v>46083.919848020829</v>
      </c>
      <c r="E152" s="2">
        <f t="shared" ca="1" si="15"/>
        <v>50</v>
      </c>
      <c r="F152" s="2" t="str">
        <f t="shared" ca="1" si="16"/>
        <v>31-60 dias</v>
      </c>
      <c r="G152" s="3">
        <f t="shared" si="17"/>
        <v>3</v>
      </c>
      <c r="H152" s="3">
        <f t="shared" si="18"/>
        <v>2026</v>
      </c>
      <c r="I152" s="3">
        <f t="shared" si="19"/>
        <v>284</v>
      </c>
      <c r="J152" s="3">
        <f t="shared" si="20"/>
        <v>194</v>
      </c>
      <c r="K152" s="5">
        <f t="shared" si="21"/>
        <v>0.68309859154929575</v>
      </c>
      <c r="L152" s="7">
        <f>1</f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AF152" s="1">
        <v>46126.555995844901</v>
      </c>
    </row>
    <row r="153" spans="1:32" ht="18" customHeight="1" x14ac:dyDescent="0.25">
      <c r="A153">
        <v>1320109480</v>
      </c>
      <c r="B153" t="s">
        <v>84</v>
      </c>
      <c r="C153" t="s">
        <v>5</v>
      </c>
      <c r="D153" s="1">
        <v>46099.920310150461</v>
      </c>
      <c r="E153" s="2">
        <f t="shared" ca="1" si="15"/>
        <v>34</v>
      </c>
      <c r="F153" s="2" t="str">
        <f t="shared" ca="1" si="16"/>
        <v>31-60 dias</v>
      </c>
      <c r="G153" s="3">
        <f t="shared" si="17"/>
        <v>3</v>
      </c>
      <c r="H153" s="3">
        <f t="shared" si="18"/>
        <v>2026</v>
      </c>
      <c r="I153" s="3">
        <f t="shared" si="19"/>
        <v>284</v>
      </c>
      <c r="J153" s="3">
        <f t="shared" si="20"/>
        <v>194</v>
      </c>
      <c r="K153" s="5">
        <f t="shared" si="21"/>
        <v>0.68309859154929575</v>
      </c>
      <c r="L153" s="7">
        <f>1</f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AF153" s="1">
        <v>46126.557122569437</v>
      </c>
    </row>
    <row r="154" spans="1:32" ht="18" customHeight="1" x14ac:dyDescent="0.25">
      <c r="A154">
        <v>1333783207</v>
      </c>
      <c r="B154" t="s">
        <v>361</v>
      </c>
      <c r="C154" t="s">
        <v>7</v>
      </c>
      <c r="D154" s="1">
        <v>46122.629976782409</v>
      </c>
      <c r="E154" s="2">
        <f t="shared" ca="1" si="15"/>
        <v>11</v>
      </c>
      <c r="F154" s="2" t="str">
        <f t="shared" ca="1" si="16"/>
        <v>0-14 dias</v>
      </c>
      <c r="G154" s="3">
        <f t="shared" si="17"/>
        <v>4</v>
      </c>
      <c r="H154" s="3">
        <f t="shared" si="18"/>
        <v>2026</v>
      </c>
      <c r="I154" s="3">
        <f t="shared" si="19"/>
        <v>146</v>
      </c>
      <c r="J154" s="3">
        <f t="shared" si="20"/>
        <v>28</v>
      </c>
      <c r="K154" s="5">
        <f t="shared" si="21"/>
        <v>0.19178082191780821</v>
      </c>
      <c r="L154" s="7">
        <f>1</f>
        <v>1</v>
      </c>
      <c r="N154">
        <v>1</v>
      </c>
    </row>
    <row r="155" spans="1:32" ht="18" customHeight="1" x14ac:dyDescent="0.25">
      <c r="A155">
        <v>1327409365</v>
      </c>
      <c r="B155" t="s">
        <v>279</v>
      </c>
      <c r="C155" t="s">
        <v>5</v>
      </c>
      <c r="D155" s="1">
        <v>46111.919907650459</v>
      </c>
      <c r="E155" s="2">
        <f t="shared" ca="1" si="15"/>
        <v>22</v>
      </c>
      <c r="F155" s="2" t="str">
        <f t="shared" ca="1" si="16"/>
        <v>20-24 dias</v>
      </c>
      <c r="G155" s="3">
        <f t="shared" si="17"/>
        <v>3</v>
      </c>
      <c r="H155" s="3">
        <f t="shared" si="18"/>
        <v>2026</v>
      </c>
      <c r="I155" s="3">
        <f t="shared" si="19"/>
        <v>284</v>
      </c>
      <c r="J155" s="3">
        <f t="shared" si="20"/>
        <v>194</v>
      </c>
      <c r="K155" s="5">
        <f t="shared" si="21"/>
        <v>0.68309859154929575</v>
      </c>
      <c r="L155" s="7">
        <f>1</f>
        <v>1</v>
      </c>
      <c r="N155">
        <v>1</v>
      </c>
      <c r="AC155">
        <v>1</v>
      </c>
      <c r="AF155" s="1">
        <v>46126.567350833328</v>
      </c>
    </row>
    <row r="156" spans="1:32" ht="18" customHeight="1" x14ac:dyDescent="0.25">
      <c r="A156">
        <v>1307302325</v>
      </c>
      <c r="B156" t="s">
        <v>85</v>
      </c>
      <c r="C156" t="s">
        <v>5</v>
      </c>
      <c r="D156" s="1">
        <v>46083.795520509258</v>
      </c>
      <c r="E156" s="2">
        <f t="shared" ca="1" si="15"/>
        <v>50</v>
      </c>
      <c r="F156" s="2" t="str">
        <f t="shared" ca="1" si="16"/>
        <v>31-60 dias</v>
      </c>
      <c r="G156" s="3">
        <f t="shared" si="17"/>
        <v>3</v>
      </c>
      <c r="H156" s="3">
        <f t="shared" si="18"/>
        <v>2026</v>
      </c>
      <c r="I156" s="3">
        <f t="shared" si="19"/>
        <v>284</v>
      </c>
      <c r="J156" s="3">
        <f t="shared" si="20"/>
        <v>194</v>
      </c>
      <c r="K156" s="5">
        <f t="shared" si="21"/>
        <v>0.68309859154929575</v>
      </c>
      <c r="L156" s="7">
        <f>1</f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AF156" s="1">
        <v>46105.763981157397</v>
      </c>
    </row>
    <row r="157" spans="1:32" ht="18" customHeight="1" x14ac:dyDescent="0.25">
      <c r="A157">
        <v>1315991881</v>
      </c>
      <c r="B157" t="s">
        <v>86</v>
      </c>
      <c r="C157" t="s">
        <v>5</v>
      </c>
      <c r="D157" s="1">
        <v>46093.819410578697</v>
      </c>
      <c r="E157" s="2">
        <f t="shared" ca="1" si="15"/>
        <v>40</v>
      </c>
      <c r="F157" s="2" t="str">
        <f t="shared" ca="1" si="16"/>
        <v>31-60 dias</v>
      </c>
      <c r="G157" s="3">
        <f t="shared" si="17"/>
        <v>3</v>
      </c>
      <c r="H157" s="3">
        <f t="shared" si="18"/>
        <v>2026</v>
      </c>
      <c r="I157" s="3">
        <f t="shared" si="19"/>
        <v>284</v>
      </c>
      <c r="J157" s="3">
        <f t="shared" si="20"/>
        <v>194</v>
      </c>
      <c r="K157" s="5">
        <f t="shared" si="21"/>
        <v>0.68309859154929575</v>
      </c>
      <c r="L157" s="7">
        <f>1</f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AE157">
        <v>1</v>
      </c>
      <c r="AF157" s="1">
        <v>46093.820721377313</v>
      </c>
    </row>
    <row r="158" spans="1:32" ht="18" customHeight="1" x14ac:dyDescent="0.25">
      <c r="A158">
        <v>1306961901</v>
      </c>
      <c r="B158" t="s">
        <v>86</v>
      </c>
      <c r="C158" t="s">
        <v>5</v>
      </c>
      <c r="D158" s="1">
        <v>46083.506932025462</v>
      </c>
      <c r="E158" s="2">
        <f t="shared" ca="1" si="15"/>
        <v>50</v>
      </c>
      <c r="F158" s="2" t="str">
        <f t="shared" ca="1" si="16"/>
        <v>31-60 dias</v>
      </c>
      <c r="G158" s="3">
        <f t="shared" si="17"/>
        <v>3</v>
      </c>
      <c r="H158" s="3">
        <f t="shared" si="18"/>
        <v>2026</v>
      </c>
      <c r="I158" s="3">
        <f t="shared" si="19"/>
        <v>284</v>
      </c>
      <c r="J158" s="3">
        <f t="shared" si="20"/>
        <v>194</v>
      </c>
      <c r="K158" s="5">
        <f t="shared" si="21"/>
        <v>0.68309859154929575</v>
      </c>
      <c r="L158" s="7">
        <f>1</f>
        <v>1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AE158">
        <v>1</v>
      </c>
      <c r="AF158" s="1">
        <v>46098.556012326393</v>
      </c>
    </row>
    <row r="159" spans="1:32" ht="18" customHeight="1" x14ac:dyDescent="0.25">
      <c r="A159">
        <v>1308390665</v>
      </c>
      <c r="B159" t="s">
        <v>87</v>
      </c>
      <c r="C159" t="s">
        <v>5</v>
      </c>
      <c r="D159" s="1">
        <v>46084.794869305551</v>
      </c>
      <c r="E159" s="2">
        <f t="shared" ca="1" si="15"/>
        <v>49</v>
      </c>
      <c r="F159" s="2" t="str">
        <f t="shared" ca="1" si="16"/>
        <v>31-60 dias</v>
      </c>
      <c r="G159" s="3">
        <f t="shared" si="17"/>
        <v>3</v>
      </c>
      <c r="H159" s="3">
        <f t="shared" si="18"/>
        <v>2026</v>
      </c>
      <c r="I159" s="3">
        <f t="shared" si="19"/>
        <v>284</v>
      </c>
      <c r="J159" s="3">
        <f t="shared" si="20"/>
        <v>194</v>
      </c>
      <c r="K159" s="5">
        <f t="shared" si="21"/>
        <v>0.68309859154929575</v>
      </c>
      <c r="L159" s="7">
        <f>1</f>
        <v>1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AB159">
        <v>1</v>
      </c>
      <c r="AF159" s="1">
        <v>46105.794802581018</v>
      </c>
    </row>
    <row r="160" spans="1:32" ht="18" customHeight="1" x14ac:dyDescent="0.25">
      <c r="A160">
        <v>1307301587</v>
      </c>
      <c r="B160" t="s">
        <v>88</v>
      </c>
      <c r="C160" t="s">
        <v>5</v>
      </c>
      <c r="D160" s="1">
        <v>46083.795023402781</v>
      </c>
      <c r="E160" s="2">
        <f t="shared" ca="1" si="15"/>
        <v>50</v>
      </c>
      <c r="F160" s="2" t="str">
        <f t="shared" ca="1" si="16"/>
        <v>31-60 dias</v>
      </c>
      <c r="G160" s="3">
        <f t="shared" si="17"/>
        <v>3</v>
      </c>
      <c r="H160" s="3">
        <f t="shared" si="18"/>
        <v>2026</v>
      </c>
      <c r="I160" s="3">
        <f t="shared" si="19"/>
        <v>284</v>
      </c>
      <c r="J160" s="3">
        <f t="shared" si="20"/>
        <v>194</v>
      </c>
      <c r="K160" s="5">
        <f t="shared" si="21"/>
        <v>0.68309859154929575</v>
      </c>
      <c r="L160" s="7">
        <f>1</f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 t="s">
        <v>312</v>
      </c>
      <c r="AA160">
        <v>2</v>
      </c>
      <c r="AC160">
        <v>2</v>
      </c>
      <c r="AE160">
        <v>2</v>
      </c>
      <c r="AF160" s="1">
        <v>46115.609585428239</v>
      </c>
    </row>
    <row r="161" spans="1:32" ht="18" customHeight="1" x14ac:dyDescent="0.25">
      <c r="A161">
        <v>1323528572</v>
      </c>
      <c r="B161" t="s">
        <v>89</v>
      </c>
      <c r="C161" t="s">
        <v>5</v>
      </c>
      <c r="D161" s="1">
        <v>46105.795906874999</v>
      </c>
      <c r="E161" s="2">
        <f t="shared" ca="1" si="15"/>
        <v>28</v>
      </c>
      <c r="F161" s="2" t="str">
        <f t="shared" ca="1" si="16"/>
        <v>25-30 dias</v>
      </c>
      <c r="G161" s="3">
        <f t="shared" si="17"/>
        <v>3</v>
      </c>
      <c r="H161" s="3">
        <f t="shared" si="18"/>
        <v>2026</v>
      </c>
      <c r="I161" s="3">
        <f t="shared" si="19"/>
        <v>284</v>
      </c>
      <c r="J161" s="3">
        <f t="shared" si="20"/>
        <v>194</v>
      </c>
      <c r="K161" s="5">
        <f t="shared" si="21"/>
        <v>0.68309859154929575</v>
      </c>
      <c r="L161" s="7">
        <f>1</f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AE161">
        <v>1</v>
      </c>
      <c r="AF161" s="1">
        <v>46127.617600497688</v>
      </c>
    </row>
    <row r="162" spans="1:32" ht="18" customHeight="1" x14ac:dyDescent="0.25">
      <c r="A162">
        <v>1308390566</v>
      </c>
      <c r="B162" t="s">
        <v>90</v>
      </c>
      <c r="C162" t="s">
        <v>5</v>
      </c>
      <c r="D162" s="1">
        <v>46084.794799930547</v>
      </c>
      <c r="E162" s="2">
        <f t="shared" ca="1" si="15"/>
        <v>49</v>
      </c>
      <c r="F162" s="2" t="str">
        <f t="shared" ca="1" si="16"/>
        <v>31-60 dias</v>
      </c>
      <c r="G162" s="3">
        <f t="shared" si="17"/>
        <v>3</v>
      </c>
      <c r="H162" s="3">
        <f t="shared" si="18"/>
        <v>2026</v>
      </c>
      <c r="I162" s="3">
        <f t="shared" si="19"/>
        <v>284</v>
      </c>
      <c r="J162" s="3">
        <f t="shared" si="20"/>
        <v>194</v>
      </c>
      <c r="K162" s="5">
        <f t="shared" si="21"/>
        <v>0.68309859154929575</v>
      </c>
      <c r="L162" s="7">
        <f>1</f>
        <v>1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AB162">
        <v>2</v>
      </c>
      <c r="AF162" s="1">
        <v>46104.741540601863</v>
      </c>
    </row>
    <row r="163" spans="1:32" ht="18" customHeight="1" x14ac:dyDescent="0.25">
      <c r="A163">
        <v>1329551829</v>
      </c>
      <c r="B163" t="s">
        <v>90</v>
      </c>
      <c r="C163" t="s">
        <v>5</v>
      </c>
      <c r="D163" s="1">
        <v>46114.797009120382</v>
      </c>
      <c r="E163" s="2">
        <f t="shared" ca="1" si="15"/>
        <v>19</v>
      </c>
      <c r="F163" s="2" t="str">
        <f t="shared" ca="1" si="16"/>
        <v>15-19 dias</v>
      </c>
      <c r="G163" s="3">
        <f t="shared" si="17"/>
        <v>4</v>
      </c>
      <c r="H163" s="3">
        <f t="shared" si="18"/>
        <v>2026</v>
      </c>
      <c r="I163" s="3">
        <f t="shared" si="19"/>
        <v>146</v>
      </c>
      <c r="J163" s="3">
        <f t="shared" si="20"/>
        <v>28</v>
      </c>
      <c r="K163" s="5">
        <f t="shared" si="21"/>
        <v>0.19178082191780821</v>
      </c>
      <c r="L163" s="7">
        <f>1</f>
        <v>1</v>
      </c>
      <c r="M163">
        <v>2</v>
      </c>
      <c r="Y163">
        <v>2</v>
      </c>
      <c r="Z163" t="s">
        <v>312</v>
      </c>
      <c r="AA163">
        <v>2</v>
      </c>
      <c r="AB163">
        <v>2</v>
      </c>
      <c r="AE163">
        <v>2</v>
      </c>
      <c r="AF163" s="1">
        <v>46127.536033136566</v>
      </c>
    </row>
    <row r="164" spans="1:32" ht="18" customHeight="1" x14ac:dyDescent="0.25">
      <c r="A164">
        <v>1325884597</v>
      </c>
      <c r="B164" t="s">
        <v>91</v>
      </c>
      <c r="C164" t="s">
        <v>5</v>
      </c>
      <c r="D164" s="1">
        <v>46108.795262974541</v>
      </c>
      <c r="E164" s="2">
        <f t="shared" ca="1" si="15"/>
        <v>25</v>
      </c>
      <c r="F164" s="2" t="str">
        <f t="shared" ca="1" si="16"/>
        <v>25-30 dias</v>
      </c>
      <c r="G164" s="3">
        <f t="shared" si="17"/>
        <v>3</v>
      </c>
      <c r="H164" s="3">
        <f t="shared" si="18"/>
        <v>2026</v>
      </c>
      <c r="I164" s="3">
        <f t="shared" si="19"/>
        <v>284</v>
      </c>
      <c r="J164" s="3">
        <f t="shared" si="20"/>
        <v>194</v>
      </c>
      <c r="K164" s="5">
        <f t="shared" si="21"/>
        <v>0.68309859154929575</v>
      </c>
      <c r="L164" s="7">
        <f>1</f>
        <v>1</v>
      </c>
      <c r="Y164">
        <v>1</v>
      </c>
      <c r="AE164">
        <v>1</v>
      </c>
      <c r="AF164" s="1">
        <v>46127.620676516213</v>
      </c>
    </row>
    <row r="165" spans="1:32" ht="18" customHeight="1" x14ac:dyDescent="0.25">
      <c r="A165">
        <v>1320816677</v>
      </c>
      <c r="B165" t="s">
        <v>92</v>
      </c>
      <c r="C165" t="s">
        <v>21</v>
      </c>
      <c r="D165" s="1">
        <v>46100.920610462963</v>
      </c>
      <c r="E165" s="2">
        <f t="shared" ca="1" si="15"/>
        <v>33</v>
      </c>
      <c r="F165" s="2" t="str">
        <f t="shared" ca="1" si="16"/>
        <v>31-60 dias</v>
      </c>
      <c r="G165" s="3">
        <f t="shared" si="17"/>
        <v>3</v>
      </c>
      <c r="H165" s="3">
        <f t="shared" si="18"/>
        <v>2026</v>
      </c>
      <c r="I165" s="3">
        <f t="shared" si="19"/>
        <v>284</v>
      </c>
      <c r="J165" s="3">
        <f t="shared" si="20"/>
        <v>194</v>
      </c>
      <c r="K165" s="5">
        <f t="shared" si="21"/>
        <v>0.68309859154929575</v>
      </c>
      <c r="L165" s="7">
        <f>1</f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32" ht="18" customHeight="1" x14ac:dyDescent="0.25">
      <c r="A166">
        <v>1313159140</v>
      </c>
      <c r="B166" t="s">
        <v>93</v>
      </c>
      <c r="C166" t="s">
        <v>21</v>
      </c>
      <c r="D166" s="1">
        <v>46090.794300729169</v>
      </c>
      <c r="E166" s="2">
        <f t="shared" ca="1" si="15"/>
        <v>43</v>
      </c>
      <c r="F166" s="2" t="str">
        <f t="shared" ca="1" si="16"/>
        <v>31-60 dias</v>
      </c>
      <c r="G166" s="3">
        <f t="shared" si="17"/>
        <v>3</v>
      </c>
      <c r="H166" s="3">
        <f t="shared" si="18"/>
        <v>2026</v>
      </c>
      <c r="I166" s="3">
        <f t="shared" si="19"/>
        <v>284</v>
      </c>
      <c r="J166" s="3">
        <f t="shared" si="20"/>
        <v>194</v>
      </c>
      <c r="K166" s="5">
        <f t="shared" si="21"/>
        <v>0.68309859154929575</v>
      </c>
      <c r="L166" s="7">
        <f>1</f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32" ht="18" customHeight="1" x14ac:dyDescent="0.25">
      <c r="A167">
        <v>1319292301</v>
      </c>
      <c r="B167" t="s">
        <v>327</v>
      </c>
      <c r="C167" t="s">
        <v>242</v>
      </c>
      <c r="D167" s="1">
        <v>46098.796044664363</v>
      </c>
      <c r="E167" s="2">
        <f t="shared" ca="1" si="15"/>
        <v>35</v>
      </c>
      <c r="F167" s="2" t="str">
        <f t="shared" ca="1" si="16"/>
        <v>31-60 dias</v>
      </c>
      <c r="G167" s="3">
        <f t="shared" si="17"/>
        <v>3</v>
      </c>
      <c r="H167" s="3">
        <f t="shared" si="18"/>
        <v>2026</v>
      </c>
      <c r="I167" s="3">
        <f t="shared" si="19"/>
        <v>284</v>
      </c>
      <c r="J167" s="3">
        <f t="shared" si="20"/>
        <v>194</v>
      </c>
      <c r="K167" s="5">
        <f t="shared" si="21"/>
        <v>0.68309859154929575</v>
      </c>
      <c r="L167" s="7">
        <f>1</f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32" ht="18" customHeight="1" x14ac:dyDescent="0.25">
      <c r="A168">
        <v>1304258492</v>
      </c>
      <c r="B168" t="s">
        <v>94</v>
      </c>
      <c r="C168" t="s">
        <v>5</v>
      </c>
      <c r="D168" s="1">
        <v>46078.921125000001</v>
      </c>
      <c r="E168" s="2">
        <f t="shared" ca="1" si="15"/>
        <v>55</v>
      </c>
      <c r="F168" s="2" t="str">
        <f t="shared" ca="1" si="16"/>
        <v>31-60 dias</v>
      </c>
      <c r="G168" s="3">
        <f t="shared" si="17"/>
        <v>2</v>
      </c>
      <c r="H168" s="3">
        <f t="shared" si="18"/>
        <v>2026</v>
      </c>
      <c r="I168" s="3">
        <f t="shared" si="19"/>
        <v>17</v>
      </c>
      <c r="J168" s="3">
        <f t="shared" si="20"/>
        <v>11</v>
      </c>
      <c r="K168" s="5">
        <f t="shared" si="21"/>
        <v>0.6470588235294118</v>
      </c>
      <c r="L168" s="7">
        <f>1</f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AB168">
        <v>1</v>
      </c>
      <c r="AC168">
        <v>1</v>
      </c>
      <c r="AF168" s="1">
        <v>46126.610059120372</v>
      </c>
    </row>
    <row r="169" spans="1:32" ht="18" customHeight="1" x14ac:dyDescent="0.25">
      <c r="A169">
        <v>1327282456</v>
      </c>
      <c r="B169" t="s">
        <v>280</v>
      </c>
      <c r="C169" t="s">
        <v>242</v>
      </c>
      <c r="D169" s="1">
        <v>46111.795717685192</v>
      </c>
      <c r="E169" s="2">
        <f t="shared" ca="1" si="15"/>
        <v>22</v>
      </c>
      <c r="F169" s="2" t="str">
        <f t="shared" ca="1" si="16"/>
        <v>20-24 dias</v>
      </c>
      <c r="G169" s="3">
        <f t="shared" si="17"/>
        <v>3</v>
      </c>
      <c r="H169" s="3">
        <f t="shared" si="18"/>
        <v>2026</v>
      </c>
      <c r="I169" s="3">
        <f t="shared" si="19"/>
        <v>284</v>
      </c>
      <c r="J169" s="3">
        <f t="shared" si="20"/>
        <v>194</v>
      </c>
      <c r="K169" s="5">
        <f t="shared" si="21"/>
        <v>0.68309859154929575</v>
      </c>
      <c r="L169" s="7">
        <f>1</f>
        <v>1</v>
      </c>
      <c r="Y169">
        <v>1</v>
      </c>
      <c r="Z169" t="s">
        <v>312</v>
      </c>
      <c r="AA169">
        <v>1</v>
      </c>
      <c r="AE169">
        <v>1</v>
      </c>
    </row>
    <row r="170" spans="1:32" ht="18" customHeight="1" x14ac:dyDescent="0.25">
      <c r="A170">
        <v>1307007151</v>
      </c>
      <c r="B170" t="s">
        <v>95</v>
      </c>
      <c r="C170" t="s">
        <v>11</v>
      </c>
      <c r="D170" s="1">
        <v>46083.543422187497</v>
      </c>
      <c r="E170" s="2">
        <f t="shared" ca="1" si="15"/>
        <v>50</v>
      </c>
      <c r="F170" s="2" t="str">
        <f t="shared" ca="1" si="16"/>
        <v>31-60 dias</v>
      </c>
      <c r="G170" s="3">
        <f t="shared" si="17"/>
        <v>3</v>
      </c>
      <c r="H170" s="3">
        <f t="shared" si="18"/>
        <v>2026</v>
      </c>
      <c r="I170" s="3">
        <f t="shared" si="19"/>
        <v>284</v>
      </c>
      <c r="J170" s="3">
        <f t="shared" si="20"/>
        <v>194</v>
      </c>
      <c r="K170" s="5">
        <f t="shared" si="21"/>
        <v>0.68309859154929575</v>
      </c>
      <c r="L170" s="7">
        <f>1</f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32" ht="18" customHeight="1" x14ac:dyDescent="0.25">
      <c r="A171">
        <v>1321367055</v>
      </c>
      <c r="B171" t="s">
        <v>96</v>
      </c>
      <c r="C171" t="s">
        <v>11</v>
      </c>
      <c r="D171" s="1">
        <v>46101.793300092591</v>
      </c>
      <c r="E171" s="2">
        <f t="shared" ca="1" si="15"/>
        <v>32</v>
      </c>
      <c r="F171" s="2" t="str">
        <f t="shared" ca="1" si="16"/>
        <v>31-60 dias</v>
      </c>
      <c r="G171" s="3">
        <f t="shared" si="17"/>
        <v>3</v>
      </c>
      <c r="H171" s="3">
        <f t="shared" si="18"/>
        <v>2026</v>
      </c>
      <c r="I171" s="3">
        <f t="shared" si="19"/>
        <v>284</v>
      </c>
      <c r="J171" s="3">
        <f t="shared" si="20"/>
        <v>194</v>
      </c>
      <c r="K171" s="5">
        <f t="shared" si="21"/>
        <v>0.68309859154929575</v>
      </c>
      <c r="L171" s="7">
        <f>1</f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 spans="1:32" ht="18" customHeight="1" x14ac:dyDescent="0.25">
      <c r="A172">
        <v>1304763615</v>
      </c>
      <c r="B172" t="s">
        <v>97</v>
      </c>
      <c r="C172" t="s">
        <v>5</v>
      </c>
      <c r="D172" s="1">
        <v>46079.79516606481</v>
      </c>
      <c r="E172" s="2">
        <f t="shared" ca="1" si="15"/>
        <v>54</v>
      </c>
      <c r="F172" s="2" t="str">
        <f t="shared" ca="1" si="16"/>
        <v>31-60 dias</v>
      </c>
      <c r="G172" s="3">
        <f t="shared" si="17"/>
        <v>2</v>
      </c>
      <c r="H172" s="3">
        <f t="shared" si="18"/>
        <v>2026</v>
      </c>
      <c r="I172" s="3">
        <f t="shared" si="19"/>
        <v>17</v>
      </c>
      <c r="J172" s="3">
        <f t="shared" si="20"/>
        <v>11</v>
      </c>
      <c r="K172" s="5">
        <f t="shared" si="21"/>
        <v>0.6470588235294118</v>
      </c>
      <c r="L172" s="7">
        <f>1</f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 t="s">
        <v>312</v>
      </c>
      <c r="AA172">
        <v>1</v>
      </c>
      <c r="AF172" s="1">
        <v>46126.742619849538</v>
      </c>
    </row>
    <row r="173" spans="1:32" ht="18" customHeight="1" x14ac:dyDescent="0.25">
      <c r="A173">
        <v>1333929059</v>
      </c>
      <c r="B173" t="s">
        <v>362</v>
      </c>
      <c r="C173" t="s">
        <v>11</v>
      </c>
      <c r="D173" s="1">
        <v>46122.795751296297</v>
      </c>
      <c r="E173" s="2">
        <f t="shared" ca="1" si="15"/>
        <v>11</v>
      </c>
      <c r="F173" s="2" t="str">
        <f t="shared" ca="1" si="16"/>
        <v>0-14 dias</v>
      </c>
      <c r="G173" s="3">
        <f t="shared" si="17"/>
        <v>4</v>
      </c>
      <c r="H173" s="3">
        <f t="shared" si="18"/>
        <v>2026</v>
      </c>
      <c r="I173" s="3">
        <f t="shared" si="19"/>
        <v>146</v>
      </c>
      <c r="J173" s="3">
        <f t="shared" si="20"/>
        <v>28</v>
      </c>
      <c r="K173" s="5">
        <f t="shared" si="21"/>
        <v>0.19178082191780821</v>
      </c>
      <c r="L173" s="7">
        <f>1</f>
        <v>1</v>
      </c>
    </row>
    <row r="174" spans="1:32" ht="18" customHeight="1" x14ac:dyDescent="0.25">
      <c r="A174">
        <v>1329649045</v>
      </c>
      <c r="B174" t="s">
        <v>328</v>
      </c>
      <c r="C174" t="s">
        <v>5</v>
      </c>
      <c r="D174" s="1">
        <v>46114.847879791669</v>
      </c>
      <c r="E174" s="2">
        <f t="shared" ca="1" si="15"/>
        <v>19</v>
      </c>
      <c r="F174" s="2" t="str">
        <f t="shared" ca="1" si="16"/>
        <v>15-19 dias</v>
      </c>
      <c r="G174" s="3">
        <f t="shared" si="17"/>
        <v>4</v>
      </c>
      <c r="H174" s="3">
        <f t="shared" si="18"/>
        <v>2026</v>
      </c>
      <c r="I174" s="3">
        <f t="shared" si="19"/>
        <v>146</v>
      </c>
      <c r="J174" s="3">
        <f t="shared" si="20"/>
        <v>28</v>
      </c>
      <c r="K174" s="5">
        <f t="shared" si="21"/>
        <v>0.19178082191780821</v>
      </c>
      <c r="L174" s="7">
        <f>1</f>
        <v>1</v>
      </c>
      <c r="Y174">
        <v>1</v>
      </c>
      <c r="AF174" s="1">
        <v>46119.54529613426</v>
      </c>
    </row>
    <row r="175" spans="1:32" ht="18" customHeight="1" x14ac:dyDescent="0.25">
      <c r="A175">
        <v>1307302715</v>
      </c>
      <c r="B175" t="s">
        <v>98</v>
      </c>
      <c r="C175" t="s">
        <v>5</v>
      </c>
      <c r="D175" s="1">
        <v>46083.795776180559</v>
      </c>
      <c r="E175" s="2">
        <f t="shared" ca="1" si="15"/>
        <v>50</v>
      </c>
      <c r="F175" s="2" t="str">
        <f t="shared" ca="1" si="16"/>
        <v>31-60 dias</v>
      </c>
      <c r="G175" s="3">
        <f t="shared" si="17"/>
        <v>3</v>
      </c>
      <c r="H175" s="3">
        <f t="shared" si="18"/>
        <v>2026</v>
      </c>
      <c r="I175" s="3">
        <f t="shared" si="19"/>
        <v>284</v>
      </c>
      <c r="J175" s="3">
        <f t="shared" si="20"/>
        <v>194</v>
      </c>
      <c r="K175" s="5">
        <f t="shared" si="21"/>
        <v>0.68309859154929575</v>
      </c>
      <c r="L175" s="7">
        <f>1</f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AB175">
        <v>1</v>
      </c>
      <c r="AF175" s="1">
        <v>46108.744403564822</v>
      </c>
    </row>
    <row r="176" spans="1:32" ht="18" customHeight="1" x14ac:dyDescent="0.25">
      <c r="A176">
        <v>1313161337</v>
      </c>
      <c r="B176" t="s">
        <v>99</v>
      </c>
      <c r="C176" t="s">
        <v>5</v>
      </c>
      <c r="D176" s="1">
        <v>46090.79617721065</v>
      </c>
      <c r="E176" s="2">
        <f t="shared" ca="1" si="15"/>
        <v>43</v>
      </c>
      <c r="F176" s="2" t="str">
        <f t="shared" ca="1" si="16"/>
        <v>31-60 dias</v>
      </c>
      <c r="G176" s="3">
        <f t="shared" si="17"/>
        <v>3</v>
      </c>
      <c r="H176" s="3">
        <f t="shared" si="18"/>
        <v>2026</v>
      </c>
      <c r="I176" s="3">
        <f t="shared" si="19"/>
        <v>284</v>
      </c>
      <c r="J176" s="3">
        <f t="shared" si="20"/>
        <v>194</v>
      </c>
      <c r="K176" s="5">
        <f t="shared" si="21"/>
        <v>0.68309859154929575</v>
      </c>
      <c r="L176" s="7">
        <f>1</f>
        <v>1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AB176">
        <v>1</v>
      </c>
      <c r="AF176" s="1">
        <v>46104.751804224543</v>
      </c>
    </row>
    <row r="177" spans="1:32" ht="18" customHeight="1" x14ac:dyDescent="0.25">
      <c r="A177">
        <v>1336131541</v>
      </c>
      <c r="B177" t="s">
        <v>426</v>
      </c>
      <c r="C177" t="s">
        <v>11</v>
      </c>
      <c r="D177" s="1">
        <v>46126.796990451388</v>
      </c>
      <c r="E177" s="2">
        <f t="shared" ca="1" si="15"/>
        <v>7</v>
      </c>
      <c r="F177" s="2" t="str">
        <f t="shared" ca="1" si="16"/>
        <v>0-14 dias</v>
      </c>
      <c r="G177" s="3">
        <f t="shared" si="17"/>
        <v>4</v>
      </c>
      <c r="H177" s="3">
        <f t="shared" si="18"/>
        <v>2026</v>
      </c>
      <c r="I177" s="3">
        <f t="shared" si="19"/>
        <v>146</v>
      </c>
      <c r="J177" s="3">
        <f t="shared" si="20"/>
        <v>28</v>
      </c>
      <c r="K177" s="5">
        <f t="shared" si="21"/>
        <v>0.19178082191780821</v>
      </c>
      <c r="L177" s="7">
        <f>1</f>
        <v>1</v>
      </c>
      <c r="N177">
        <v>1</v>
      </c>
    </row>
    <row r="178" spans="1:32" ht="18" customHeight="1" x14ac:dyDescent="0.25">
      <c r="A178">
        <v>1322454929</v>
      </c>
      <c r="B178" t="s">
        <v>100</v>
      </c>
      <c r="C178" t="s">
        <v>5</v>
      </c>
      <c r="D178" s="1">
        <v>46104.532923275459</v>
      </c>
      <c r="E178" s="2">
        <f t="shared" ca="1" si="15"/>
        <v>29</v>
      </c>
      <c r="F178" s="2" t="str">
        <f t="shared" ca="1" si="16"/>
        <v>25-30 dias</v>
      </c>
      <c r="G178" s="3">
        <f t="shared" si="17"/>
        <v>3</v>
      </c>
      <c r="H178" s="3">
        <f t="shared" si="18"/>
        <v>2026</v>
      </c>
      <c r="I178" s="3">
        <f t="shared" si="19"/>
        <v>284</v>
      </c>
      <c r="J178" s="3">
        <f t="shared" si="20"/>
        <v>194</v>
      </c>
      <c r="K178" s="5">
        <f t="shared" si="21"/>
        <v>0.68309859154929575</v>
      </c>
      <c r="L178" s="7">
        <f>1</f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</v>
      </c>
      <c r="Y178">
        <v>2</v>
      </c>
      <c r="AE178">
        <v>2</v>
      </c>
      <c r="AF178" s="1">
        <v>46118.542971874987</v>
      </c>
    </row>
    <row r="179" spans="1:32" ht="18" customHeight="1" x14ac:dyDescent="0.25">
      <c r="A179">
        <v>1333385263</v>
      </c>
      <c r="B179" t="s">
        <v>363</v>
      </c>
      <c r="C179" t="s">
        <v>7</v>
      </c>
      <c r="D179" s="1">
        <v>46121.795224560177</v>
      </c>
      <c r="E179" s="2">
        <f t="shared" ca="1" si="15"/>
        <v>12</v>
      </c>
      <c r="F179" s="2" t="str">
        <f t="shared" ca="1" si="16"/>
        <v>0-14 dias</v>
      </c>
      <c r="G179" s="3">
        <f t="shared" si="17"/>
        <v>4</v>
      </c>
      <c r="H179" s="3">
        <f t="shared" si="18"/>
        <v>2026</v>
      </c>
      <c r="I179" s="3">
        <f t="shared" si="19"/>
        <v>146</v>
      </c>
      <c r="J179" s="3">
        <f t="shared" si="20"/>
        <v>28</v>
      </c>
      <c r="K179" s="5">
        <f t="shared" si="21"/>
        <v>0.19178082191780821</v>
      </c>
      <c r="L179" s="7">
        <f>1</f>
        <v>1</v>
      </c>
      <c r="P179">
        <v>1</v>
      </c>
      <c r="Q179">
        <v>1</v>
      </c>
    </row>
    <row r="180" spans="1:32" ht="18" customHeight="1" x14ac:dyDescent="0.25">
      <c r="A180">
        <v>1328139695</v>
      </c>
      <c r="B180" t="s">
        <v>329</v>
      </c>
      <c r="C180" t="s">
        <v>5</v>
      </c>
      <c r="D180" s="1">
        <v>46112.9218277662</v>
      </c>
      <c r="E180" s="2">
        <f t="shared" ca="1" si="15"/>
        <v>21</v>
      </c>
      <c r="F180" s="2" t="str">
        <f t="shared" ca="1" si="16"/>
        <v>20-24 dias</v>
      </c>
      <c r="G180" s="3">
        <f t="shared" si="17"/>
        <v>3</v>
      </c>
      <c r="H180" s="3">
        <f t="shared" si="18"/>
        <v>2026</v>
      </c>
      <c r="I180" s="3">
        <f t="shared" si="19"/>
        <v>284</v>
      </c>
      <c r="J180" s="3">
        <f t="shared" si="20"/>
        <v>194</v>
      </c>
      <c r="K180" s="5">
        <f t="shared" si="21"/>
        <v>0.68309859154929575</v>
      </c>
      <c r="L180" s="7">
        <f>1</f>
        <v>1</v>
      </c>
      <c r="Y180">
        <v>2</v>
      </c>
      <c r="AE180">
        <v>2</v>
      </c>
      <c r="AF180" s="1">
        <v>46126.849375555546</v>
      </c>
    </row>
    <row r="181" spans="1:32" ht="18" customHeight="1" x14ac:dyDescent="0.25">
      <c r="A181">
        <v>1333385409</v>
      </c>
      <c r="B181" t="s">
        <v>329</v>
      </c>
      <c r="C181" t="s">
        <v>7</v>
      </c>
      <c r="D181" s="1">
        <v>46121.79534074074</v>
      </c>
      <c r="E181" s="2">
        <f t="shared" ca="1" si="15"/>
        <v>12</v>
      </c>
      <c r="F181" s="2" t="str">
        <f t="shared" ca="1" si="16"/>
        <v>0-14 dias</v>
      </c>
      <c r="G181" s="3">
        <f t="shared" si="17"/>
        <v>4</v>
      </c>
      <c r="H181" s="3">
        <f t="shared" si="18"/>
        <v>2026</v>
      </c>
      <c r="I181" s="3">
        <f t="shared" si="19"/>
        <v>146</v>
      </c>
      <c r="J181" s="3">
        <f t="shared" si="20"/>
        <v>28</v>
      </c>
      <c r="K181" s="5">
        <f t="shared" si="21"/>
        <v>0.19178082191780821</v>
      </c>
      <c r="L181" s="7">
        <f>1</f>
        <v>1</v>
      </c>
      <c r="N181">
        <v>1</v>
      </c>
    </row>
    <row r="182" spans="1:32" ht="18" customHeight="1" x14ac:dyDescent="0.25">
      <c r="A182">
        <v>1327409206</v>
      </c>
      <c r="B182" t="s">
        <v>281</v>
      </c>
      <c r="C182" t="s">
        <v>5</v>
      </c>
      <c r="D182" s="1">
        <v>46111.919654398152</v>
      </c>
      <c r="E182" s="2">
        <f t="shared" ca="1" si="15"/>
        <v>22</v>
      </c>
      <c r="F182" s="2" t="str">
        <f t="shared" ca="1" si="16"/>
        <v>20-24 dias</v>
      </c>
      <c r="G182" s="3">
        <f t="shared" si="17"/>
        <v>3</v>
      </c>
      <c r="H182" s="3">
        <f t="shared" si="18"/>
        <v>2026</v>
      </c>
      <c r="I182" s="3">
        <f t="shared" si="19"/>
        <v>284</v>
      </c>
      <c r="J182" s="3">
        <f t="shared" si="20"/>
        <v>194</v>
      </c>
      <c r="K182" s="5">
        <f t="shared" si="21"/>
        <v>0.68309859154929575</v>
      </c>
      <c r="L182" s="7">
        <f>1</f>
        <v>1</v>
      </c>
      <c r="Y182">
        <v>1</v>
      </c>
      <c r="Z182" t="s">
        <v>312</v>
      </c>
      <c r="AA182">
        <v>1</v>
      </c>
      <c r="AF182" s="1">
        <v>46126.842778113423</v>
      </c>
    </row>
    <row r="183" spans="1:32" ht="18" customHeight="1" x14ac:dyDescent="0.25">
      <c r="A183">
        <v>1329165923</v>
      </c>
      <c r="B183" t="s">
        <v>427</v>
      </c>
      <c r="C183" t="s">
        <v>21</v>
      </c>
      <c r="D183" s="1">
        <v>46114.509810104173</v>
      </c>
      <c r="E183" s="2">
        <f t="shared" ca="1" si="15"/>
        <v>19</v>
      </c>
      <c r="F183" s="2" t="str">
        <f t="shared" ca="1" si="16"/>
        <v>15-19 dias</v>
      </c>
      <c r="G183" s="3">
        <f t="shared" si="17"/>
        <v>4</v>
      </c>
      <c r="H183" s="3">
        <f t="shared" si="18"/>
        <v>2026</v>
      </c>
      <c r="I183" s="3">
        <f t="shared" si="19"/>
        <v>146</v>
      </c>
      <c r="J183" s="3">
        <f t="shared" si="20"/>
        <v>28</v>
      </c>
      <c r="K183" s="5">
        <f t="shared" si="21"/>
        <v>0.19178082191780821</v>
      </c>
      <c r="L183" s="7">
        <f>1</f>
        <v>1</v>
      </c>
      <c r="O183">
        <v>1</v>
      </c>
    </row>
    <row r="184" spans="1:32" ht="18" customHeight="1" x14ac:dyDescent="0.25">
      <c r="A184">
        <v>1305499115</v>
      </c>
      <c r="B184" t="s">
        <v>101</v>
      </c>
      <c r="C184" t="s">
        <v>5</v>
      </c>
      <c r="D184" s="1">
        <v>46080.794652928242</v>
      </c>
      <c r="E184" s="2">
        <f t="shared" ca="1" si="15"/>
        <v>53</v>
      </c>
      <c r="F184" s="2" t="str">
        <f t="shared" ca="1" si="16"/>
        <v>31-60 dias</v>
      </c>
      <c r="G184" s="3">
        <f t="shared" si="17"/>
        <v>2</v>
      </c>
      <c r="H184" s="3">
        <f t="shared" si="18"/>
        <v>2026</v>
      </c>
      <c r="I184" s="3">
        <f t="shared" si="19"/>
        <v>17</v>
      </c>
      <c r="J184" s="3">
        <f t="shared" si="20"/>
        <v>11</v>
      </c>
      <c r="K184" s="5">
        <f t="shared" si="21"/>
        <v>0.6470588235294118</v>
      </c>
      <c r="L184" s="7">
        <f>1</f>
        <v>1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AC184">
        <v>2</v>
      </c>
      <c r="AF184" s="1">
        <v>46098.595740300923</v>
      </c>
    </row>
    <row r="185" spans="1:32" ht="18" customHeight="1" x14ac:dyDescent="0.25">
      <c r="A185">
        <v>1305653183</v>
      </c>
      <c r="B185" t="s">
        <v>102</v>
      </c>
      <c r="C185" t="s">
        <v>5</v>
      </c>
      <c r="D185" s="1">
        <v>46080.918448703698</v>
      </c>
      <c r="E185" s="2">
        <f t="shared" ca="1" si="15"/>
        <v>53</v>
      </c>
      <c r="F185" s="2" t="str">
        <f t="shared" ca="1" si="16"/>
        <v>31-60 dias</v>
      </c>
      <c r="G185" s="3">
        <f t="shared" si="17"/>
        <v>2</v>
      </c>
      <c r="H185" s="3">
        <f t="shared" si="18"/>
        <v>2026</v>
      </c>
      <c r="I185" s="3">
        <f t="shared" si="19"/>
        <v>17</v>
      </c>
      <c r="J185" s="3">
        <f t="shared" si="20"/>
        <v>11</v>
      </c>
      <c r="K185" s="5">
        <f t="shared" si="21"/>
        <v>0.6470588235294118</v>
      </c>
      <c r="L185" s="7">
        <f>1</f>
        <v>1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AE185">
        <v>1</v>
      </c>
      <c r="AF185" s="1">
        <v>46126.652590520833</v>
      </c>
    </row>
    <row r="186" spans="1:32" ht="18" customHeight="1" x14ac:dyDescent="0.25">
      <c r="A186">
        <v>1310165079</v>
      </c>
      <c r="B186" t="s">
        <v>103</v>
      </c>
      <c r="C186" t="s">
        <v>11</v>
      </c>
      <c r="D186" s="1">
        <v>46086.919960671286</v>
      </c>
      <c r="E186" s="2">
        <f t="shared" ca="1" si="15"/>
        <v>47</v>
      </c>
      <c r="F186" s="2" t="str">
        <f t="shared" ca="1" si="16"/>
        <v>31-60 dias</v>
      </c>
      <c r="G186" s="3">
        <f t="shared" si="17"/>
        <v>3</v>
      </c>
      <c r="H186" s="3">
        <f t="shared" si="18"/>
        <v>2026</v>
      </c>
      <c r="I186" s="3">
        <f t="shared" si="19"/>
        <v>284</v>
      </c>
      <c r="J186" s="3">
        <f t="shared" si="20"/>
        <v>194</v>
      </c>
      <c r="K186" s="5">
        <f t="shared" si="21"/>
        <v>0.68309859154929575</v>
      </c>
      <c r="L186" s="7">
        <f>1</f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32" ht="18" customHeight="1" x14ac:dyDescent="0.25">
      <c r="A187">
        <v>1332238519</v>
      </c>
      <c r="B187" t="s">
        <v>364</v>
      </c>
      <c r="C187" t="s">
        <v>5</v>
      </c>
      <c r="D187" s="1">
        <v>46119.796154027783</v>
      </c>
      <c r="E187" s="2">
        <f t="shared" ca="1" si="15"/>
        <v>14</v>
      </c>
      <c r="F187" s="2" t="str">
        <f t="shared" ca="1" si="16"/>
        <v>0-14 dias</v>
      </c>
      <c r="G187" s="3">
        <f t="shared" si="17"/>
        <v>4</v>
      </c>
      <c r="H187" s="3">
        <f t="shared" si="18"/>
        <v>2026</v>
      </c>
      <c r="I187" s="3">
        <f t="shared" si="19"/>
        <v>146</v>
      </c>
      <c r="J187" s="3">
        <f t="shared" si="20"/>
        <v>28</v>
      </c>
      <c r="K187" s="5">
        <f t="shared" si="21"/>
        <v>0.19178082191780821</v>
      </c>
      <c r="L187" s="7">
        <f>1</f>
        <v>1</v>
      </c>
      <c r="AF187" s="1">
        <v>46127.525120034727</v>
      </c>
    </row>
    <row r="188" spans="1:32" ht="18" customHeight="1" x14ac:dyDescent="0.25">
      <c r="A188">
        <v>1332237767</v>
      </c>
      <c r="B188" t="s">
        <v>365</v>
      </c>
      <c r="C188" t="s">
        <v>7</v>
      </c>
      <c r="D188" s="1">
        <v>46119.795560752318</v>
      </c>
      <c r="E188" s="2">
        <f t="shared" ca="1" si="15"/>
        <v>14</v>
      </c>
      <c r="F188" s="2" t="str">
        <f t="shared" ca="1" si="16"/>
        <v>0-14 dias</v>
      </c>
      <c r="G188" s="3">
        <f t="shared" si="17"/>
        <v>4</v>
      </c>
      <c r="H188" s="3">
        <f t="shared" si="18"/>
        <v>2026</v>
      </c>
      <c r="I188" s="3">
        <f t="shared" si="19"/>
        <v>146</v>
      </c>
      <c r="J188" s="3">
        <f t="shared" si="20"/>
        <v>28</v>
      </c>
      <c r="K188" s="5">
        <f t="shared" si="21"/>
        <v>0.19178082191780821</v>
      </c>
      <c r="L188" s="7">
        <f>1</f>
        <v>1</v>
      </c>
    </row>
    <row r="189" spans="1:32" ht="18" customHeight="1" x14ac:dyDescent="0.25">
      <c r="A189">
        <v>1321370889</v>
      </c>
      <c r="B189" t="s">
        <v>104</v>
      </c>
      <c r="C189" t="s">
        <v>5</v>
      </c>
      <c r="D189" s="1">
        <v>46101.79605365741</v>
      </c>
      <c r="E189" s="2">
        <f t="shared" ca="1" si="15"/>
        <v>32</v>
      </c>
      <c r="F189" s="2" t="str">
        <f t="shared" ca="1" si="16"/>
        <v>31-60 dias</v>
      </c>
      <c r="G189" s="3">
        <f t="shared" si="17"/>
        <v>3</v>
      </c>
      <c r="H189" s="3">
        <f t="shared" si="18"/>
        <v>2026</v>
      </c>
      <c r="I189" s="3">
        <f t="shared" si="19"/>
        <v>284</v>
      </c>
      <c r="J189" s="3">
        <f t="shared" si="20"/>
        <v>194</v>
      </c>
      <c r="K189" s="5">
        <f t="shared" si="21"/>
        <v>0.68309859154929575</v>
      </c>
      <c r="L189" s="7">
        <f>1</f>
        <v>1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</v>
      </c>
      <c r="AB189">
        <v>2</v>
      </c>
      <c r="AE189">
        <v>2</v>
      </c>
      <c r="AF189" s="1">
        <v>46115.528084062513</v>
      </c>
    </row>
    <row r="190" spans="1:32" ht="18" customHeight="1" x14ac:dyDescent="0.25">
      <c r="A190">
        <v>1335309523</v>
      </c>
      <c r="B190" t="s">
        <v>428</v>
      </c>
      <c r="C190" t="s">
        <v>7</v>
      </c>
      <c r="D190" s="1">
        <v>46125.797055219911</v>
      </c>
      <c r="E190" s="2">
        <f t="shared" ca="1" si="15"/>
        <v>8</v>
      </c>
      <c r="F190" s="2" t="str">
        <f t="shared" ca="1" si="16"/>
        <v>0-14 dias</v>
      </c>
      <c r="G190" s="3">
        <f t="shared" si="17"/>
        <v>4</v>
      </c>
      <c r="H190" s="3">
        <f t="shared" si="18"/>
        <v>2026</v>
      </c>
      <c r="I190" s="3">
        <f t="shared" si="19"/>
        <v>146</v>
      </c>
      <c r="J190" s="3">
        <f t="shared" si="20"/>
        <v>28</v>
      </c>
      <c r="K190" s="5">
        <f t="shared" si="21"/>
        <v>0.19178082191780821</v>
      </c>
      <c r="L190" s="7">
        <f>1</f>
        <v>1</v>
      </c>
      <c r="N190">
        <v>2</v>
      </c>
      <c r="P190">
        <v>1</v>
      </c>
    </row>
    <row r="191" spans="1:32" ht="18" customHeight="1" x14ac:dyDescent="0.25">
      <c r="A191">
        <v>1313955070</v>
      </c>
      <c r="B191" t="s">
        <v>105</v>
      </c>
      <c r="C191" t="s">
        <v>5</v>
      </c>
      <c r="D191" s="1">
        <v>46091.79601770833</v>
      </c>
      <c r="E191" s="2">
        <f t="shared" ca="1" si="15"/>
        <v>42</v>
      </c>
      <c r="F191" s="2" t="str">
        <f t="shared" ca="1" si="16"/>
        <v>31-60 dias</v>
      </c>
      <c r="G191" s="3">
        <f t="shared" si="17"/>
        <v>3</v>
      </c>
      <c r="H191" s="3">
        <f t="shared" si="18"/>
        <v>2026</v>
      </c>
      <c r="I191" s="3">
        <f t="shared" si="19"/>
        <v>284</v>
      </c>
      <c r="J191" s="3">
        <f t="shared" si="20"/>
        <v>194</v>
      </c>
      <c r="K191" s="5">
        <f t="shared" si="21"/>
        <v>0.68309859154929575</v>
      </c>
      <c r="L191" s="7">
        <f>1</f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AF191" s="1">
        <v>46105.772615057867</v>
      </c>
    </row>
    <row r="192" spans="1:32" ht="18" customHeight="1" x14ac:dyDescent="0.25">
      <c r="A192">
        <v>1318537914</v>
      </c>
      <c r="B192" t="s">
        <v>106</v>
      </c>
      <c r="C192" t="s">
        <v>5</v>
      </c>
      <c r="D192" s="1">
        <v>46097.794923136578</v>
      </c>
      <c r="E192" s="2">
        <f t="shared" ca="1" si="15"/>
        <v>36</v>
      </c>
      <c r="F192" s="2" t="str">
        <f t="shared" ca="1" si="16"/>
        <v>31-60 dias</v>
      </c>
      <c r="G192" s="3">
        <f t="shared" si="17"/>
        <v>3</v>
      </c>
      <c r="H192" s="3">
        <f t="shared" si="18"/>
        <v>2026</v>
      </c>
      <c r="I192" s="3">
        <f t="shared" si="19"/>
        <v>284</v>
      </c>
      <c r="J192" s="3">
        <f t="shared" si="20"/>
        <v>194</v>
      </c>
      <c r="K192" s="5">
        <f t="shared" si="21"/>
        <v>0.68309859154929575</v>
      </c>
      <c r="L192" s="7">
        <f>1</f>
        <v>1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AC192">
        <v>2</v>
      </c>
      <c r="AE192">
        <v>2</v>
      </c>
      <c r="AF192" s="1">
        <v>46115.652199328702</v>
      </c>
    </row>
    <row r="193" spans="1:32" ht="18" customHeight="1" x14ac:dyDescent="0.25">
      <c r="A193">
        <v>1309288170</v>
      </c>
      <c r="B193" t="s">
        <v>107</v>
      </c>
      <c r="C193" t="s">
        <v>11</v>
      </c>
      <c r="D193" s="1">
        <v>46085.79492133102</v>
      </c>
      <c r="E193" s="2">
        <f t="shared" ca="1" si="15"/>
        <v>48</v>
      </c>
      <c r="F193" s="2" t="str">
        <f t="shared" ca="1" si="16"/>
        <v>31-60 dias</v>
      </c>
      <c r="G193" s="3">
        <f t="shared" si="17"/>
        <v>3</v>
      </c>
      <c r="H193" s="3">
        <f t="shared" si="18"/>
        <v>2026</v>
      </c>
      <c r="I193" s="3">
        <f t="shared" si="19"/>
        <v>284</v>
      </c>
      <c r="J193" s="3">
        <f t="shared" si="20"/>
        <v>194</v>
      </c>
      <c r="K193" s="5">
        <f t="shared" si="21"/>
        <v>0.68309859154929575</v>
      </c>
      <c r="L193" s="7">
        <f>1</f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32" ht="18" customHeight="1" x14ac:dyDescent="0.25">
      <c r="A194">
        <v>1326014549</v>
      </c>
      <c r="B194" t="s">
        <v>108</v>
      </c>
      <c r="C194" t="s">
        <v>21</v>
      </c>
      <c r="D194" s="1">
        <v>46108.919441134261</v>
      </c>
      <c r="E194" s="2">
        <f t="shared" ca="1" si="15"/>
        <v>25</v>
      </c>
      <c r="F194" s="2" t="str">
        <f t="shared" ca="1" si="16"/>
        <v>25-30 dias</v>
      </c>
      <c r="G194" s="3">
        <f t="shared" si="17"/>
        <v>3</v>
      </c>
      <c r="H194" s="3">
        <f t="shared" si="18"/>
        <v>2026</v>
      </c>
      <c r="I194" s="3">
        <f t="shared" si="19"/>
        <v>284</v>
      </c>
      <c r="J194" s="3">
        <f t="shared" si="20"/>
        <v>194</v>
      </c>
      <c r="K194" s="5">
        <f t="shared" si="21"/>
        <v>0.68309859154929575</v>
      </c>
      <c r="L194" s="7">
        <f>1</f>
        <v>1</v>
      </c>
    </row>
    <row r="195" spans="1:32" ht="18" customHeight="1" x14ac:dyDescent="0.25">
      <c r="A195">
        <v>1325011893</v>
      </c>
      <c r="B195" t="s">
        <v>109</v>
      </c>
      <c r="C195" t="s">
        <v>5</v>
      </c>
      <c r="D195" s="1">
        <v>46107.692938391207</v>
      </c>
      <c r="E195" s="2">
        <f t="shared" ref="E195:E258" ca="1" si="22">INT(TODAY() - D195)</f>
        <v>26</v>
      </c>
      <c r="F195" s="2" t="str">
        <f t="shared" ref="F195:F258" ca="1" si="23">IF(E195&lt;=14,"0-14 dias",
IF(E195&lt;=19,"15-19 dias",
IF(E195&lt;=24,"20-24 dias",
IF(E195&lt;=30,"25-30 dias",
IF(E195&lt;=60,"31-60 dias",
"&gt;60 dias")))))</f>
        <v>25-30 dias</v>
      </c>
      <c r="G195" s="3">
        <f t="shared" ref="G195:G258" si="24">MONTH(D195)</f>
        <v>3</v>
      </c>
      <c r="H195" s="3">
        <f t="shared" ref="H195:H258" si="25">YEAR(D195)</f>
        <v>2026</v>
      </c>
      <c r="I195" s="3">
        <f t="shared" ref="I195:I258" si="26">COUNTIFS(G:G,G195)</f>
        <v>284</v>
      </c>
      <c r="J195" s="3">
        <f t="shared" ref="J195:J258" si="27">COUNTIFS(G:G,G195,C:C,"Recebido")</f>
        <v>194</v>
      </c>
      <c r="K195" s="5">
        <f t="shared" ref="K195:K258" si="28">(J195/I195)</f>
        <v>0.68309859154929575</v>
      </c>
      <c r="L195" s="7">
        <f>1</f>
        <v>1</v>
      </c>
      <c r="Y195">
        <v>1</v>
      </c>
      <c r="AE195">
        <v>1</v>
      </c>
      <c r="AF195" s="1">
        <v>46127.558842002312</v>
      </c>
    </row>
    <row r="196" spans="1:32" ht="18" customHeight="1" x14ac:dyDescent="0.25">
      <c r="A196">
        <v>1312739093</v>
      </c>
      <c r="B196" t="s">
        <v>110</v>
      </c>
      <c r="C196" t="s">
        <v>5</v>
      </c>
      <c r="D196" s="1">
        <v>46090.516611712963</v>
      </c>
      <c r="E196" s="2">
        <f t="shared" ca="1" si="22"/>
        <v>43</v>
      </c>
      <c r="F196" s="2" t="str">
        <f t="shared" ca="1" si="23"/>
        <v>31-60 dias</v>
      </c>
      <c r="G196" s="3">
        <f t="shared" si="24"/>
        <v>3</v>
      </c>
      <c r="H196" s="3">
        <f t="shared" si="25"/>
        <v>2026</v>
      </c>
      <c r="I196" s="3">
        <f t="shared" si="26"/>
        <v>284</v>
      </c>
      <c r="J196" s="3">
        <f t="shared" si="27"/>
        <v>194</v>
      </c>
      <c r="K196" s="5">
        <f t="shared" si="28"/>
        <v>0.68309859154929575</v>
      </c>
      <c r="L196" s="7">
        <f>1</f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AF196" s="1">
        <v>46118.534987708343</v>
      </c>
    </row>
    <row r="197" spans="1:32" ht="18" customHeight="1" x14ac:dyDescent="0.25">
      <c r="A197">
        <v>1310840396</v>
      </c>
      <c r="B197" t="s">
        <v>111</v>
      </c>
      <c r="C197" t="s">
        <v>5</v>
      </c>
      <c r="D197" s="1">
        <v>46087.795688842598</v>
      </c>
      <c r="E197" s="2">
        <f t="shared" ca="1" si="22"/>
        <v>46</v>
      </c>
      <c r="F197" s="2" t="str">
        <f t="shared" ca="1" si="23"/>
        <v>31-60 dias</v>
      </c>
      <c r="G197" s="3">
        <f t="shared" si="24"/>
        <v>3</v>
      </c>
      <c r="H197" s="3">
        <f t="shared" si="25"/>
        <v>2026</v>
      </c>
      <c r="I197" s="3">
        <f t="shared" si="26"/>
        <v>284</v>
      </c>
      <c r="J197" s="3">
        <f t="shared" si="27"/>
        <v>194</v>
      </c>
      <c r="K197" s="5">
        <f t="shared" si="28"/>
        <v>0.68309859154929575</v>
      </c>
      <c r="L197" s="7">
        <f>1</f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AC197">
        <v>1</v>
      </c>
      <c r="AF197" s="1">
        <v>46104.730548159721</v>
      </c>
    </row>
    <row r="198" spans="1:32" ht="18" customHeight="1" x14ac:dyDescent="0.25">
      <c r="A198">
        <v>1323527685</v>
      </c>
      <c r="B198" t="s">
        <v>112</v>
      </c>
      <c r="C198" t="s">
        <v>5</v>
      </c>
      <c r="D198" s="1">
        <v>46105.79518100695</v>
      </c>
      <c r="E198" s="2">
        <f t="shared" ca="1" si="22"/>
        <v>28</v>
      </c>
      <c r="F198" s="2" t="str">
        <f t="shared" ca="1" si="23"/>
        <v>25-30 dias</v>
      </c>
      <c r="G198" s="3">
        <f t="shared" si="24"/>
        <v>3</v>
      </c>
      <c r="H198" s="3">
        <f t="shared" si="25"/>
        <v>2026</v>
      </c>
      <c r="I198" s="3">
        <f t="shared" si="26"/>
        <v>284</v>
      </c>
      <c r="J198" s="3">
        <f t="shared" si="27"/>
        <v>194</v>
      </c>
      <c r="K198" s="5">
        <f t="shared" si="28"/>
        <v>0.68309859154929575</v>
      </c>
      <c r="L198" s="7">
        <f>1</f>
        <v>1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AC198">
        <v>1</v>
      </c>
      <c r="AF198" s="1">
        <v>46126.550430196759</v>
      </c>
    </row>
    <row r="199" spans="1:32" ht="18" customHeight="1" x14ac:dyDescent="0.25">
      <c r="A199">
        <v>1313160711</v>
      </c>
      <c r="B199" t="s">
        <v>113</v>
      </c>
      <c r="C199" t="s">
        <v>5</v>
      </c>
      <c r="D199" s="1">
        <v>46090.795653506953</v>
      </c>
      <c r="E199" s="2">
        <f t="shared" ca="1" si="22"/>
        <v>43</v>
      </c>
      <c r="F199" s="2" t="str">
        <f t="shared" ca="1" si="23"/>
        <v>31-60 dias</v>
      </c>
      <c r="G199" s="3">
        <f t="shared" si="24"/>
        <v>3</v>
      </c>
      <c r="H199" s="3">
        <f t="shared" si="25"/>
        <v>2026</v>
      </c>
      <c r="I199" s="3">
        <f t="shared" si="26"/>
        <v>284</v>
      </c>
      <c r="J199" s="3">
        <f t="shared" si="27"/>
        <v>194</v>
      </c>
      <c r="K199" s="5">
        <f t="shared" si="28"/>
        <v>0.68309859154929575</v>
      </c>
      <c r="L199" s="7">
        <f>1</f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AF199" s="1">
        <v>46100.821632766208</v>
      </c>
    </row>
    <row r="200" spans="1:32" ht="18" customHeight="1" x14ac:dyDescent="0.25">
      <c r="A200">
        <v>1324345483</v>
      </c>
      <c r="B200" t="s">
        <v>113</v>
      </c>
      <c r="C200" t="s">
        <v>5</v>
      </c>
      <c r="D200" s="1">
        <v>46106.794891261583</v>
      </c>
      <c r="E200" s="2">
        <f t="shared" ca="1" si="22"/>
        <v>27</v>
      </c>
      <c r="F200" s="2" t="str">
        <f t="shared" ca="1" si="23"/>
        <v>25-30 dias</v>
      </c>
      <c r="G200" s="3">
        <f t="shared" si="24"/>
        <v>3</v>
      </c>
      <c r="H200" s="3">
        <f t="shared" si="25"/>
        <v>2026</v>
      </c>
      <c r="I200" s="3">
        <f t="shared" si="26"/>
        <v>284</v>
      </c>
      <c r="J200" s="3">
        <f t="shared" si="27"/>
        <v>194</v>
      </c>
      <c r="K200" s="5">
        <f t="shared" si="28"/>
        <v>0.68309859154929575</v>
      </c>
      <c r="L200" s="7">
        <f>1</f>
        <v>1</v>
      </c>
      <c r="N200">
        <v>1</v>
      </c>
      <c r="AC200">
        <v>1</v>
      </c>
      <c r="AF200" s="1">
        <v>46126.60304238426</v>
      </c>
    </row>
    <row r="201" spans="1:32" ht="18" customHeight="1" x14ac:dyDescent="0.25">
      <c r="A201">
        <v>1304765152</v>
      </c>
      <c r="B201" t="s">
        <v>114</v>
      </c>
      <c r="C201" t="s">
        <v>11</v>
      </c>
      <c r="D201" s="1">
        <v>46079.796650439806</v>
      </c>
      <c r="E201" s="2">
        <f t="shared" ca="1" si="22"/>
        <v>54</v>
      </c>
      <c r="F201" s="2" t="str">
        <f t="shared" ca="1" si="23"/>
        <v>31-60 dias</v>
      </c>
      <c r="G201" s="3">
        <f t="shared" si="24"/>
        <v>2</v>
      </c>
      <c r="H201" s="3">
        <f t="shared" si="25"/>
        <v>2026</v>
      </c>
      <c r="I201" s="3">
        <f t="shared" si="26"/>
        <v>17</v>
      </c>
      <c r="J201" s="3">
        <f t="shared" si="27"/>
        <v>11</v>
      </c>
      <c r="K201" s="5">
        <f t="shared" si="28"/>
        <v>0.6470588235294118</v>
      </c>
      <c r="L201" s="7">
        <f>1</f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32" ht="18" customHeight="1" x14ac:dyDescent="0.25">
      <c r="A202">
        <v>1313954526</v>
      </c>
      <c r="B202" t="s">
        <v>115</v>
      </c>
      <c r="C202" t="s">
        <v>21</v>
      </c>
      <c r="D202" s="1">
        <v>46091.795683148142</v>
      </c>
      <c r="E202" s="2">
        <f t="shared" ca="1" si="22"/>
        <v>42</v>
      </c>
      <c r="F202" s="2" t="str">
        <f t="shared" ca="1" si="23"/>
        <v>31-60 dias</v>
      </c>
      <c r="G202" s="3">
        <f t="shared" si="24"/>
        <v>3</v>
      </c>
      <c r="H202" s="3">
        <f t="shared" si="25"/>
        <v>2026</v>
      </c>
      <c r="I202" s="3">
        <f t="shared" si="26"/>
        <v>284</v>
      </c>
      <c r="J202" s="3">
        <f t="shared" si="27"/>
        <v>194</v>
      </c>
      <c r="K202" s="5">
        <f t="shared" si="28"/>
        <v>0.68309859154929575</v>
      </c>
      <c r="L202" s="7">
        <f>1</f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32" ht="18" customHeight="1" x14ac:dyDescent="0.25">
      <c r="A203">
        <v>1305499893</v>
      </c>
      <c r="B203" t="s">
        <v>116</v>
      </c>
      <c r="C203" t="s">
        <v>21</v>
      </c>
      <c r="D203" s="1">
        <v>46080.795064155092</v>
      </c>
      <c r="E203" s="2">
        <f t="shared" ca="1" si="22"/>
        <v>53</v>
      </c>
      <c r="F203" s="2" t="str">
        <f t="shared" ca="1" si="23"/>
        <v>31-60 dias</v>
      </c>
      <c r="G203" s="3">
        <f t="shared" si="24"/>
        <v>2</v>
      </c>
      <c r="H203" s="3">
        <f t="shared" si="25"/>
        <v>2026</v>
      </c>
      <c r="I203" s="3">
        <f t="shared" si="26"/>
        <v>17</v>
      </c>
      <c r="J203" s="3">
        <f t="shared" si="27"/>
        <v>11</v>
      </c>
      <c r="K203" s="5">
        <f t="shared" si="28"/>
        <v>0.6470588235294118</v>
      </c>
      <c r="L203" s="7">
        <f>1</f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32" ht="18" customHeight="1" x14ac:dyDescent="0.25">
      <c r="A204">
        <v>1308390122</v>
      </c>
      <c r="B204" t="s">
        <v>117</v>
      </c>
      <c r="C204" t="s">
        <v>21</v>
      </c>
      <c r="D204" s="1">
        <v>46084.794515532412</v>
      </c>
      <c r="E204" s="2">
        <f t="shared" ca="1" si="22"/>
        <v>49</v>
      </c>
      <c r="F204" s="2" t="str">
        <f t="shared" ca="1" si="23"/>
        <v>31-60 dias</v>
      </c>
      <c r="G204" s="3">
        <f t="shared" si="24"/>
        <v>3</v>
      </c>
      <c r="H204" s="3">
        <f t="shared" si="25"/>
        <v>2026</v>
      </c>
      <c r="I204" s="3">
        <f t="shared" si="26"/>
        <v>284</v>
      </c>
      <c r="J204" s="3">
        <f t="shared" si="27"/>
        <v>194</v>
      </c>
      <c r="K204" s="5">
        <f t="shared" si="28"/>
        <v>0.68309859154929575</v>
      </c>
      <c r="L204" s="7">
        <f>1</f>
        <v>1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32" ht="18" customHeight="1" x14ac:dyDescent="0.25">
      <c r="A205">
        <v>1333385197</v>
      </c>
      <c r="B205" t="s">
        <v>366</v>
      </c>
      <c r="C205" t="s">
        <v>15</v>
      </c>
      <c r="D205" s="1">
        <v>46121.795170011566</v>
      </c>
      <c r="E205" s="2">
        <f t="shared" ca="1" si="22"/>
        <v>12</v>
      </c>
      <c r="F205" s="2" t="str">
        <f t="shared" ca="1" si="23"/>
        <v>0-14 dias</v>
      </c>
      <c r="G205" s="3">
        <f t="shared" si="24"/>
        <v>4</v>
      </c>
      <c r="H205" s="3">
        <f t="shared" si="25"/>
        <v>2026</v>
      </c>
      <c r="I205" s="3">
        <f t="shared" si="26"/>
        <v>146</v>
      </c>
      <c r="J205" s="3">
        <f t="shared" si="27"/>
        <v>28</v>
      </c>
      <c r="K205" s="5">
        <f t="shared" si="28"/>
        <v>0.19178082191780821</v>
      </c>
      <c r="L205" s="7">
        <f>1</f>
        <v>1</v>
      </c>
      <c r="Y205">
        <v>1</v>
      </c>
    </row>
    <row r="206" spans="1:32" ht="18" customHeight="1" x14ac:dyDescent="0.25">
      <c r="A206">
        <v>1314803914</v>
      </c>
      <c r="B206" t="s">
        <v>429</v>
      </c>
      <c r="C206" t="s">
        <v>118</v>
      </c>
      <c r="D206" s="1">
        <v>46092.795553599542</v>
      </c>
      <c r="E206" s="2">
        <f t="shared" ca="1" si="22"/>
        <v>41</v>
      </c>
      <c r="F206" s="2" t="str">
        <f t="shared" ca="1" si="23"/>
        <v>31-60 dias</v>
      </c>
      <c r="G206" s="3">
        <f t="shared" si="24"/>
        <v>3</v>
      </c>
      <c r="H206" s="3">
        <f t="shared" si="25"/>
        <v>2026</v>
      </c>
      <c r="I206" s="3">
        <f t="shared" si="26"/>
        <v>284</v>
      </c>
      <c r="J206" s="3">
        <f t="shared" si="27"/>
        <v>194</v>
      </c>
      <c r="K206" s="5">
        <f t="shared" si="28"/>
        <v>0.68309859154929575</v>
      </c>
      <c r="L206" s="7">
        <f>1</f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AE206">
        <v>1</v>
      </c>
    </row>
    <row r="207" spans="1:32" ht="18" customHeight="1" x14ac:dyDescent="0.25">
      <c r="A207">
        <v>1316386511</v>
      </c>
      <c r="B207" t="s">
        <v>119</v>
      </c>
      <c r="C207" t="s">
        <v>5</v>
      </c>
      <c r="D207" s="1">
        <v>46094.515980358803</v>
      </c>
      <c r="E207" s="2">
        <f t="shared" ca="1" si="22"/>
        <v>39</v>
      </c>
      <c r="F207" s="2" t="str">
        <f t="shared" ca="1" si="23"/>
        <v>31-60 dias</v>
      </c>
      <c r="G207" s="3">
        <f t="shared" si="24"/>
        <v>3</v>
      </c>
      <c r="H207" s="3">
        <f t="shared" si="25"/>
        <v>2026</v>
      </c>
      <c r="I207" s="3">
        <f t="shared" si="26"/>
        <v>284</v>
      </c>
      <c r="J207" s="3">
        <f t="shared" si="27"/>
        <v>194</v>
      </c>
      <c r="K207" s="5">
        <f t="shared" si="28"/>
        <v>0.68309859154929575</v>
      </c>
      <c r="L207" s="7">
        <f>1</f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AC207">
        <v>1</v>
      </c>
      <c r="AF207" s="1">
        <v>46094.517140937503</v>
      </c>
    </row>
    <row r="208" spans="1:32" ht="18" customHeight="1" x14ac:dyDescent="0.25">
      <c r="A208">
        <v>1313952300</v>
      </c>
      <c r="B208" t="s">
        <v>120</v>
      </c>
      <c r="C208" t="s">
        <v>5</v>
      </c>
      <c r="D208" s="1">
        <v>46091.794226423612</v>
      </c>
      <c r="E208" s="2">
        <f t="shared" ca="1" si="22"/>
        <v>42</v>
      </c>
      <c r="F208" s="2" t="str">
        <f t="shared" ca="1" si="23"/>
        <v>31-60 dias</v>
      </c>
      <c r="G208" s="3">
        <f t="shared" si="24"/>
        <v>3</v>
      </c>
      <c r="H208" s="3">
        <f t="shared" si="25"/>
        <v>2026</v>
      </c>
      <c r="I208" s="3">
        <f t="shared" si="26"/>
        <v>284</v>
      </c>
      <c r="J208" s="3">
        <f t="shared" si="27"/>
        <v>194</v>
      </c>
      <c r="K208" s="5">
        <f t="shared" si="28"/>
        <v>0.68309859154929575</v>
      </c>
      <c r="L208" s="7">
        <f>1</f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 t="s">
        <v>312</v>
      </c>
      <c r="AA208">
        <v>1</v>
      </c>
      <c r="AE208">
        <v>1</v>
      </c>
      <c r="AF208" s="1">
        <v>46115.535569155087</v>
      </c>
    </row>
    <row r="209" spans="1:32" ht="18" customHeight="1" x14ac:dyDescent="0.25">
      <c r="A209">
        <v>1310839415</v>
      </c>
      <c r="B209" t="s">
        <v>121</v>
      </c>
      <c r="C209" t="s">
        <v>5</v>
      </c>
      <c r="D209" s="1">
        <v>46087.795060011573</v>
      </c>
      <c r="E209" s="2">
        <f t="shared" ca="1" si="22"/>
        <v>46</v>
      </c>
      <c r="F209" s="2" t="str">
        <f t="shared" ca="1" si="23"/>
        <v>31-60 dias</v>
      </c>
      <c r="G209" s="3">
        <f t="shared" si="24"/>
        <v>3</v>
      </c>
      <c r="H209" s="3">
        <f t="shared" si="25"/>
        <v>2026</v>
      </c>
      <c r="I209" s="3">
        <f t="shared" si="26"/>
        <v>284</v>
      </c>
      <c r="J209" s="3">
        <f t="shared" si="27"/>
        <v>194</v>
      </c>
      <c r="K209" s="5">
        <f t="shared" si="28"/>
        <v>0.68309859154929575</v>
      </c>
      <c r="L209" s="7">
        <f>1</f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 t="s">
        <v>312</v>
      </c>
      <c r="AA209">
        <v>1</v>
      </c>
      <c r="AE209">
        <v>1</v>
      </c>
      <c r="AF209" s="1">
        <v>46115.535523483792</v>
      </c>
    </row>
    <row r="210" spans="1:32" ht="18" customHeight="1" x14ac:dyDescent="0.25">
      <c r="A210">
        <v>1329316359</v>
      </c>
      <c r="B210" t="s">
        <v>330</v>
      </c>
      <c r="C210" t="s">
        <v>11</v>
      </c>
      <c r="D210" s="1">
        <v>46114.631020856483</v>
      </c>
      <c r="E210" s="2">
        <f t="shared" ca="1" si="22"/>
        <v>19</v>
      </c>
      <c r="F210" s="2" t="str">
        <f t="shared" ca="1" si="23"/>
        <v>15-19 dias</v>
      </c>
      <c r="G210" s="3">
        <f t="shared" si="24"/>
        <v>4</v>
      </c>
      <c r="H210" s="3">
        <f t="shared" si="25"/>
        <v>2026</v>
      </c>
      <c r="I210" s="3">
        <f t="shared" si="26"/>
        <v>146</v>
      </c>
      <c r="J210" s="3">
        <f t="shared" si="27"/>
        <v>28</v>
      </c>
      <c r="K210" s="5">
        <f t="shared" si="28"/>
        <v>0.19178082191780821</v>
      </c>
      <c r="L210" s="7">
        <f>1</f>
        <v>1</v>
      </c>
      <c r="M210">
        <v>1</v>
      </c>
    </row>
    <row r="211" spans="1:32" ht="18" customHeight="1" x14ac:dyDescent="0.25">
      <c r="A211">
        <v>1334013303</v>
      </c>
      <c r="B211" t="s">
        <v>367</v>
      </c>
      <c r="C211" t="s">
        <v>7</v>
      </c>
      <c r="D211" s="1">
        <v>46122.921421562503</v>
      </c>
      <c r="E211" s="2">
        <f t="shared" ca="1" si="22"/>
        <v>11</v>
      </c>
      <c r="F211" s="2" t="str">
        <f t="shared" ca="1" si="23"/>
        <v>0-14 dias</v>
      </c>
      <c r="G211" s="3">
        <f t="shared" si="24"/>
        <v>4</v>
      </c>
      <c r="H211" s="3">
        <f t="shared" si="25"/>
        <v>2026</v>
      </c>
      <c r="I211" s="3">
        <f t="shared" si="26"/>
        <v>146</v>
      </c>
      <c r="J211" s="3">
        <f t="shared" si="27"/>
        <v>28</v>
      </c>
      <c r="K211" s="5">
        <f t="shared" si="28"/>
        <v>0.19178082191780821</v>
      </c>
      <c r="L211" s="7">
        <f>1</f>
        <v>1</v>
      </c>
      <c r="N211">
        <v>1</v>
      </c>
    </row>
    <row r="212" spans="1:32" ht="18" customHeight="1" x14ac:dyDescent="0.25">
      <c r="A212">
        <v>1327409694</v>
      </c>
      <c r="B212" t="s">
        <v>282</v>
      </c>
      <c r="C212" t="s">
        <v>21</v>
      </c>
      <c r="D212" s="1">
        <v>46111.920462766197</v>
      </c>
      <c r="E212" s="2">
        <f t="shared" ca="1" si="22"/>
        <v>22</v>
      </c>
      <c r="F212" s="2" t="str">
        <f t="shared" ca="1" si="23"/>
        <v>20-24 dias</v>
      </c>
      <c r="G212" s="3">
        <f t="shared" si="24"/>
        <v>3</v>
      </c>
      <c r="H212" s="3">
        <f t="shared" si="25"/>
        <v>2026</v>
      </c>
      <c r="I212" s="3">
        <f t="shared" si="26"/>
        <v>284</v>
      </c>
      <c r="J212" s="3">
        <f t="shared" si="27"/>
        <v>194</v>
      </c>
      <c r="K212" s="5">
        <f t="shared" si="28"/>
        <v>0.68309859154929575</v>
      </c>
      <c r="L212" s="7">
        <f>1</f>
        <v>1</v>
      </c>
    </row>
    <row r="213" spans="1:32" ht="18" customHeight="1" x14ac:dyDescent="0.25">
      <c r="A213">
        <v>1314806196</v>
      </c>
      <c r="B213" t="s">
        <v>122</v>
      </c>
      <c r="C213" t="s">
        <v>5</v>
      </c>
      <c r="D213" s="1">
        <v>46092.796826331018</v>
      </c>
      <c r="E213" s="2">
        <f t="shared" ca="1" si="22"/>
        <v>41</v>
      </c>
      <c r="F213" s="2" t="str">
        <f t="shared" ca="1" si="23"/>
        <v>31-60 dias</v>
      </c>
      <c r="G213" s="3">
        <f t="shared" si="24"/>
        <v>3</v>
      </c>
      <c r="H213" s="3">
        <f t="shared" si="25"/>
        <v>2026</v>
      </c>
      <c r="I213" s="3">
        <f t="shared" si="26"/>
        <v>284</v>
      </c>
      <c r="J213" s="3">
        <f t="shared" si="27"/>
        <v>194</v>
      </c>
      <c r="K213" s="5">
        <f t="shared" si="28"/>
        <v>0.68309859154929575</v>
      </c>
      <c r="L213" s="7">
        <f>1</f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AC213">
        <v>1</v>
      </c>
      <c r="AF213" s="1">
        <v>46105.777160370373</v>
      </c>
    </row>
    <row r="214" spans="1:32" ht="18" customHeight="1" x14ac:dyDescent="0.25">
      <c r="A214">
        <v>1308392196</v>
      </c>
      <c r="B214" t="s">
        <v>123</v>
      </c>
      <c r="C214" t="s">
        <v>5</v>
      </c>
      <c r="D214" s="1">
        <v>46084.795869745372</v>
      </c>
      <c r="E214" s="2">
        <f t="shared" ca="1" si="22"/>
        <v>49</v>
      </c>
      <c r="F214" s="2" t="str">
        <f t="shared" ca="1" si="23"/>
        <v>31-60 dias</v>
      </c>
      <c r="G214" s="3">
        <f t="shared" si="24"/>
        <v>3</v>
      </c>
      <c r="H214" s="3">
        <f t="shared" si="25"/>
        <v>2026</v>
      </c>
      <c r="I214" s="3">
        <f t="shared" si="26"/>
        <v>284</v>
      </c>
      <c r="J214" s="3">
        <f t="shared" si="27"/>
        <v>194</v>
      </c>
      <c r="K214" s="5">
        <f t="shared" si="28"/>
        <v>0.68309859154929575</v>
      </c>
      <c r="L214" s="7">
        <f>1</f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AF214" s="1">
        <v>46100.768748854171</v>
      </c>
    </row>
    <row r="215" spans="1:32" ht="18" customHeight="1" x14ac:dyDescent="0.25">
      <c r="A215">
        <v>1313161493</v>
      </c>
      <c r="B215" t="s">
        <v>124</v>
      </c>
      <c r="C215" t="s">
        <v>5</v>
      </c>
      <c r="D215" s="1">
        <v>46090.796339907407</v>
      </c>
      <c r="E215" s="2">
        <f t="shared" ca="1" si="22"/>
        <v>43</v>
      </c>
      <c r="F215" s="2" t="str">
        <f t="shared" ca="1" si="23"/>
        <v>31-60 dias</v>
      </c>
      <c r="G215" s="3">
        <f t="shared" si="24"/>
        <v>3</v>
      </c>
      <c r="H215" s="3">
        <f t="shared" si="25"/>
        <v>2026</v>
      </c>
      <c r="I215" s="3">
        <f t="shared" si="26"/>
        <v>284</v>
      </c>
      <c r="J215" s="3">
        <f t="shared" si="27"/>
        <v>194</v>
      </c>
      <c r="K215" s="5">
        <f t="shared" si="28"/>
        <v>0.68309859154929575</v>
      </c>
      <c r="L215" s="7">
        <f>1</f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AC215">
        <v>1</v>
      </c>
      <c r="AF215" s="1">
        <v>46100.811673298609</v>
      </c>
    </row>
    <row r="216" spans="1:32" ht="18" customHeight="1" x14ac:dyDescent="0.25">
      <c r="A216">
        <v>1327283050</v>
      </c>
      <c r="B216" t="s">
        <v>283</v>
      </c>
      <c r="C216" t="s">
        <v>5</v>
      </c>
      <c r="D216" s="1">
        <v>46111.796284224532</v>
      </c>
      <c r="E216" s="2">
        <f t="shared" ca="1" si="22"/>
        <v>22</v>
      </c>
      <c r="F216" s="2" t="str">
        <f t="shared" ca="1" si="23"/>
        <v>20-24 dias</v>
      </c>
      <c r="G216" s="3">
        <f t="shared" si="24"/>
        <v>3</v>
      </c>
      <c r="H216" s="3">
        <f t="shared" si="25"/>
        <v>2026</v>
      </c>
      <c r="I216" s="3">
        <f t="shared" si="26"/>
        <v>284</v>
      </c>
      <c r="J216" s="3">
        <f t="shared" si="27"/>
        <v>194</v>
      </c>
      <c r="K216" s="5">
        <f t="shared" si="28"/>
        <v>0.68309859154929575</v>
      </c>
      <c r="L216" s="7">
        <f>1</f>
        <v>1</v>
      </c>
      <c r="N216">
        <v>1</v>
      </c>
      <c r="AC216">
        <v>1</v>
      </c>
      <c r="AF216" s="1">
        <v>46126.559369016213</v>
      </c>
    </row>
    <row r="217" spans="1:32" ht="18" customHeight="1" x14ac:dyDescent="0.25">
      <c r="A217">
        <v>1335442887</v>
      </c>
      <c r="B217" t="s">
        <v>430</v>
      </c>
      <c r="C217" t="s">
        <v>7</v>
      </c>
      <c r="D217" s="1">
        <v>46125.90442431713</v>
      </c>
      <c r="E217" s="2">
        <f t="shared" ca="1" si="22"/>
        <v>8</v>
      </c>
      <c r="F217" s="2" t="str">
        <f t="shared" ca="1" si="23"/>
        <v>0-14 dias</v>
      </c>
      <c r="G217" s="3">
        <f t="shared" si="24"/>
        <v>4</v>
      </c>
      <c r="H217" s="3">
        <f t="shared" si="25"/>
        <v>2026</v>
      </c>
      <c r="I217" s="3">
        <f t="shared" si="26"/>
        <v>146</v>
      </c>
      <c r="J217" s="3">
        <f t="shared" si="27"/>
        <v>28</v>
      </c>
      <c r="K217" s="5">
        <f t="shared" si="28"/>
        <v>0.19178082191780821</v>
      </c>
      <c r="L217" s="7">
        <f>1</f>
        <v>1</v>
      </c>
      <c r="N217">
        <v>2</v>
      </c>
    </row>
    <row r="218" spans="1:32" ht="18" customHeight="1" x14ac:dyDescent="0.25">
      <c r="A218">
        <v>1335931315</v>
      </c>
      <c r="B218" t="s">
        <v>431</v>
      </c>
      <c r="C218" t="s">
        <v>7</v>
      </c>
      <c r="D218" s="1">
        <v>46126.631922685177</v>
      </c>
      <c r="E218" s="2">
        <f t="shared" ca="1" si="22"/>
        <v>7</v>
      </c>
      <c r="F218" s="2" t="str">
        <f t="shared" ca="1" si="23"/>
        <v>0-14 dias</v>
      </c>
      <c r="G218" s="3">
        <f t="shared" si="24"/>
        <v>4</v>
      </c>
      <c r="H218" s="3">
        <f t="shared" si="25"/>
        <v>2026</v>
      </c>
      <c r="I218" s="3">
        <f t="shared" si="26"/>
        <v>146</v>
      </c>
      <c r="J218" s="3">
        <f t="shared" si="27"/>
        <v>28</v>
      </c>
      <c r="K218" s="5">
        <f t="shared" si="28"/>
        <v>0.19178082191780821</v>
      </c>
      <c r="L218" s="7">
        <f>1</f>
        <v>1</v>
      </c>
      <c r="N218">
        <v>4</v>
      </c>
      <c r="Y218">
        <v>4</v>
      </c>
    </row>
    <row r="219" spans="1:32" ht="18" customHeight="1" x14ac:dyDescent="0.25">
      <c r="A219">
        <v>1327099925</v>
      </c>
      <c r="B219" t="s">
        <v>284</v>
      </c>
      <c r="C219" t="s">
        <v>5</v>
      </c>
      <c r="D219" s="1">
        <v>46111.628328263891</v>
      </c>
      <c r="E219" s="2">
        <f t="shared" ca="1" si="22"/>
        <v>22</v>
      </c>
      <c r="F219" s="2" t="str">
        <f t="shared" ca="1" si="23"/>
        <v>20-24 dias</v>
      </c>
      <c r="G219" s="3">
        <f t="shared" si="24"/>
        <v>3</v>
      </c>
      <c r="H219" s="3">
        <f t="shared" si="25"/>
        <v>2026</v>
      </c>
      <c r="I219" s="3">
        <f t="shared" si="26"/>
        <v>284</v>
      </c>
      <c r="J219" s="3">
        <f t="shared" si="27"/>
        <v>194</v>
      </c>
      <c r="K219" s="5">
        <f t="shared" si="28"/>
        <v>0.68309859154929575</v>
      </c>
      <c r="L219" s="7">
        <f>1</f>
        <v>1</v>
      </c>
      <c r="O219">
        <v>1</v>
      </c>
      <c r="AB219">
        <v>1</v>
      </c>
      <c r="AF219" s="1">
        <v>46126.591519988433</v>
      </c>
    </row>
    <row r="220" spans="1:32" ht="18" customHeight="1" x14ac:dyDescent="0.25">
      <c r="A220">
        <v>1332353174</v>
      </c>
      <c r="B220" t="s">
        <v>368</v>
      </c>
      <c r="C220" t="s">
        <v>11</v>
      </c>
      <c r="D220" s="1">
        <v>46119.920303263891</v>
      </c>
      <c r="E220" s="2">
        <f t="shared" ca="1" si="22"/>
        <v>14</v>
      </c>
      <c r="F220" s="2" t="str">
        <f t="shared" ca="1" si="23"/>
        <v>0-14 dias</v>
      </c>
      <c r="G220" s="3">
        <f t="shared" si="24"/>
        <v>4</v>
      </c>
      <c r="H220" s="3">
        <f t="shared" si="25"/>
        <v>2026</v>
      </c>
      <c r="I220" s="3">
        <f t="shared" si="26"/>
        <v>146</v>
      </c>
      <c r="J220" s="3">
        <f t="shared" si="27"/>
        <v>28</v>
      </c>
      <c r="K220" s="5">
        <f t="shared" si="28"/>
        <v>0.19178082191780821</v>
      </c>
      <c r="L220" s="7">
        <f>1</f>
        <v>1</v>
      </c>
    </row>
    <row r="221" spans="1:32" ht="18" customHeight="1" x14ac:dyDescent="0.25">
      <c r="A221">
        <v>1333385090</v>
      </c>
      <c r="B221" t="s">
        <v>369</v>
      </c>
      <c r="C221" t="s">
        <v>7</v>
      </c>
      <c r="D221" s="1">
        <v>46121.79506394676</v>
      </c>
      <c r="E221" s="2">
        <f t="shared" ca="1" si="22"/>
        <v>12</v>
      </c>
      <c r="F221" s="2" t="str">
        <f t="shared" ca="1" si="23"/>
        <v>0-14 dias</v>
      </c>
      <c r="G221" s="3">
        <f t="shared" si="24"/>
        <v>4</v>
      </c>
      <c r="H221" s="3">
        <f t="shared" si="25"/>
        <v>2026</v>
      </c>
      <c r="I221" s="3">
        <f t="shared" si="26"/>
        <v>146</v>
      </c>
      <c r="J221" s="3">
        <f t="shared" si="27"/>
        <v>28</v>
      </c>
      <c r="K221" s="5">
        <f t="shared" si="28"/>
        <v>0.19178082191780821</v>
      </c>
      <c r="L221" s="7">
        <f>1</f>
        <v>1</v>
      </c>
    </row>
    <row r="222" spans="1:32" ht="18" customHeight="1" x14ac:dyDescent="0.25">
      <c r="A222">
        <v>1329315547</v>
      </c>
      <c r="B222" t="s">
        <v>331</v>
      </c>
      <c r="C222" t="s">
        <v>18</v>
      </c>
      <c r="D222" s="1">
        <v>46114.630351064807</v>
      </c>
      <c r="E222" s="2">
        <f t="shared" ca="1" si="22"/>
        <v>19</v>
      </c>
      <c r="F222" s="2" t="str">
        <f t="shared" ca="1" si="23"/>
        <v>15-19 dias</v>
      </c>
      <c r="G222" s="3">
        <f t="shared" si="24"/>
        <v>4</v>
      </c>
      <c r="H222" s="3">
        <f t="shared" si="25"/>
        <v>2026</v>
      </c>
      <c r="I222" s="3">
        <f t="shared" si="26"/>
        <v>146</v>
      </c>
      <c r="J222" s="3">
        <f t="shared" si="27"/>
        <v>28</v>
      </c>
      <c r="K222" s="5">
        <f t="shared" si="28"/>
        <v>0.19178082191780821</v>
      </c>
      <c r="L222" s="7">
        <f>1</f>
        <v>1</v>
      </c>
    </row>
    <row r="223" spans="1:32" ht="18" customHeight="1" x14ac:dyDescent="0.25">
      <c r="A223">
        <v>1328010139</v>
      </c>
      <c r="B223" t="s">
        <v>332</v>
      </c>
      <c r="C223" t="s">
        <v>21</v>
      </c>
      <c r="D223" s="1">
        <v>46112.795182581023</v>
      </c>
      <c r="E223" s="2">
        <f t="shared" ca="1" si="22"/>
        <v>21</v>
      </c>
      <c r="F223" s="2" t="str">
        <f t="shared" ca="1" si="23"/>
        <v>20-24 dias</v>
      </c>
      <c r="G223" s="3">
        <f t="shared" si="24"/>
        <v>3</v>
      </c>
      <c r="H223" s="3">
        <f t="shared" si="25"/>
        <v>2026</v>
      </c>
      <c r="I223" s="3">
        <f t="shared" si="26"/>
        <v>284</v>
      </c>
      <c r="J223" s="3">
        <f t="shared" si="27"/>
        <v>194</v>
      </c>
      <c r="K223" s="5">
        <f t="shared" si="28"/>
        <v>0.68309859154929575</v>
      </c>
      <c r="L223" s="7">
        <f>1</f>
        <v>1</v>
      </c>
      <c r="N223">
        <v>5</v>
      </c>
    </row>
    <row r="224" spans="1:32" ht="18" customHeight="1" x14ac:dyDescent="0.25">
      <c r="A224">
        <v>1319291407</v>
      </c>
      <c r="B224" t="s">
        <v>125</v>
      </c>
      <c r="C224" t="s">
        <v>5</v>
      </c>
      <c r="D224" s="1">
        <v>46098.795290729162</v>
      </c>
      <c r="E224" s="2">
        <f t="shared" ca="1" si="22"/>
        <v>35</v>
      </c>
      <c r="F224" s="2" t="str">
        <f t="shared" ca="1" si="23"/>
        <v>31-60 dias</v>
      </c>
      <c r="G224" s="3">
        <f t="shared" si="24"/>
        <v>3</v>
      </c>
      <c r="H224" s="3">
        <f t="shared" si="25"/>
        <v>2026</v>
      </c>
      <c r="I224" s="3">
        <f t="shared" si="26"/>
        <v>284</v>
      </c>
      <c r="J224" s="3">
        <f t="shared" si="27"/>
        <v>194</v>
      </c>
      <c r="K224" s="5">
        <f t="shared" si="28"/>
        <v>0.68309859154929575</v>
      </c>
      <c r="L224" s="7">
        <f>1</f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312</v>
      </c>
      <c r="AA224">
        <v>1</v>
      </c>
      <c r="AC224">
        <v>1</v>
      </c>
      <c r="AE224">
        <v>1</v>
      </c>
      <c r="AF224" s="1">
        <v>46127.555513634259</v>
      </c>
    </row>
    <row r="225" spans="1:32" ht="18" customHeight="1" x14ac:dyDescent="0.25">
      <c r="A225">
        <v>1319291460</v>
      </c>
      <c r="B225" t="s">
        <v>370</v>
      </c>
      <c r="C225" t="s">
        <v>5</v>
      </c>
      <c r="D225" s="1">
        <v>46098.795347199077</v>
      </c>
      <c r="E225" s="2">
        <f t="shared" ca="1" si="22"/>
        <v>35</v>
      </c>
      <c r="F225" s="2" t="str">
        <f t="shared" ca="1" si="23"/>
        <v>31-60 dias</v>
      </c>
      <c r="G225" s="3">
        <f t="shared" si="24"/>
        <v>3</v>
      </c>
      <c r="H225" s="3">
        <f t="shared" si="25"/>
        <v>2026</v>
      </c>
      <c r="I225" s="3">
        <f t="shared" si="26"/>
        <v>284</v>
      </c>
      <c r="J225" s="3">
        <f t="shared" si="27"/>
        <v>194</v>
      </c>
      <c r="K225" s="5">
        <f t="shared" si="28"/>
        <v>0.68309859154929575</v>
      </c>
      <c r="L225" s="7">
        <f>1</f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312</v>
      </c>
      <c r="AA225">
        <v>1</v>
      </c>
      <c r="AC225">
        <v>1</v>
      </c>
      <c r="AE225">
        <v>1</v>
      </c>
      <c r="AF225" s="1">
        <v>46127.55452928241</v>
      </c>
    </row>
    <row r="226" spans="1:32" ht="18" customHeight="1" x14ac:dyDescent="0.25">
      <c r="A226">
        <v>1337810124</v>
      </c>
      <c r="B226" t="s">
        <v>432</v>
      </c>
      <c r="C226" t="s">
        <v>7</v>
      </c>
      <c r="D226" s="1">
        <v>46129.546838541661</v>
      </c>
      <c r="E226" s="2">
        <f t="shared" ca="1" si="22"/>
        <v>4</v>
      </c>
      <c r="F226" s="2" t="str">
        <f t="shared" ca="1" si="23"/>
        <v>0-14 dias</v>
      </c>
      <c r="G226" s="3">
        <f t="shared" si="24"/>
        <v>4</v>
      </c>
      <c r="H226" s="3">
        <f t="shared" si="25"/>
        <v>2026</v>
      </c>
      <c r="I226" s="3">
        <f t="shared" si="26"/>
        <v>146</v>
      </c>
      <c r="J226" s="3">
        <f t="shared" si="27"/>
        <v>28</v>
      </c>
      <c r="K226" s="5">
        <f t="shared" si="28"/>
        <v>0.19178082191780821</v>
      </c>
      <c r="L226" s="7">
        <f>1</f>
        <v>1</v>
      </c>
    </row>
    <row r="227" spans="1:32" ht="18" customHeight="1" x14ac:dyDescent="0.25">
      <c r="A227">
        <v>1308389830</v>
      </c>
      <c r="B227" t="s">
        <v>126</v>
      </c>
      <c r="C227" t="s">
        <v>5</v>
      </c>
      <c r="D227" s="1">
        <v>46084.794362847228</v>
      </c>
      <c r="E227" s="2">
        <f t="shared" ca="1" si="22"/>
        <v>49</v>
      </c>
      <c r="F227" s="2" t="str">
        <f t="shared" ca="1" si="23"/>
        <v>31-60 dias</v>
      </c>
      <c r="G227" s="3">
        <f t="shared" si="24"/>
        <v>3</v>
      </c>
      <c r="H227" s="3">
        <f t="shared" si="25"/>
        <v>2026</v>
      </c>
      <c r="I227" s="3">
        <f t="shared" si="26"/>
        <v>284</v>
      </c>
      <c r="J227" s="3">
        <f t="shared" si="27"/>
        <v>194</v>
      </c>
      <c r="K227" s="5">
        <f t="shared" si="28"/>
        <v>0.68309859154929575</v>
      </c>
      <c r="L227" s="7">
        <f>1</f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312</v>
      </c>
      <c r="AA227">
        <v>1</v>
      </c>
      <c r="AC227">
        <v>1</v>
      </c>
      <c r="AF227" s="1">
        <v>46100.859890300933</v>
      </c>
    </row>
    <row r="228" spans="1:32" ht="18" customHeight="1" x14ac:dyDescent="0.25">
      <c r="A228">
        <v>1331470960</v>
      </c>
      <c r="B228" t="s">
        <v>371</v>
      </c>
      <c r="C228" t="s">
        <v>18</v>
      </c>
      <c r="D228" s="1">
        <v>46118.79672189815</v>
      </c>
      <c r="E228" s="2">
        <f t="shared" ca="1" si="22"/>
        <v>15</v>
      </c>
      <c r="F228" s="2" t="str">
        <f t="shared" ca="1" si="23"/>
        <v>15-19 dias</v>
      </c>
      <c r="G228" s="3">
        <f t="shared" si="24"/>
        <v>4</v>
      </c>
      <c r="H228" s="3">
        <f t="shared" si="25"/>
        <v>2026</v>
      </c>
      <c r="I228" s="3">
        <f t="shared" si="26"/>
        <v>146</v>
      </c>
      <c r="J228" s="3">
        <f t="shared" si="27"/>
        <v>28</v>
      </c>
      <c r="K228" s="5">
        <f t="shared" si="28"/>
        <v>0.19178082191780821</v>
      </c>
      <c r="L228" s="7">
        <f>1</f>
        <v>1</v>
      </c>
      <c r="N228">
        <v>2</v>
      </c>
    </row>
    <row r="229" spans="1:32" ht="18" customHeight="1" x14ac:dyDescent="0.25">
      <c r="A229">
        <v>1329315625</v>
      </c>
      <c r="B229" t="s">
        <v>333</v>
      </c>
      <c r="C229" t="s">
        <v>5</v>
      </c>
      <c r="D229" s="1">
        <v>46114.63041380787</v>
      </c>
      <c r="E229" s="2">
        <f t="shared" ca="1" si="22"/>
        <v>19</v>
      </c>
      <c r="F229" s="2" t="str">
        <f t="shared" ca="1" si="23"/>
        <v>15-19 dias</v>
      </c>
      <c r="G229" s="3">
        <f t="shared" si="24"/>
        <v>4</v>
      </c>
      <c r="H229" s="3">
        <f t="shared" si="25"/>
        <v>2026</v>
      </c>
      <c r="I229" s="3">
        <f t="shared" si="26"/>
        <v>146</v>
      </c>
      <c r="J229" s="3">
        <f t="shared" si="27"/>
        <v>28</v>
      </c>
      <c r="K229" s="5">
        <f t="shared" si="28"/>
        <v>0.19178082191780821</v>
      </c>
      <c r="L229" s="7">
        <f>1</f>
        <v>1</v>
      </c>
      <c r="Y229">
        <v>1</v>
      </c>
      <c r="AE229">
        <v>1</v>
      </c>
      <c r="AF229" s="1">
        <v>46126.73987495371</v>
      </c>
    </row>
    <row r="230" spans="1:32" ht="18" customHeight="1" x14ac:dyDescent="0.25">
      <c r="A230">
        <v>1309843488</v>
      </c>
      <c r="B230" t="s">
        <v>127</v>
      </c>
      <c r="C230" t="s">
        <v>5</v>
      </c>
      <c r="D230" s="1">
        <v>46086.628827731482</v>
      </c>
      <c r="E230" s="2">
        <f t="shared" ca="1" si="22"/>
        <v>47</v>
      </c>
      <c r="F230" s="2" t="str">
        <f t="shared" ca="1" si="23"/>
        <v>31-60 dias</v>
      </c>
      <c r="G230" s="3">
        <f t="shared" si="24"/>
        <v>3</v>
      </c>
      <c r="H230" s="3">
        <f t="shared" si="25"/>
        <v>2026</v>
      </c>
      <c r="I230" s="3">
        <f t="shared" si="26"/>
        <v>284</v>
      </c>
      <c r="J230" s="3">
        <f t="shared" si="27"/>
        <v>194</v>
      </c>
      <c r="K230" s="5">
        <f t="shared" si="28"/>
        <v>0.68309859154929575</v>
      </c>
      <c r="L230" s="7">
        <f>1</f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 t="s">
        <v>312</v>
      </c>
      <c r="AA230">
        <v>1</v>
      </c>
      <c r="AE230">
        <v>1</v>
      </c>
      <c r="AF230" s="1">
        <v>46118.511919305558</v>
      </c>
    </row>
    <row r="231" spans="1:32" ht="18" customHeight="1" x14ac:dyDescent="0.25">
      <c r="A231">
        <v>1315767784</v>
      </c>
      <c r="B231" t="s">
        <v>127</v>
      </c>
      <c r="C231" t="s">
        <v>5</v>
      </c>
      <c r="D231" s="1">
        <v>46093.630136504617</v>
      </c>
      <c r="E231" s="2">
        <f t="shared" ca="1" si="22"/>
        <v>40</v>
      </c>
      <c r="F231" s="2" t="str">
        <f t="shared" ca="1" si="23"/>
        <v>31-60 dias</v>
      </c>
      <c r="G231" s="3">
        <f t="shared" si="24"/>
        <v>3</v>
      </c>
      <c r="H231" s="3">
        <f t="shared" si="25"/>
        <v>2026</v>
      </c>
      <c r="I231" s="3">
        <f t="shared" si="26"/>
        <v>284</v>
      </c>
      <c r="J231" s="3">
        <f t="shared" si="27"/>
        <v>194</v>
      </c>
      <c r="K231" s="5">
        <f t="shared" si="28"/>
        <v>0.68309859154929575</v>
      </c>
      <c r="L231" s="7">
        <f>1</f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AB231">
        <v>1</v>
      </c>
      <c r="AF231" s="1">
        <v>46118.512726527777</v>
      </c>
    </row>
    <row r="232" spans="1:32" ht="18" customHeight="1" x14ac:dyDescent="0.25">
      <c r="A232">
        <v>1333386990</v>
      </c>
      <c r="B232" t="s">
        <v>372</v>
      </c>
      <c r="C232" t="s">
        <v>7</v>
      </c>
      <c r="D232" s="1">
        <v>46121.79685215278</v>
      </c>
      <c r="E232" s="2">
        <f t="shared" ca="1" si="22"/>
        <v>12</v>
      </c>
      <c r="F232" s="2" t="str">
        <f t="shared" ca="1" si="23"/>
        <v>0-14 dias</v>
      </c>
      <c r="G232" s="3">
        <f t="shared" si="24"/>
        <v>4</v>
      </c>
      <c r="H232" s="3">
        <f t="shared" si="25"/>
        <v>2026</v>
      </c>
      <c r="I232" s="3">
        <f t="shared" si="26"/>
        <v>146</v>
      </c>
      <c r="J232" s="3">
        <f t="shared" si="27"/>
        <v>28</v>
      </c>
      <c r="K232" s="5">
        <f t="shared" si="28"/>
        <v>0.19178082191780821</v>
      </c>
      <c r="L232" s="7">
        <f>1</f>
        <v>1</v>
      </c>
      <c r="O232">
        <v>1</v>
      </c>
      <c r="P232">
        <v>1</v>
      </c>
    </row>
    <row r="233" spans="1:32" ht="18" customHeight="1" x14ac:dyDescent="0.25">
      <c r="A233">
        <v>1320688920</v>
      </c>
      <c r="B233" t="s">
        <v>128</v>
      </c>
      <c r="C233" t="s">
        <v>5</v>
      </c>
      <c r="D233" s="1">
        <v>46100.797367847219</v>
      </c>
      <c r="E233" s="2">
        <f t="shared" ca="1" si="22"/>
        <v>33</v>
      </c>
      <c r="F233" s="2" t="str">
        <f t="shared" ca="1" si="23"/>
        <v>31-60 dias</v>
      </c>
      <c r="G233" s="3">
        <f t="shared" si="24"/>
        <v>3</v>
      </c>
      <c r="H233" s="3">
        <f t="shared" si="25"/>
        <v>2026</v>
      </c>
      <c r="I233" s="3">
        <f t="shared" si="26"/>
        <v>284</v>
      </c>
      <c r="J233" s="3">
        <f t="shared" si="27"/>
        <v>194</v>
      </c>
      <c r="K233" s="5">
        <f t="shared" si="28"/>
        <v>0.68309859154929575</v>
      </c>
      <c r="L233" s="7">
        <f>1</f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AB233">
        <v>1</v>
      </c>
      <c r="AF233" s="1">
        <v>46106.805827048607</v>
      </c>
    </row>
    <row r="234" spans="1:32" ht="18" customHeight="1" x14ac:dyDescent="0.25">
      <c r="A234">
        <v>1323528656</v>
      </c>
      <c r="B234" t="s">
        <v>129</v>
      </c>
      <c r="C234" t="s">
        <v>5</v>
      </c>
      <c r="D234" s="1">
        <v>46105.795971354157</v>
      </c>
      <c r="E234" s="2">
        <f t="shared" ca="1" si="22"/>
        <v>28</v>
      </c>
      <c r="F234" s="2" t="str">
        <f t="shared" ca="1" si="23"/>
        <v>25-30 dias</v>
      </c>
      <c r="G234" s="3">
        <f t="shared" si="24"/>
        <v>3</v>
      </c>
      <c r="H234" s="3">
        <f t="shared" si="25"/>
        <v>2026</v>
      </c>
      <c r="I234" s="3">
        <f t="shared" si="26"/>
        <v>284</v>
      </c>
      <c r="J234" s="3">
        <f t="shared" si="27"/>
        <v>194</v>
      </c>
      <c r="K234" s="5">
        <f t="shared" si="28"/>
        <v>0.68309859154929575</v>
      </c>
      <c r="L234" s="7">
        <f>1</f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 t="s">
        <v>312</v>
      </c>
      <c r="AA234">
        <v>1</v>
      </c>
      <c r="AE234">
        <v>1</v>
      </c>
      <c r="AF234" s="1">
        <v>46115.586950532408</v>
      </c>
    </row>
    <row r="235" spans="1:32" ht="18" customHeight="1" x14ac:dyDescent="0.25">
      <c r="A235">
        <v>1307300251</v>
      </c>
      <c r="B235" t="s">
        <v>334</v>
      </c>
      <c r="C235" t="s">
        <v>15</v>
      </c>
      <c r="D235" s="1">
        <v>46083.794130648152</v>
      </c>
      <c r="E235" s="2">
        <f t="shared" ca="1" si="22"/>
        <v>50</v>
      </c>
      <c r="F235" s="2" t="str">
        <f t="shared" ca="1" si="23"/>
        <v>31-60 dias</v>
      </c>
      <c r="G235" s="3">
        <f t="shared" si="24"/>
        <v>3</v>
      </c>
      <c r="H235" s="3">
        <f t="shared" si="25"/>
        <v>2026</v>
      </c>
      <c r="I235" s="3">
        <f t="shared" si="26"/>
        <v>284</v>
      </c>
      <c r="J235" s="3">
        <f t="shared" si="27"/>
        <v>194</v>
      </c>
      <c r="K235" s="5">
        <f t="shared" si="28"/>
        <v>0.68309859154929575</v>
      </c>
      <c r="L235" s="7">
        <f>1</f>
        <v>1</v>
      </c>
      <c r="M235">
        <v>0</v>
      </c>
      <c r="N235">
        <v>0</v>
      </c>
      <c r="O235">
        <v>0</v>
      </c>
      <c r="P235">
        <v>2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32" ht="18" customHeight="1" x14ac:dyDescent="0.25">
      <c r="A236">
        <v>1307009660</v>
      </c>
      <c r="B236" t="s">
        <v>130</v>
      </c>
      <c r="C236" t="s">
        <v>11</v>
      </c>
      <c r="D236" s="1">
        <v>46083.545421874987</v>
      </c>
      <c r="E236" s="2">
        <f t="shared" ca="1" si="22"/>
        <v>50</v>
      </c>
      <c r="F236" s="2" t="str">
        <f t="shared" ca="1" si="23"/>
        <v>31-60 dias</v>
      </c>
      <c r="G236" s="3">
        <f t="shared" si="24"/>
        <v>3</v>
      </c>
      <c r="H236" s="3">
        <f t="shared" si="25"/>
        <v>2026</v>
      </c>
      <c r="I236" s="3">
        <f t="shared" si="26"/>
        <v>284</v>
      </c>
      <c r="J236" s="3">
        <f t="shared" si="27"/>
        <v>194</v>
      </c>
      <c r="K236" s="5">
        <f t="shared" si="28"/>
        <v>0.68309859154929575</v>
      </c>
      <c r="L236" s="7">
        <f>1</f>
        <v>1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32" ht="18" customHeight="1" x14ac:dyDescent="0.25">
      <c r="A237">
        <v>1307211340</v>
      </c>
      <c r="B237" t="s">
        <v>131</v>
      </c>
      <c r="C237" t="s">
        <v>11</v>
      </c>
      <c r="D237" s="1">
        <v>46083.722213379631</v>
      </c>
      <c r="E237" s="2">
        <f t="shared" ca="1" si="22"/>
        <v>50</v>
      </c>
      <c r="F237" s="2" t="str">
        <f t="shared" ca="1" si="23"/>
        <v>31-60 dias</v>
      </c>
      <c r="G237" s="3">
        <f t="shared" si="24"/>
        <v>3</v>
      </c>
      <c r="H237" s="3">
        <f t="shared" si="25"/>
        <v>2026</v>
      </c>
      <c r="I237" s="3">
        <f t="shared" si="26"/>
        <v>284</v>
      </c>
      <c r="J237" s="3">
        <f t="shared" si="27"/>
        <v>194</v>
      </c>
      <c r="K237" s="5">
        <f t="shared" si="28"/>
        <v>0.68309859154929575</v>
      </c>
      <c r="L237" s="7">
        <f>1</f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32" ht="18" customHeight="1" x14ac:dyDescent="0.25">
      <c r="A238">
        <v>1318674416</v>
      </c>
      <c r="B238" t="s">
        <v>132</v>
      </c>
      <c r="C238" t="s">
        <v>5</v>
      </c>
      <c r="D238" s="1">
        <v>46097.92035915509</v>
      </c>
      <c r="E238" s="2">
        <f t="shared" ca="1" si="22"/>
        <v>36</v>
      </c>
      <c r="F238" s="2" t="str">
        <f t="shared" ca="1" si="23"/>
        <v>31-60 dias</v>
      </c>
      <c r="G238" s="3">
        <f t="shared" si="24"/>
        <v>3</v>
      </c>
      <c r="H238" s="3">
        <f t="shared" si="25"/>
        <v>2026</v>
      </c>
      <c r="I238" s="3">
        <f t="shared" si="26"/>
        <v>284</v>
      </c>
      <c r="J238" s="3">
        <f t="shared" si="27"/>
        <v>194</v>
      </c>
      <c r="K238" s="5">
        <f t="shared" si="28"/>
        <v>0.68309859154929575</v>
      </c>
      <c r="L238" s="7">
        <f>1</f>
        <v>1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AC238">
        <v>2</v>
      </c>
      <c r="AE238">
        <v>2</v>
      </c>
      <c r="AF238" s="1">
        <v>46115.567560729163</v>
      </c>
    </row>
    <row r="239" spans="1:32" ht="18" customHeight="1" x14ac:dyDescent="0.25">
      <c r="A239">
        <v>1331045989</v>
      </c>
      <c r="B239" t="s">
        <v>335</v>
      </c>
      <c r="C239" t="s">
        <v>5</v>
      </c>
      <c r="D239" s="1">
        <v>46118.514055949068</v>
      </c>
      <c r="E239" s="2">
        <f t="shared" ca="1" si="22"/>
        <v>15</v>
      </c>
      <c r="F239" s="2" t="str">
        <f t="shared" ca="1" si="23"/>
        <v>15-19 dias</v>
      </c>
      <c r="G239" s="3">
        <f t="shared" si="24"/>
        <v>4</v>
      </c>
      <c r="H239" s="3">
        <f t="shared" si="25"/>
        <v>2026</v>
      </c>
      <c r="I239" s="3">
        <f t="shared" si="26"/>
        <v>146</v>
      </c>
      <c r="J239" s="3">
        <f t="shared" si="27"/>
        <v>28</v>
      </c>
      <c r="K239" s="5">
        <f t="shared" si="28"/>
        <v>0.19178082191780821</v>
      </c>
      <c r="L239" s="7">
        <f>1</f>
        <v>1</v>
      </c>
      <c r="Y239">
        <v>2</v>
      </c>
      <c r="AE239">
        <v>2</v>
      </c>
      <c r="AF239" s="1">
        <v>46118.514889004633</v>
      </c>
    </row>
    <row r="240" spans="1:32" ht="18" customHeight="1" x14ac:dyDescent="0.25">
      <c r="A240">
        <v>1309289042</v>
      </c>
      <c r="B240" t="s">
        <v>133</v>
      </c>
      <c r="C240" t="s">
        <v>5</v>
      </c>
      <c r="D240" s="1">
        <v>46085.795724444441</v>
      </c>
      <c r="E240" s="2">
        <f t="shared" ca="1" si="22"/>
        <v>48</v>
      </c>
      <c r="F240" s="2" t="str">
        <f t="shared" ca="1" si="23"/>
        <v>31-60 dias</v>
      </c>
      <c r="G240" s="3">
        <f t="shared" si="24"/>
        <v>3</v>
      </c>
      <c r="H240" s="3">
        <f t="shared" si="25"/>
        <v>2026</v>
      </c>
      <c r="I240" s="3">
        <f t="shared" si="26"/>
        <v>284</v>
      </c>
      <c r="J240" s="3">
        <f t="shared" si="27"/>
        <v>194</v>
      </c>
      <c r="K240" s="5">
        <f t="shared" si="28"/>
        <v>0.68309859154929575</v>
      </c>
      <c r="L240" s="7">
        <f>1</f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AC240">
        <v>1</v>
      </c>
      <c r="AF240" s="1">
        <v>46100.728226886567</v>
      </c>
    </row>
    <row r="241" spans="1:32" ht="18" customHeight="1" x14ac:dyDescent="0.25">
      <c r="A241">
        <v>1322469634</v>
      </c>
      <c r="B241" t="s">
        <v>134</v>
      </c>
      <c r="C241" t="s">
        <v>5</v>
      </c>
      <c r="D241" s="1">
        <v>46104.544971805553</v>
      </c>
      <c r="E241" s="2">
        <f t="shared" ca="1" si="22"/>
        <v>29</v>
      </c>
      <c r="F241" s="2" t="str">
        <f t="shared" ca="1" si="23"/>
        <v>25-30 dias</v>
      </c>
      <c r="G241" s="3">
        <f t="shared" si="24"/>
        <v>3</v>
      </c>
      <c r="H241" s="3">
        <f t="shared" si="25"/>
        <v>2026</v>
      </c>
      <c r="I241" s="3">
        <f t="shared" si="26"/>
        <v>284</v>
      </c>
      <c r="J241" s="3">
        <f t="shared" si="27"/>
        <v>194</v>
      </c>
      <c r="K241" s="5">
        <f t="shared" si="28"/>
        <v>0.68309859154929575</v>
      </c>
      <c r="L241" s="7">
        <f>1</f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 t="s">
        <v>312</v>
      </c>
      <c r="AA241">
        <v>1</v>
      </c>
      <c r="AE241">
        <v>1</v>
      </c>
      <c r="AF241" s="1">
        <v>46127.621951736117</v>
      </c>
    </row>
    <row r="242" spans="1:32" ht="18" customHeight="1" x14ac:dyDescent="0.25">
      <c r="A242">
        <v>1326990360</v>
      </c>
      <c r="B242" t="s">
        <v>134</v>
      </c>
      <c r="C242" t="s">
        <v>5</v>
      </c>
      <c r="D242" s="1">
        <v>46111.543518761573</v>
      </c>
      <c r="E242" s="2">
        <f t="shared" ca="1" si="22"/>
        <v>22</v>
      </c>
      <c r="F242" s="2" t="str">
        <f t="shared" ca="1" si="23"/>
        <v>20-24 dias</v>
      </c>
      <c r="G242" s="3">
        <f t="shared" si="24"/>
        <v>3</v>
      </c>
      <c r="H242" s="3">
        <f t="shared" si="25"/>
        <v>2026</v>
      </c>
      <c r="I242" s="3">
        <f t="shared" si="26"/>
        <v>284</v>
      </c>
      <c r="J242" s="3">
        <f t="shared" si="27"/>
        <v>194</v>
      </c>
      <c r="K242" s="5">
        <f t="shared" si="28"/>
        <v>0.68309859154929575</v>
      </c>
      <c r="L242" s="7">
        <f>1</f>
        <v>1</v>
      </c>
      <c r="N242">
        <v>1</v>
      </c>
      <c r="Z242" t="s">
        <v>312</v>
      </c>
      <c r="AA242">
        <v>1</v>
      </c>
      <c r="AC242">
        <v>1</v>
      </c>
      <c r="AE242">
        <v>1</v>
      </c>
      <c r="AF242" s="1">
        <v>46127.635307488417</v>
      </c>
    </row>
    <row r="243" spans="1:32" ht="18" customHeight="1" x14ac:dyDescent="0.25">
      <c r="A243">
        <v>1338899052</v>
      </c>
      <c r="B243" t="s">
        <v>134</v>
      </c>
      <c r="C243" t="s">
        <v>7</v>
      </c>
      <c r="D243" s="1">
        <v>46132.545846307868</v>
      </c>
      <c r="E243" s="2">
        <f t="shared" ca="1" si="22"/>
        <v>1</v>
      </c>
      <c r="F243" s="2" t="str">
        <f t="shared" ca="1" si="23"/>
        <v>0-14 dias</v>
      </c>
      <c r="G243" s="3">
        <f t="shared" si="24"/>
        <v>4</v>
      </c>
      <c r="H243" s="3">
        <f t="shared" si="25"/>
        <v>2026</v>
      </c>
      <c r="I243" s="3">
        <f t="shared" si="26"/>
        <v>146</v>
      </c>
      <c r="J243" s="3">
        <f t="shared" si="27"/>
        <v>28</v>
      </c>
      <c r="K243" s="5">
        <f t="shared" si="28"/>
        <v>0.19178082191780821</v>
      </c>
      <c r="L243" s="7">
        <f>1</f>
        <v>1</v>
      </c>
      <c r="T243">
        <v>1</v>
      </c>
    </row>
    <row r="244" spans="1:32" ht="18" customHeight="1" x14ac:dyDescent="0.25">
      <c r="A244">
        <v>1307989467</v>
      </c>
      <c r="B244" t="s">
        <v>135</v>
      </c>
      <c r="C244" t="s">
        <v>5</v>
      </c>
      <c r="D244" s="1">
        <v>46084.501098252309</v>
      </c>
      <c r="E244" s="2">
        <f t="shared" ca="1" si="22"/>
        <v>49</v>
      </c>
      <c r="F244" s="2" t="str">
        <f t="shared" ca="1" si="23"/>
        <v>31-60 dias</v>
      </c>
      <c r="G244" s="3">
        <f t="shared" si="24"/>
        <v>3</v>
      </c>
      <c r="H244" s="3">
        <f t="shared" si="25"/>
        <v>2026</v>
      </c>
      <c r="I244" s="3">
        <f t="shared" si="26"/>
        <v>284</v>
      </c>
      <c r="J244" s="3">
        <f t="shared" si="27"/>
        <v>194</v>
      </c>
      <c r="K244" s="5">
        <f t="shared" si="28"/>
        <v>0.68309859154929575</v>
      </c>
      <c r="L244" s="7">
        <f>1</f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 t="s">
        <v>312</v>
      </c>
      <c r="AA244">
        <v>1</v>
      </c>
      <c r="AE244">
        <v>1</v>
      </c>
      <c r="AF244" s="1">
        <v>46127.636580844897</v>
      </c>
    </row>
    <row r="245" spans="1:32" ht="18" customHeight="1" x14ac:dyDescent="0.25">
      <c r="A245">
        <v>1338302091</v>
      </c>
      <c r="B245" t="s">
        <v>433</v>
      </c>
      <c r="C245" t="s">
        <v>7</v>
      </c>
      <c r="D245" s="1">
        <v>46129.922018032397</v>
      </c>
      <c r="E245" s="2">
        <f t="shared" ca="1" si="22"/>
        <v>4</v>
      </c>
      <c r="F245" s="2" t="str">
        <f t="shared" ca="1" si="23"/>
        <v>0-14 dias</v>
      </c>
      <c r="G245" s="3">
        <f t="shared" si="24"/>
        <v>4</v>
      </c>
      <c r="H245" s="3">
        <f t="shared" si="25"/>
        <v>2026</v>
      </c>
      <c r="I245" s="3">
        <f t="shared" si="26"/>
        <v>146</v>
      </c>
      <c r="J245" s="3">
        <f t="shared" si="27"/>
        <v>28</v>
      </c>
      <c r="K245" s="5">
        <f t="shared" si="28"/>
        <v>0.19178082191780821</v>
      </c>
      <c r="L245" s="7">
        <f>1</f>
        <v>1</v>
      </c>
      <c r="N245">
        <v>1</v>
      </c>
      <c r="P245">
        <v>1</v>
      </c>
    </row>
    <row r="246" spans="1:32" ht="18" customHeight="1" x14ac:dyDescent="0.25">
      <c r="A246">
        <v>1315964078</v>
      </c>
      <c r="B246" t="s">
        <v>136</v>
      </c>
      <c r="C246" t="s">
        <v>21</v>
      </c>
      <c r="D246" s="1">
        <v>46093.795697696747</v>
      </c>
      <c r="E246" s="2">
        <f t="shared" ca="1" si="22"/>
        <v>40</v>
      </c>
      <c r="F246" s="2" t="str">
        <f t="shared" ca="1" si="23"/>
        <v>31-60 dias</v>
      </c>
      <c r="G246" s="3">
        <f t="shared" si="24"/>
        <v>3</v>
      </c>
      <c r="H246" s="3">
        <f t="shared" si="25"/>
        <v>2026</v>
      </c>
      <c r="I246" s="3">
        <f t="shared" si="26"/>
        <v>284</v>
      </c>
      <c r="J246" s="3">
        <f t="shared" si="27"/>
        <v>194</v>
      </c>
      <c r="K246" s="5">
        <f t="shared" si="28"/>
        <v>0.68309859154929575</v>
      </c>
      <c r="L246" s="7">
        <f>1</f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 spans="1:32" ht="18" customHeight="1" x14ac:dyDescent="0.25">
      <c r="A247">
        <v>1308193195</v>
      </c>
      <c r="B247" t="s">
        <v>336</v>
      </c>
      <c r="C247" t="s">
        <v>137</v>
      </c>
      <c r="D247" s="1">
        <v>46084.628923321761</v>
      </c>
      <c r="E247" s="2">
        <f t="shared" ca="1" si="22"/>
        <v>49</v>
      </c>
      <c r="F247" s="2" t="str">
        <f t="shared" ca="1" si="23"/>
        <v>31-60 dias</v>
      </c>
      <c r="G247" s="3">
        <f t="shared" si="24"/>
        <v>3</v>
      </c>
      <c r="H247" s="3">
        <f t="shared" si="25"/>
        <v>2026</v>
      </c>
      <c r="I247" s="3">
        <f t="shared" si="26"/>
        <v>284</v>
      </c>
      <c r="J247" s="3">
        <f t="shared" si="27"/>
        <v>194</v>
      </c>
      <c r="K247" s="5">
        <f t="shared" si="28"/>
        <v>0.68309859154929575</v>
      </c>
      <c r="L247" s="7">
        <f>1</f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 spans="1:32" ht="18" customHeight="1" x14ac:dyDescent="0.25">
      <c r="A248">
        <v>1327409142</v>
      </c>
      <c r="B248" t="s">
        <v>285</v>
      </c>
      <c r="C248" t="s">
        <v>11</v>
      </c>
      <c r="D248" s="1">
        <v>46111.919549004633</v>
      </c>
      <c r="E248" s="2">
        <f t="shared" ca="1" si="22"/>
        <v>22</v>
      </c>
      <c r="F248" s="2" t="str">
        <f t="shared" ca="1" si="23"/>
        <v>20-24 dias</v>
      </c>
      <c r="G248" s="3">
        <f t="shared" si="24"/>
        <v>3</v>
      </c>
      <c r="H248" s="3">
        <f t="shared" si="25"/>
        <v>2026</v>
      </c>
      <c r="I248" s="3">
        <f t="shared" si="26"/>
        <v>284</v>
      </c>
      <c r="J248" s="3">
        <f t="shared" si="27"/>
        <v>194</v>
      </c>
      <c r="K248" s="5">
        <f t="shared" si="28"/>
        <v>0.68309859154929575</v>
      </c>
      <c r="L248" s="7">
        <f>1</f>
        <v>1</v>
      </c>
      <c r="AA248">
        <v>1</v>
      </c>
      <c r="AC248">
        <v>1</v>
      </c>
      <c r="AE248">
        <v>1</v>
      </c>
    </row>
    <row r="249" spans="1:32" ht="18" customHeight="1" x14ac:dyDescent="0.25">
      <c r="A249">
        <v>1318539147</v>
      </c>
      <c r="B249" t="s">
        <v>138</v>
      </c>
      <c r="C249" t="s">
        <v>5</v>
      </c>
      <c r="D249" s="1">
        <v>46097.795750462959</v>
      </c>
      <c r="E249" s="2">
        <f t="shared" ca="1" si="22"/>
        <v>36</v>
      </c>
      <c r="F249" s="2" t="str">
        <f t="shared" ca="1" si="23"/>
        <v>31-60 dias</v>
      </c>
      <c r="G249" s="3">
        <f t="shared" si="24"/>
        <v>3</v>
      </c>
      <c r="H249" s="3">
        <f t="shared" si="25"/>
        <v>2026</v>
      </c>
      <c r="I249" s="3">
        <f t="shared" si="26"/>
        <v>284</v>
      </c>
      <c r="J249" s="3">
        <f t="shared" si="27"/>
        <v>194</v>
      </c>
      <c r="K249" s="5">
        <f t="shared" si="28"/>
        <v>0.68309859154929575</v>
      </c>
      <c r="L249" s="7">
        <f>1</f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AB249">
        <v>1</v>
      </c>
      <c r="AF249" s="1">
        <v>46107.744310266207</v>
      </c>
    </row>
    <row r="250" spans="1:32" ht="18" customHeight="1" x14ac:dyDescent="0.25">
      <c r="A250">
        <v>1319291592</v>
      </c>
      <c r="B250" t="s">
        <v>139</v>
      </c>
      <c r="C250" t="s">
        <v>5</v>
      </c>
      <c r="D250" s="1">
        <v>46098.795455428241</v>
      </c>
      <c r="E250" s="2">
        <f t="shared" ca="1" si="22"/>
        <v>35</v>
      </c>
      <c r="F250" s="2" t="str">
        <f t="shared" ca="1" si="23"/>
        <v>31-60 dias</v>
      </c>
      <c r="G250" s="3">
        <f t="shared" si="24"/>
        <v>3</v>
      </c>
      <c r="H250" s="3">
        <f t="shared" si="25"/>
        <v>2026</v>
      </c>
      <c r="I250" s="3">
        <f t="shared" si="26"/>
        <v>284</v>
      </c>
      <c r="J250" s="3">
        <f t="shared" si="27"/>
        <v>194</v>
      </c>
      <c r="K250" s="5">
        <f t="shared" si="28"/>
        <v>0.68309859154929575</v>
      </c>
      <c r="L250" s="7">
        <f>1</f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AE250">
        <v>1</v>
      </c>
      <c r="AF250" s="1">
        <v>46118.516988344913</v>
      </c>
    </row>
    <row r="251" spans="1:32" ht="18" customHeight="1" x14ac:dyDescent="0.25">
      <c r="A251">
        <v>1309288986</v>
      </c>
      <c r="B251" t="s">
        <v>140</v>
      </c>
      <c r="C251" t="s">
        <v>21</v>
      </c>
      <c r="D251" s="1">
        <v>46085.795674236113</v>
      </c>
      <c r="E251" s="2">
        <f t="shared" ca="1" si="22"/>
        <v>48</v>
      </c>
      <c r="F251" s="2" t="str">
        <f t="shared" ca="1" si="23"/>
        <v>31-60 dias</v>
      </c>
      <c r="G251" s="3">
        <f t="shared" si="24"/>
        <v>3</v>
      </c>
      <c r="H251" s="3">
        <f t="shared" si="25"/>
        <v>2026</v>
      </c>
      <c r="I251" s="3">
        <f t="shared" si="26"/>
        <v>284</v>
      </c>
      <c r="J251" s="3">
        <f t="shared" si="27"/>
        <v>194</v>
      </c>
      <c r="K251" s="5">
        <f t="shared" si="28"/>
        <v>0.68309859154929575</v>
      </c>
      <c r="L251" s="7">
        <f>1</f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32" ht="18" customHeight="1" x14ac:dyDescent="0.25">
      <c r="A252">
        <v>1307051648</v>
      </c>
      <c r="B252" t="s">
        <v>141</v>
      </c>
      <c r="C252" t="s">
        <v>15</v>
      </c>
      <c r="D252" s="1">
        <v>46083.582260034716</v>
      </c>
      <c r="E252" s="2">
        <f t="shared" ca="1" si="22"/>
        <v>50</v>
      </c>
      <c r="F252" s="2" t="str">
        <f t="shared" ca="1" si="23"/>
        <v>31-60 dias</v>
      </c>
      <c r="G252" s="3">
        <f t="shared" si="24"/>
        <v>3</v>
      </c>
      <c r="H252" s="3">
        <f t="shared" si="25"/>
        <v>2026</v>
      </c>
      <c r="I252" s="3">
        <f t="shared" si="26"/>
        <v>284</v>
      </c>
      <c r="J252" s="3">
        <f t="shared" si="27"/>
        <v>194</v>
      </c>
      <c r="K252" s="5">
        <f t="shared" si="28"/>
        <v>0.68309859154929575</v>
      </c>
      <c r="L252" s="7">
        <f>1</f>
        <v>1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</v>
      </c>
    </row>
    <row r="253" spans="1:32" ht="18" customHeight="1" x14ac:dyDescent="0.25">
      <c r="A253">
        <v>1307051411</v>
      </c>
      <c r="B253" t="s">
        <v>141</v>
      </c>
      <c r="C253" t="s">
        <v>15</v>
      </c>
      <c r="D253" s="1">
        <v>46083.582047337957</v>
      </c>
      <c r="E253" s="2">
        <f t="shared" ca="1" si="22"/>
        <v>50</v>
      </c>
      <c r="F253" s="2" t="str">
        <f t="shared" ca="1" si="23"/>
        <v>31-60 dias</v>
      </c>
      <c r="G253" s="3">
        <f t="shared" si="24"/>
        <v>3</v>
      </c>
      <c r="H253" s="3">
        <f t="shared" si="25"/>
        <v>2026</v>
      </c>
      <c r="I253" s="3">
        <f t="shared" si="26"/>
        <v>284</v>
      </c>
      <c r="J253" s="3">
        <f t="shared" si="27"/>
        <v>194</v>
      </c>
      <c r="K253" s="5">
        <f t="shared" si="28"/>
        <v>0.68309859154929575</v>
      </c>
      <c r="L253" s="7">
        <f>1</f>
        <v>1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</row>
    <row r="254" spans="1:32" ht="18" customHeight="1" x14ac:dyDescent="0.25">
      <c r="A254">
        <v>1314554796</v>
      </c>
      <c r="B254" t="s">
        <v>142</v>
      </c>
      <c r="C254" t="s">
        <v>21</v>
      </c>
      <c r="D254" s="1">
        <v>46092.627885983791</v>
      </c>
      <c r="E254" s="2">
        <f t="shared" ca="1" si="22"/>
        <v>41</v>
      </c>
      <c r="F254" s="2" t="str">
        <f t="shared" ca="1" si="23"/>
        <v>31-60 dias</v>
      </c>
      <c r="G254" s="3">
        <f t="shared" si="24"/>
        <v>3</v>
      </c>
      <c r="H254" s="3">
        <f t="shared" si="25"/>
        <v>2026</v>
      </c>
      <c r="I254" s="3">
        <f t="shared" si="26"/>
        <v>284</v>
      </c>
      <c r="J254" s="3">
        <f t="shared" si="27"/>
        <v>194</v>
      </c>
      <c r="K254" s="5">
        <f t="shared" si="28"/>
        <v>0.68309859154929575</v>
      </c>
      <c r="L254" s="7">
        <f>1</f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32" ht="18" customHeight="1" x14ac:dyDescent="0.25">
      <c r="A255">
        <v>1314026388</v>
      </c>
      <c r="B255" t="s">
        <v>143</v>
      </c>
      <c r="C255" t="s">
        <v>5</v>
      </c>
      <c r="D255" s="1">
        <v>46091.849420613427</v>
      </c>
      <c r="E255" s="2">
        <f t="shared" ca="1" si="22"/>
        <v>42</v>
      </c>
      <c r="F255" s="2" t="str">
        <f t="shared" ca="1" si="23"/>
        <v>31-60 dias</v>
      </c>
      <c r="G255" s="3">
        <f t="shared" si="24"/>
        <v>3</v>
      </c>
      <c r="H255" s="3">
        <f t="shared" si="25"/>
        <v>2026</v>
      </c>
      <c r="I255" s="3">
        <f t="shared" si="26"/>
        <v>284</v>
      </c>
      <c r="J255" s="3">
        <f t="shared" si="27"/>
        <v>194</v>
      </c>
      <c r="K255" s="5">
        <f t="shared" si="28"/>
        <v>0.68309859154929575</v>
      </c>
      <c r="L255" s="7">
        <f>1</f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312</v>
      </c>
      <c r="AA255">
        <v>1</v>
      </c>
      <c r="AC255">
        <v>0</v>
      </c>
      <c r="AF255" s="1">
        <v>46091.853840138887</v>
      </c>
    </row>
    <row r="256" spans="1:32" ht="18" customHeight="1" x14ac:dyDescent="0.25">
      <c r="A256">
        <v>1321371895</v>
      </c>
      <c r="B256" t="s">
        <v>144</v>
      </c>
      <c r="C256" t="s">
        <v>5</v>
      </c>
      <c r="D256" s="1">
        <v>46101.796739467587</v>
      </c>
      <c r="E256" s="2">
        <f t="shared" ca="1" si="22"/>
        <v>32</v>
      </c>
      <c r="F256" s="2" t="str">
        <f t="shared" ca="1" si="23"/>
        <v>31-60 dias</v>
      </c>
      <c r="G256" s="3">
        <f t="shared" si="24"/>
        <v>3</v>
      </c>
      <c r="H256" s="3">
        <f t="shared" si="25"/>
        <v>2026</v>
      </c>
      <c r="I256" s="3">
        <f t="shared" si="26"/>
        <v>284</v>
      </c>
      <c r="J256" s="3">
        <f t="shared" si="27"/>
        <v>194</v>
      </c>
      <c r="K256" s="5">
        <f t="shared" si="28"/>
        <v>0.68309859154929575</v>
      </c>
      <c r="L256" s="7">
        <f>1</f>
        <v>1</v>
      </c>
      <c r="M256">
        <v>0</v>
      </c>
      <c r="N256">
        <v>0</v>
      </c>
      <c r="O256">
        <v>0</v>
      </c>
      <c r="P256">
        <v>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AE256">
        <v>7</v>
      </c>
      <c r="AF256" s="1">
        <v>46115.662156180559</v>
      </c>
    </row>
    <row r="257" spans="1:32" ht="18" customHeight="1" x14ac:dyDescent="0.25">
      <c r="A257">
        <v>1333387158</v>
      </c>
      <c r="B257" t="s">
        <v>373</v>
      </c>
      <c r="C257" t="s">
        <v>7</v>
      </c>
      <c r="D257" s="1">
        <v>46121.797069108798</v>
      </c>
      <c r="E257" s="2">
        <f t="shared" ca="1" si="22"/>
        <v>12</v>
      </c>
      <c r="F257" s="2" t="str">
        <f t="shared" ca="1" si="23"/>
        <v>0-14 dias</v>
      </c>
      <c r="G257" s="3">
        <f t="shared" si="24"/>
        <v>4</v>
      </c>
      <c r="H257" s="3">
        <f t="shared" si="25"/>
        <v>2026</v>
      </c>
      <c r="I257" s="3">
        <f t="shared" si="26"/>
        <v>146</v>
      </c>
      <c r="J257" s="3">
        <f t="shared" si="27"/>
        <v>28</v>
      </c>
      <c r="K257" s="5">
        <f t="shared" si="28"/>
        <v>0.19178082191780821</v>
      </c>
      <c r="L257" s="7">
        <f>1</f>
        <v>1</v>
      </c>
      <c r="Y257">
        <v>2</v>
      </c>
    </row>
    <row r="258" spans="1:32" ht="18" customHeight="1" x14ac:dyDescent="0.25">
      <c r="A258">
        <v>1310165697</v>
      </c>
      <c r="B258" t="s">
        <v>145</v>
      </c>
      <c r="C258" t="s">
        <v>5</v>
      </c>
      <c r="D258" s="1">
        <v>46086.920527881943</v>
      </c>
      <c r="E258" s="2">
        <f t="shared" ca="1" si="22"/>
        <v>47</v>
      </c>
      <c r="F258" s="2" t="str">
        <f t="shared" ca="1" si="23"/>
        <v>31-60 dias</v>
      </c>
      <c r="G258" s="3">
        <f t="shared" si="24"/>
        <v>3</v>
      </c>
      <c r="H258" s="3">
        <f t="shared" si="25"/>
        <v>2026</v>
      </c>
      <c r="I258" s="3">
        <f t="shared" si="26"/>
        <v>284</v>
      </c>
      <c r="J258" s="3">
        <f t="shared" si="27"/>
        <v>194</v>
      </c>
      <c r="K258" s="5">
        <f t="shared" si="28"/>
        <v>0.68309859154929575</v>
      </c>
      <c r="L258" s="7">
        <f>1</f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AE258">
        <v>1</v>
      </c>
      <c r="AF258" s="1">
        <v>46104.779499722223</v>
      </c>
    </row>
    <row r="259" spans="1:32" ht="18" customHeight="1" x14ac:dyDescent="0.25">
      <c r="A259">
        <v>1333493846</v>
      </c>
      <c r="B259" t="s">
        <v>374</v>
      </c>
      <c r="C259" t="s">
        <v>7</v>
      </c>
      <c r="D259" s="1">
        <v>46121.921324814823</v>
      </c>
      <c r="E259" s="2">
        <f t="shared" ref="E259:E322" ca="1" si="29">INT(TODAY() - D259)</f>
        <v>12</v>
      </c>
      <c r="F259" s="2" t="str">
        <f t="shared" ref="F259:F322" ca="1" si="30">IF(E259&lt;=14,"0-14 dias",
IF(E259&lt;=19,"15-19 dias",
IF(E259&lt;=24,"20-24 dias",
IF(E259&lt;=30,"25-30 dias",
IF(E259&lt;=60,"31-60 dias",
"&gt;60 dias")))))</f>
        <v>0-14 dias</v>
      </c>
      <c r="G259" s="3">
        <f t="shared" ref="G259:G322" si="31">MONTH(D259)</f>
        <v>4</v>
      </c>
      <c r="H259" s="3">
        <f t="shared" ref="H259:H322" si="32">YEAR(D259)</f>
        <v>2026</v>
      </c>
      <c r="I259" s="3">
        <f t="shared" ref="I259:I322" si="33">COUNTIFS(G:G,G259)</f>
        <v>146</v>
      </c>
      <c r="J259" s="3">
        <f t="shared" ref="J259:J322" si="34">COUNTIFS(G:G,G259,C:C,"Recebido")</f>
        <v>28</v>
      </c>
      <c r="K259" s="5">
        <f t="shared" ref="K259:K322" si="35">(J259/I259)</f>
        <v>0.19178082191780821</v>
      </c>
      <c r="L259" s="7">
        <f>1</f>
        <v>1</v>
      </c>
      <c r="N259">
        <v>1</v>
      </c>
    </row>
    <row r="260" spans="1:32" ht="18" customHeight="1" x14ac:dyDescent="0.25">
      <c r="A260">
        <v>1308579829</v>
      </c>
      <c r="B260" t="s">
        <v>146</v>
      </c>
      <c r="C260" t="s">
        <v>5</v>
      </c>
      <c r="D260" s="1">
        <v>46084.919611365738</v>
      </c>
      <c r="E260" s="2">
        <f t="shared" ca="1" si="29"/>
        <v>49</v>
      </c>
      <c r="F260" s="2" t="str">
        <f t="shared" ca="1" si="30"/>
        <v>31-60 dias</v>
      </c>
      <c r="G260" s="3">
        <f t="shared" si="31"/>
        <v>3</v>
      </c>
      <c r="H260" s="3">
        <f t="shared" si="32"/>
        <v>2026</v>
      </c>
      <c r="I260" s="3">
        <f t="shared" si="33"/>
        <v>284</v>
      </c>
      <c r="J260" s="3">
        <f t="shared" si="34"/>
        <v>194</v>
      </c>
      <c r="K260" s="5">
        <f t="shared" si="35"/>
        <v>0.68309859154929575</v>
      </c>
      <c r="L260" s="7">
        <f>1</f>
        <v>1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AC260">
        <v>1</v>
      </c>
      <c r="AF260" s="1">
        <v>46100.72900118056</v>
      </c>
    </row>
    <row r="261" spans="1:32" ht="18" customHeight="1" x14ac:dyDescent="0.25">
      <c r="A261">
        <v>1314095684</v>
      </c>
      <c r="B261" t="s">
        <v>147</v>
      </c>
      <c r="C261" t="s">
        <v>5</v>
      </c>
      <c r="D261" s="1">
        <v>46091.920076481481</v>
      </c>
      <c r="E261" s="2">
        <f t="shared" ca="1" si="29"/>
        <v>42</v>
      </c>
      <c r="F261" s="2" t="str">
        <f t="shared" ca="1" si="30"/>
        <v>31-60 dias</v>
      </c>
      <c r="G261" s="3">
        <f t="shared" si="31"/>
        <v>3</v>
      </c>
      <c r="H261" s="3">
        <f t="shared" si="32"/>
        <v>2026</v>
      </c>
      <c r="I261" s="3">
        <f t="shared" si="33"/>
        <v>284</v>
      </c>
      <c r="J261" s="3">
        <f t="shared" si="34"/>
        <v>194</v>
      </c>
      <c r="K261" s="5">
        <f t="shared" si="35"/>
        <v>0.68309859154929575</v>
      </c>
      <c r="L261" s="7">
        <f>1</f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AF261" s="1">
        <v>46104.747974270838</v>
      </c>
    </row>
    <row r="262" spans="1:32" ht="18" customHeight="1" x14ac:dyDescent="0.25">
      <c r="A262">
        <v>1335440502</v>
      </c>
      <c r="B262" t="s">
        <v>434</v>
      </c>
      <c r="C262" t="s">
        <v>7</v>
      </c>
      <c r="D262" s="1">
        <v>46125.898829305559</v>
      </c>
      <c r="E262" s="2">
        <f t="shared" ca="1" si="29"/>
        <v>8</v>
      </c>
      <c r="F262" s="2" t="str">
        <f t="shared" ca="1" si="30"/>
        <v>0-14 dias</v>
      </c>
      <c r="G262" s="3">
        <f t="shared" si="31"/>
        <v>4</v>
      </c>
      <c r="H262" s="3">
        <f t="shared" si="32"/>
        <v>2026</v>
      </c>
      <c r="I262" s="3">
        <f t="shared" si="33"/>
        <v>146</v>
      </c>
      <c r="J262" s="3">
        <f t="shared" si="34"/>
        <v>28</v>
      </c>
      <c r="K262" s="5">
        <f t="shared" si="35"/>
        <v>0.19178082191780821</v>
      </c>
      <c r="L262" s="7">
        <f>1</f>
        <v>1</v>
      </c>
      <c r="R262">
        <v>1</v>
      </c>
    </row>
    <row r="263" spans="1:32" ht="18" customHeight="1" x14ac:dyDescent="0.25">
      <c r="A263">
        <v>1309288491</v>
      </c>
      <c r="B263" t="s">
        <v>148</v>
      </c>
      <c r="C263" t="s">
        <v>11</v>
      </c>
      <c r="D263" s="1">
        <v>46085.795207106479</v>
      </c>
      <c r="E263" s="2">
        <f t="shared" ca="1" si="29"/>
        <v>48</v>
      </c>
      <c r="F263" s="2" t="str">
        <f t="shared" ca="1" si="30"/>
        <v>31-60 dias</v>
      </c>
      <c r="G263" s="3">
        <f t="shared" si="31"/>
        <v>3</v>
      </c>
      <c r="H263" s="3">
        <f t="shared" si="32"/>
        <v>2026</v>
      </c>
      <c r="I263" s="3">
        <f t="shared" si="33"/>
        <v>284</v>
      </c>
      <c r="J263" s="3">
        <f t="shared" si="34"/>
        <v>194</v>
      </c>
      <c r="K263" s="5">
        <f t="shared" si="35"/>
        <v>0.68309859154929575</v>
      </c>
      <c r="L263" s="7">
        <f>1</f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32" ht="18" customHeight="1" x14ac:dyDescent="0.25">
      <c r="A264">
        <v>1315003603</v>
      </c>
      <c r="B264" t="s">
        <v>149</v>
      </c>
      <c r="C264" t="s">
        <v>5</v>
      </c>
      <c r="D264" s="1">
        <v>46092.92149119213</v>
      </c>
      <c r="E264" s="2">
        <f t="shared" ca="1" si="29"/>
        <v>41</v>
      </c>
      <c r="F264" s="2" t="str">
        <f t="shared" ca="1" si="30"/>
        <v>31-60 dias</v>
      </c>
      <c r="G264" s="3">
        <f t="shared" si="31"/>
        <v>3</v>
      </c>
      <c r="H264" s="3">
        <f t="shared" si="32"/>
        <v>2026</v>
      </c>
      <c r="I264" s="3">
        <f t="shared" si="33"/>
        <v>284</v>
      </c>
      <c r="J264" s="3">
        <f t="shared" si="34"/>
        <v>194</v>
      </c>
      <c r="K264" s="5">
        <f t="shared" si="35"/>
        <v>0.68309859154929575</v>
      </c>
      <c r="L264" s="7">
        <f>1</f>
        <v>1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AB264">
        <v>2</v>
      </c>
      <c r="AC264">
        <v>2</v>
      </c>
      <c r="AF264" s="1">
        <v>46105.792030775468</v>
      </c>
    </row>
    <row r="265" spans="1:32" ht="18" customHeight="1" x14ac:dyDescent="0.25">
      <c r="A265">
        <v>1329552275</v>
      </c>
      <c r="B265" t="s">
        <v>337</v>
      </c>
      <c r="C265" t="s">
        <v>18</v>
      </c>
      <c r="D265" s="1">
        <v>46114.797244791669</v>
      </c>
      <c r="E265" s="2">
        <f t="shared" ca="1" si="29"/>
        <v>19</v>
      </c>
      <c r="F265" s="2" t="str">
        <f t="shared" ca="1" si="30"/>
        <v>15-19 dias</v>
      </c>
      <c r="G265" s="3">
        <f t="shared" si="31"/>
        <v>4</v>
      </c>
      <c r="H265" s="3">
        <f t="shared" si="32"/>
        <v>2026</v>
      </c>
      <c r="I265" s="3">
        <f t="shared" si="33"/>
        <v>146</v>
      </c>
      <c r="J265" s="3">
        <f t="shared" si="34"/>
        <v>28</v>
      </c>
      <c r="K265" s="5">
        <f t="shared" si="35"/>
        <v>0.19178082191780821</v>
      </c>
      <c r="L265" s="7">
        <f>1</f>
        <v>1</v>
      </c>
      <c r="O265">
        <v>1</v>
      </c>
    </row>
    <row r="266" spans="1:32" ht="18" customHeight="1" x14ac:dyDescent="0.25">
      <c r="A266">
        <v>1313162031</v>
      </c>
      <c r="B266" t="s">
        <v>150</v>
      </c>
      <c r="C266" t="s">
        <v>21</v>
      </c>
      <c r="D266" s="1">
        <v>46090.796879606482</v>
      </c>
      <c r="E266" s="2">
        <f t="shared" ca="1" si="29"/>
        <v>43</v>
      </c>
      <c r="F266" s="2" t="str">
        <f t="shared" ca="1" si="30"/>
        <v>31-60 dias</v>
      </c>
      <c r="G266" s="3">
        <f t="shared" si="31"/>
        <v>3</v>
      </c>
      <c r="H266" s="3">
        <f t="shared" si="32"/>
        <v>2026</v>
      </c>
      <c r="I266" s="3">
        <f t="shared" si="33"/>
        <v>284</v>
      </c>
      <c r="J266" s="3">
        <f t="shared" si="34"/>
        <v>194</v>
      </c>
      <c r="K266" s="5">
        <f t="shared" si="35"/>
        <v>0.68309859154929575</v>
      </c>
      <c r="L266" s="7">
        <f>1</f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32" ht="18" customHeight="1" x14ac:dyDescent="0.25">
      <c r="A267">
        <v>1332841402</v>
      </c>
      <c r="B267" t="s">
        <v>375</v>
      </c>
      <c r="C267" t="s">
        <v>7</v>
      </c>
      <c r="D267" s="1">
        <v>46120.794821157411</v>
      </c>
      <c r="E267" s="2">
        <f t="shared" ca="1" si="29"/>
        <v>13</v>
      </c>
      <c r="F267" s="2" t="str">
        <f t="shared" ca="1" si="30"/>
        <v>0-14 dias</v>
      </c>
      <c r="G267" s="3">
        <f t="shared" si="31"/>
        <v>4</v>
      </c>
      <c r="H267" s="3">
        <f t="shared" si="32"/>
        <v>2026</v>
      </c>
      <c r="I267" s="3">
        <f t="shared" si="33"/>
        <v>146</v>
      </c>
      <c r="J267" s="3">
        <f t="shared" si="34"/>
        <v>28</v>
      </c>
      <c r="K267" s="5">
        <f t="shared" si="35"/>
        <v>0.19178082191780821</v>
      </c>
      <c r="L267" s="7">
        <f>1</f>
        <v>1</v>
      </c>
      <c r="N267">
        <v>2</v>
      </c>
    </row>
    <row r="268" spans="1:32" ht="18" customHeight="1" x14ac:dyDescent="0.25">
      <c r="A268">
        <v>1313799693</v>
      </c>
      <c r="B268" t="s">
        <v>151</v>
      </c>
      <c r="C268" t="s">
        <v>5</v>
      </c>
      <c r="D268" s="1">
        <v>46091.628456076389</v>
      </c>
      <c r="E268" s="2">
        <f t="shared" ca="1" si="29"/>
        <v>42</v>
      </c>
      <c r="F268" s="2" t="str">
        <f t="shared" ca="1" si="30"/>
        <v>31-60 dias</v>
      </c>
      <c r="G268" s="3">
        <f t="shared" si="31"/>
        <v>3</v>
      </c>
      <c r="H268" s="3">
        <f t="shared" si="32"/>
        <v>2026</v>
      </c>
      <c r="I268" s="3">
        <f t="shared" si="33"/>
        <v>284</v>
      </c>
      <c r="J268" s="3">
        <f t="shared" si="34"/>
        <v>194</v>
      </c>
      <c r="K268" s="5">
        <f t="shared" si="35"/>
        <v>0.68309859154929575</v>
      </c>
      <c r="L268" s="7">
        <f>1</f>
        <v>1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AE268">
        <v>1</v>
      </c>
      <c r="AF268" s="1">
        <v>46104.754252858787</v>
      </c>
    </row>
    <row r="269" spans="1:32" ht="18" customHeight="1" x14ac:dyDescent="0.25">
      <c r="A269">
        <v>1318274465</v>
      </c>
      <c r="B269" t="s">
        <v>152</v>
      </c>
      <c r="C269" t="s">
        <v>5</v>
      </c>
      <c r="D269" s="1">
        <v>46097.629556145832</v>
      </c>
      <c r="E269" s="2">
        <f t="shared" ca="1" si="29"/>
        <v>36</v>
      </c>
      <c r="F269" s="2" t="str">
        <f t="shared" ca="1" si="30"/>
        <v>31-60 dias</v>
      </c>
      <c r="G269" s="3">
        <f t="shared" si="31"/>
        <v>3</v>
      </c>
      <c r="H269" s="3">
        <f t="shared" si="32"/>
        <v>2026</v>
      </c>
      <c r="I269" s="3">
        <f t="shared" si="33"/>
        <v>284</v>
      </c>
      <c r="J269" s="3">
        <f t="shared" si="34"/>
        <v>194</v>
      </c>
      <c r="K269" s="5">
        <f t="shared" si="35"/>
        <v>0.68309859154929575</v>
      </c>
      <c r="L269" s="7">
        <f>1</f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AF269" s="1">
        <v>46107.745670462959</v>
      </c>
    </row>
    <row r="270" spans="1:32" ht="18" customHeight="1" x14ac:dyDescent="0.25">
      <c r="A270">
        <v>1319098173</v>
      </c>
      <c r="B270" t="s">
        <v>153</v>
      </c>
      <c r="C270" t="s">
        <v>5</v>
      </c>
      <c r="D270" s="1">
        <v>46098.629365706023</v>
      </c>
      <c r="E270" s="2">
        <f t="shared" ca="1" si="29"/>
        <v>35</v>
      </c>
      <c r="F270" s="2" t="str">
        <f t="shared" ca="1" si="30"/>
        <v>31-60 dias</v>
      </c>
      <c r="G270" s="3">
        <f t="shared" si="31"/>
        <v>3</v>
      </c>
      <c r="H270" s="3">
        <f t="shared" si="32"/>
        <v>2026</v>
      </c>
      <c r="I270" s="3">
        <f t="shared" si="33"/>
        <v>284</v>
      </c>
      <c r="J270" s="3">
        <f t="shared" si="34"/>
        <v>194</v>
      </c>
      <c r="K270" s="5">
        <f t="shared" si="35"/>
        <v>0.68309859154929575</v>
      </c>
      <c r="L270" s="7">
        <f>1</f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AE270">
        <v>1</v>
      </c>
      <c r="AF270" s="1">
        <v>46108.737293796286</v>
      </c>
    </row>
    <row r="271" spans="1:32" ht="18" customHeight="1" x14ac:dyDescent="0.25">
      <c r="A271">
        <v>1333929468</v>
      </c>
      <c r="B271" t="s">
        <v>376</v>
      </c>
      <c r="C271" t="s">
        <v>7</v>
      </c>
      <c r="D271" s="1">
        <v>46122.796200914352</v>
      </c>
      <c r="E271" s="2">
        <f t="shared" ca="1" si="29"/>
        <v>11</v>
      </c>
      <c r="F271" s="2" t="str">
        <f t="shared" ca="1" si="30"/>
        <v>0-14 dias</v>
      </c>
      <c r="G271" s="3">
        <f t="shared" si="31"/>
        <v>4</v>
      </c>
      <c r="H271" s="3">
        <f t="shared" si="32"/>
        <v>2026</v>
      </c>
      <c r="I271" s="3">
        <f t="shared" si="33"/>
        <v>146</v>
      </c>
      <c r="J271" s="3">
        <f t="shared" si="34"/>
        <v>28</v>
      </c>
      <c r="K271" s="5">
        <f t="shared" si="35"/>
        <v>0.19178082191780821</v>
      </c>
      <c r="L271" s="7">
        <f>1</f>
        <v>1</v>
      </c>
      <c r="Y271">
        <v>2</v>
      </c>
    </row>
    <row r="272" spans="1:32" ht="18" customHeight="1" x14ac:dyDescent="0.25">
      <c r="A272">
        <v>1327409729</v>
      </c>
      <c r="B272" t="s">
        <v>286</v>
      </c>
      <c r="C272" t="s">
        <v>5</v>
      </c>
      <c r="D272" s="1">
        <v>46111.920530555552</v>
      </c>
      <c r="E272" s="2">
        <f t="shared" ca="1" si="29"/>
        <v>22</v>
      </c>
      <c r="F272" s="2" t="str">
        <f t="shared" ca="1" si="30"/>
        <v>20-24 dias</v>
      </c>
      <c r="G272" s="3">
        <f t="shared" si="31"/>
        <v>3</v>
      </c>
      <c r="H272" s="3">
        <f t="shared" si="32"/>
        <v>2026</v>
      </c>
      <c r="I272" s="3">
        <f t="shared" si="33"/>
        <v>284</v>
      </c>
      <c r="J272" s="3">
        <f t="shared" si="34"/>
        <v>194</v>
      </c>
      <c r="K272" s="5">
        <f t="shared" si="35"/>
        <v>0.68309859154929575</v>
      </c>
      <c r="L272" s="7">
        <f>1</f>
        <v>1</v>
      </c>
      <c r="N272">
        <v>1</v>
      </c>
      <c r="AC272">
        <v>1</v>
      </c>
      <c r="AF272" s="1">
        <v>46126.554003124998</v>
      </c>
    </row>
    <row r="273" spans="1:32" ht="18" customHeight="1" x14ac:dyDescent="0.25">
      <c r="A273">
        <v>1319999573</v>
      </c>
      <c r="B273" t="s">
        <v>154</v>
      </c>
      <c r="C273" t="s">
        <v>5</v>
      </c>
      <c r="D273" s="1">
        <v>46099.795733287043</v>
      </c>
      <c r="E273" s="2">
        <f t="shared" ca="1" si="29"/>
        <v>34</v>
      </c>
      <c r="F273" s="2" t="str">
        <f t="shared" ca="1" si="30"/>
        <v>31-60 dias</v>
      </c>
      <c r="G273" s="3">
        <f t="shared" si="31"/>
        <v>3</v>
      </c>
      <c r="H273" s="3">
        <f t="shared" si="32"/>
        <v>2026</v>
      </c>
      <c r="I273" s="3">
        <f t="shared" si="33"/>
        <v>284</v>
      </c>
      <c r="J273" s="3">
        <f t="shared" si="34"/>
        <v>194</v>
      </c>
      <c r="K273" s="5">
        <f t="shared" si="35"/>
        <v>0.68309859154929575</v>
      </c>
      <c r="L273" s="7">
        <f>1</f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AB273">
        <v>1</v>
      </c>
      <c r="AF273" s="1">
        <v>46106.80986814815</v>
      </c>
    </row>
    <row r="274" spans="1:32" ht="18" customHeight="1" x14ac:dyDescent="0.25">
      <c r="A274">
        <v>1318538439</v>
      </c>
      <c r="B274" t="s">
        <v>155</v>
      </c>
      <c r="C274" t="s">
        <v>5</v>
      </c>
      <c r="D274" s="1">
        <v>46097.795252685188</v>
      </c>
      <c r="E274" s="2">
        <f t="shared" ca="1" si="29"/>
        <v>36</v>
      </c>
      <c r="F274" s="2" t="str">
        <f t="shared" ca="1" si="30"/>
        <v>31-60 dias</v>
      </c>
      <c r="G274" s="3">
        <f t="shared" si="31"/>
        <v>3</v>
      </c>
      <c r="H274" s="3">
        <f t="shared" si="32"/>
        <v>2026</v>
      </c>
      <c r="I274" s="3">
        <f t="shared" si="33"/>
        <v>284</v>
      </c>
      <c r="J274" s="3">
        <f t="shared" si="34"/>
        <v>194</v>
      </c>
      <c r="K274" s="5">
        <f t="shared" si="35"/>
        <v>0.68309859154929575</v>
      </c>
      <c r="L274" s="7">
        <f>1</f>
        <v>1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AE274">
        <v>1</v>
      </c>
      <c r="AF274" s="1">
        <v>46126.635234861111</v>
      </c>
    </row>
    <row r="275" spans="1:32" ht="18" customHeight="1" x14ac:dyDescent="0.25">
      <c r="A275">
        <v>1310027328</v>
      </c>
      <c r="B275" t="s">
        <v>156</v>
      </c>
      <c r="C275" t="s">
        <v>15</v>
      </c>
      <c r="D275" s="1">
        <v>46086.794770046297</v>
      </c>
      <c r="E275" s="2">
        <f t="shared" ca="1" si="29"/>
        <v>47</v>
      </c>
      <c r="F275" s="2" t="str">
        <f t="shared" ca="1" si="30"/>
        <v>31-60 dias</v>
      </c>
      <c r="G275" s="3">
        <f t="shared" si="31"/>
        <v>3</v>
      </c>
      <c r="H275" s="3">
        <f t="shared" si="32"/>
        <v>2026</v>
      </c>
      <c r="I275" s="3">
        <f t="shared" si="33"/>
        <v>284</v>
      </c>
      <c r="J275" s="3">
        <f t="shared" si="34"/>
        <v>194</v>
      </c>
      <c r="K275" s="5">
        <f t="shared" si="35"/>
        <v>0.68309859154929575</v>
      </c>
      <c r="L275" s="7">
        <f>1</f>
        <v>1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32" ht="18" customHeight="1" x14ac:dyDescent="0.25">
      <c r="A276">
        <v>1319292763</v>
      </c>
      <c r="B276" t="s">
        <v>157</v>
      </c>
      <c r="C276" t="s">
        <v>5</v>
      </c>
      <c r="D276" s="1">
        <v>46098.796355625003</v>
      </c>
      <c r="E276" s="2">
        <f t="shared" ca="1" si="29"/>
        <v>35</v>
      </c>
      <c r="F276" s="2" t="str">
        <f t="shared" ca="1" si="30"/>
        <v>31-60 dias</v>
      </c>
      <c r="G276" s="3">
        <f t="shared" si="31"/>
        <v>3</v>
      </c>
      <c r="H276" s="3">
        <f t="shared" si="32"/>
        <v>2026</v>
      </c>
      <c r="I276" s="3">
        <f t="shared" si="33"/>
        <v>284</v>
      </c>
      <c r="J276" s="3">
        <f t="shared" si="34"/>
        <v>194</v>
      </c>
      <c r="K276" s="5">
        <f t="shared" si="35"/>
        <v>0.68309859154929575</v>
      </c>
      <c r="L276" s="7">
        <f>1</f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AE276">
        <v>1</v>
      </c>
      <c r="AF276" s="1">
        <v>46115.664245</v>
      </c>
    </row>
    <row r="277" spans="1:32" ht="18" customHeight="1" x14ac:dyDescent="0.25">
      <c r="A277">
        <v>1323527344</v>
      </c>
      <c r="B277" t="s">
        <v>158</v>
      </c>
      <c r="C277" t="s">
        <v>21</v>
      </c>
      <c r="D277" s="1">
        <v>46105.794918206018</v>
      </c>
      <c r="E277" s="2">
        <f t="shared" ca="1" si="29"/>
        <v>28</v>
      </c>
      <c r="F277" s="2" t="str">
        <f t="shared" ca="1" si="30"/>
        <v>25-30 dias</v>
      </c>
      <c r="G277" s="3">
        <f t="shared" si="31"/>
        <v>3</v>
      </c>
      <c r="H277" s="3">
        <f t="shared" si="32"/>
        <v>2026</v>
      </c>
      <c r="I277" s="3">
        <f t="shared" si="33"/>
        <v>284</v>
      </c>
      <c r="J277" s="3">
        <f t="shared" si="34"/>
        <v>194</v>
      </c>
      <c r="K277" s="5">
        <f t="shared" si="35"/>
        <v>0.68309859154929575</v>
      </c>
      <c r="L277" s="7">
        <f>1</f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32" ht="18" customHeight="1" x14ac:dyDescent="0.25">
      <c r="A278">
        <v>1323528293</v>
      </c>
      <c r="B278" t="s">
        <v>159</v>
      </c>
      <c r="C278" t="s">
        <v>5</v>
      </c>
      <c r="D278" s="1">
        <v>46105.795690405103</v>
      </c>
      <c r="E278" s="2">
        <f t="shared" ca="1" si="29"/>
        <v>28</v>
      </c>
      <c r="F278" s="2" t="str">
        <f t="shared" ca="1" si="30"/>
        <v>25-30 dias</v>
      </c>
      <c r="G278" s="3">
        <f t="shared" si="31"/>
        <v>3</v>
      </c>
      <c r="H278" s="3">
        <f t="shared" si="32"/>
        <v>2026</v>
      </c>
      <c r="I278" s="3">
        <f t="shared" si="33"/>
        <v>284</v>
      </c>
      <c r="J278" s="3">
        <f t="shared" si="34"/>
        <v>194</v>
      </c>
      <c r="K278" s="5">
        <f t="shared" si="35"/>
        <v>0.68309859154929575</v>
      </c>
      <c r="L278" s="7">
        <f>1</f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AC278">
        <v>1</v>
      </c>
      <c r="AF278" s="1">
        <v>46126.547002743057</v>
      </c>
    </row>
    <row r="279" spans="1:32" ht="18" customHeight="1" x14ac:dyDescent="0.25">
      <c r="A279">
        <v>1307301879</v>
      </c>
      <c r="B279" t="s">
        <v>160</v>
      </c>
      <c r="C279" t="s">
        <v>5</v>
      </c>
      <c r="D279" s="1">
        <v>46083.7952266551</v>
      </c>
      <c r="E279" s="2">
        <f t="shared" ca="1" si="29"/>
        <v>50</v>
      </c>
      <c r="F279" s="2" t="str">
        <f t="shared" ca="1" si="30"/>
        <v>31-60 dias</v>
      </c>
      <c r="G279" s="3">
        <f t="shared" si="31"/>
        <v>3</v>
      </c>
      <c r="H279" s="3">
        <f t="shared" si="32"/>
        <v>2026</v>
      </c>
      <c r="I279" s="3">
        <f t="shared" si="33"/>
        <v>284</v>
      </c>
      <c r="J279" s="3">
        <f t="shared" si="34"/>
        <v>194</v>
      </c>
      <c r="K279" s="5">
        <f t="shared" si="35"/>
        <v>0.68309859154929575</v>
      </c>
      <c r="L279" s="7">
        <f>1</f>
        <v>1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AB279">
        <v>2</v>
      </c>
      <c r="AF279" s="1">
        <v>46094.536906539353</v>
      </c>
    </row>
    <row r="280" spans="1:32" ht="18" customHeight="1" x14ac:dyDescent="0.25">
      <c r="A280">
        <v>1310629754</v>
      </c>
      <c r="B280" t="s">
        <v>161</v>
      </c>
      <c r="C280" t="s">
        <v>21</v>
      </c>
      <c r="D280" s="1">
        <v>46087.627580185188</v>
      </c>
      <c r="E280" s="2">
        <f t="shared" ca="1" si="29"/>
        <v>46</v>
      </c>
      <c r="F280" s="2" t="str">
        <f t="shared" ca="1" si="30"/>
        <v>31-60 dias</v>
      </c>
      <c r="G280" s="3">
        <f t="shared" si="31"/>
        <v>3</v>
      </c>
      <c r="H280" s="3">
        <f t="shared" si="32"/>
        <v>2026</v>
      </c>
      <c r="I280" s="3">
        <f t="shared" si="33"/>
        <v>284</v>
      </c>
      <c r="J280" s="3">
        <f t="shared" si="34"/>
        <v>194</v>
      </c>
      <c r="K280" s="5">
        <f t="shared" si="35"/>
        <v>0.68309859154929575</v>
      </c>
      <c r="L280" s="7">
        <f>1</f>
        <v>1</v>
      </c>
      <c r="M280">
        <v>0</v>
      </c>
      <c r="N280">
        <v>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32" ht="18" customHeight="1" x14ac:dyDescent="0.25">
      <c r="A281">
        <v>1309117629</v>
      </c>
      <c r="B281" t="s">
        <v>162</v>
      </c>
      <c r="C281" t="s">
        <v>11</v>
      </c>
      <c r="D281" s="1">
        <v>46085.544476550931</v>
      </c>
      <c r="E281" s="2">
        <f t="shared" ca="1" si="29"/>
        <v>48</v>
      </c>
      <c r="F281" s="2" t="str">
        <f t="shared" ca="1" si="30"/>
        <v>31-60 dias</v>
      </c>
      <c r="G281" s="3">
        <f t="shared" si="31"/>
        <v>3</v>
      </c>
      <c r="H281" s="3">
        <f t="shared" si="32"/>
        <v>2026</v>
      </c>
      <c r="I281" s="3">
        <f t="shared" si="33"/>
        <v>284</v>
      </c>
      <c r="J281" s="3">
        <f t="shared" si="34"/>
        <v>194</v>
      </c>
      <c r="K281" s="5">
        <f t="shared" si="35"/>
        <v>0.68309859154929575</v>
      </c>
      <c r="L281" s="7">
        <f>1</f>
        <v>1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32" ht="18" customHeight="1" x14ac:dyDescent="0.25">
      <c r="A282">
        <v>1307301321</v>
      </c>
      <c r="B282" t="s">
        <v>163</v>
      </c>
      <c r="C282" t="s">
        <v>5</v>
      </c>
      <c r="D282" s="1">
        <v>46083.79481467593</v>
      </c>
      <c r="E282" s="2">
        <f t="shared" ca="1" si="29"/>
        <v>50</v>
      </c>
      <c r="F282" s="2" t="str">
        <f t="shared" ca="1" si="30"/>
        <v>31-60 dias</v>
      </c>
      <c r="G282" s="3">
        <f t="shared" si="31"/>
        <v>3</v>
      </c>
      <c r="H282" s="3">
        <f t="shared" si="32"/>
        <v>2026</v>
      </c>
      <c r="I282" s="3">
        <f t="shared" si="33"/>
        <v>284</v>
      </c>
      <c r="J282" s="3">
        <f t="shared" si="34"/>
        <v>194</v>
      </c>
      <c r="K282" s="5">
        <f t="shared" si="35"/>
        <v>0.68309859154929575</v>
      </c>
      <c r="L282" s="7">
        <f>1</f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 t="s">
        <v>312</v>
      </c>
      <c r="AA282">
        <v>1</v>
      </c>
      <c r="AF282" s="1">
        <v>46098.593884074071</v>
      </c>
    </row>
    <row r="283" spans="1:32" ht="18" customHeight="1" x14ac:dyDescent="0.25">
      <c r="A283">
        <v>1322613166</v>
      </c>
      <c r="B283" t="s">
        <v>164</v>
      </c>
      <c r="C283" t="s">
        <v>21</v>
      </c>
      <c r="D283" s="1">
        <v>46104.649923877318</v>
      </c>
      <c r="E283" s="2">
        <f t="shared" ca="1" si="29"/>
        <v>29</v>
      </c>
      <c r="F283" s="2" t="str">
        <f t="shared" ca="1" si="30"/>
        <v>25-30 dias</v>
      </c>
      <c r="G283" s="3">
        <f t="shared" si="31"/>
        <v>3</v>
      </c>
      <c r="H283" s="3">
        <f t="shared" si="32"/>
        <v>2026</v>
      </c>
      <c r="I283" s="3">
        <f t="shared" si="33"/>
        <v>284</v>
      </c>
      <c r="J283" s="3">
        <f t="shared" si="34"/>
        <v>194</v>
      </c>
      <c r="K283" s="5">
        <f t="shared" si="35"/>
        <v>0.68309859154929575</v>
      </c>
      <c r="L283" s="7">
        <f>1</f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 spans="1:32" ht="18" customHeight="1" x14ac:dyDescent="0.25">
      <c r="A284">
        <v>1328929365</v>
      </c>
      <c r="B284" t="s">
        <v>338</v>
      </c>
      <c r="C284" t="s">
        <v>5</v>
      </c>
      <c r="D284" s="1">
        <v>46113.922692025459</v>
      </c>
      <c r="E284" s="2">
        <f t="shared" ca="1" si="29"/>
        <v>20</v>
      </c>
      <c r="F284" s="2" t="str">
        <f t="shared" ca="1" si="30"/>
        <v>20-24 dias</v>
      </c>
      <c r="G284" s="3">
        <f t="shared" si="31"/>
        <v>4</v>
      </c>
      <c r="H284" s="3">
        <f t="shared" si="32"/>
        <v>2026</v>
      </c>
      <c r="I284" s="3">
        <f t="shared" si="33"/>
        <v>146</v>
      </c>
      <c r="J284" s="3">
        <f t="shared" si="34"/>
        <v>28</v>
      </c>
      <c r="K284" s="5">
        <f t="shared" si="35"/>
        <v>0.19178082191780821</v>
      </c>
      <c r="L284" s="7">
        <f>1</f>
        <v>1</v>
      </c>
      <c r="P284">
        <v>1</v>
      </c>
      <c r="AE284">
        <v>1</v>
      </c>
      <c r="AF284" s="1">
        <v>46129.535632766201</v>
      </c>
    </row>
    <row r="285" spans="1:32" ht="18" customHeight="1" x14ac:dyDescent="0.25">
      <c r="A285">
        <v>1320687772</v>
      </c>
      <c r="B285" t="s">
        <v>165</v>
      </c>
      <c r="C285" t="s">
        <v>21</v>
      </c>
      <c r="D285" s="1">
        <v>46100.796245138888</v>
      </c>
      <c r="E285" s="2">
        <f t="shared" ca="1" si="29"/>
        <v>33</v>
      </c>
      <c r="F285" s="2" t="str">
        <f t="shared" ca="1" si="30"/>
        <v>31-60 dias</v>
      </c>
      <c r="G285" s="3">
        <f t="shared" si="31"/>
        <v>3</v>
      </c>
      <c r="H285" s="3">
        <f t="shared" si="32"/>
        <v>2026</v>
      </c>
      <c r="I285" s="3">
        <f t="shared" si="33"/>
        <v>284</v>
      </c>
      <c r="J285" s="3">
        <f t="shared" si="34"/>
        <v>194</v>
      </c>
      <c r="K285" s="5">
        <f t="shared" si="35"/>
        <v>0.68309859154929575</v>
      </c>
      <c r="L285" s="7">
        <f>1</f>
        <v>1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32" ht="18" customHeight="1" x14ac:dyDescent="0.25">
      <c r="A286">
        <v>1322756622</v>
      </c>
      <c r="B286" t="s">
        <v>165</v>
      </c>
      <c r="C286" t="s">
        <v>21</v>
      </c>
      <c r="D286" s="1">
        <v>46104.795694907407</v>
      </c>
      <c r="E286" s="2">
        <f t="shared" ca="1" si="29"/>
        <v>29</v>
      </c>
      <c r="F286" s="2" t="str">
        <f t="shared" ca="1" si="30"/>
        <v>25-30 dias</v>
      </c>
      <c r="G286" s="3">
        <f t="shared" si="31"/>
        <v>3</v>
      </c>
      <c r="H286" s="3">
        <f t="shared" si="32"/>
        <v>2026</v>
      </c>
      <c r="I286" s="3">
        <f t="shared" si="33"/>
        <v>284</v>
      </c>
      <c r="J286" s="3">
        <f t="shared" si="34"/>
        <v>194</v>
      </c>
      <c r="K286" s="5">
        <f t="shared" si="35"/>
        <v>0.68309859154929575</v>
      </c>
      <c r="L286" s="7">
        <f>1</f>
        <v>1</v>
      </c>
      <c r="M286">
        <v>0</v>
      </c>
      <c r="N286">
        <v>0</v>
      </c>
      <c r="O286">
        <v>0</v>
      </c>
      <c r="P286">
        <v>3</v>
      </c>
      <c r="Q286">
        <v>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32" ht="18" customHeight="1" x14ac:dyDescent="0.25">
      <c r="A287">
        <v>1329549645</v>
      </c>
      <c r="B287" t="s">
        <v>166</v>
      </c>
      <c r="C287" t="s">
        <v>5</v>
      </c>
      <c r="D287" s="1">
        <v>46114.79579851852</v>
      </c>
      <c r="E287" s="2">
        <f t="shared" ca="1" si="29"/>
        <v>19</v>
      </c>
      <c r="F287" s="2" t="str">
        <f t="shared" ca="1" si="30"/>
        <v>15-19 dias</v>
      </c>
      <c r="G287" s="3">
        <f t="shared" si="31"/>
        <v>4</v>
      </c>
      <c r="H287" s="3">
        <f t="shared" si="32"/>
        <v>2026</v>
      </c>
      <c r="I287" s="3">
        <f t="shared" si="33"/>
        <v>146</v>
      </c>
      <c r="J287" s="3">
        <f t="shared" si="34"/>
        <v>28</v>
      </c>
      <c r="K287" s="5">
        <f t="shared" si="35"/>
        <v>0.19178082191780821</v>
      </c>
      <c r="L287" s="7">
        <f>1</f>
        <v>1</v>
      </c>
      <c r="P287">
        <v>2</v>
      </c>
      <c r="AE287">
        <v>2</v>
      </c>
      <c r="AF287" s="1">
        <v>46126.57190545139</v>
      </c>
    </row>
    <row r="288" spans="1:32" ht="18" customHeight="1" x14ac:dyDescent="0.25">
      <c r="A288">
        <v>1320688652</v>
      </c>
      <c r="B288" t="s">
        <v>166</v>
      </c>
      <c r="C288" t="s">
        <v>5</v>
      </c>
      <c r="D288" s="1">
        <v>46100.797107465267</v>
      </c>
      <c r="E288" s="2">
        <f t="shared" ca="1" si="29"/>
        <v>33</v>
      </c>
      <c r="F288" s="2" t="str">
        <f t="shared" ca="1" si="30"/>
        <v>31-60 dias</v>
      </c>
      <c r="G288" s="3">
        <f t="shared" si="31"/>
        <v>3</v>
      </c>
      <c r="H288" s="3">
        <f t="shared" si="32"/>
        <v>2026</v>
      </c>
      <c r="I288" s="3">
        <f t="shared" si="33"/>
        <v>284</v>
      </c>
      <c r="J288" s="3">
        <f t="shared" si="34"/>
        <v>194</v>
      </c>
      <c r="K288" s="5">
        <f t="shared" si="35"/>
        <v>0.68309859154929575</v>
      </c>
      <c r="L288" s="7">
        <f>1</f>
        <v>1</v>
      </c>
      <c r="M288">
        <v>0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AB288">
        <v>2</v>
      </c>
      <c r="AF288" s="1">
        <v>46126.539511203708</v>
      </c>
    </row>
    <row r="289" spans="1:32" ht="18" customHeight="1" x14ac:dyDescent="0.25">
      <c r="A289">
        <v>1313292272</v>
      </c>
      <c r="B289" t="s">
        <v>167</v>
      </c>
      <c r="C289" t="s">
        <v>5</v>
      </c>
      <c r="D289" s="1">
        <v>46090.919281157403</v>
      </c>
      <c r="E289" s="2">
        <f t="shared" ca="1" si="29"/>
        <v>43</v>
      </c>
      <c r="F289" s="2" t="str">
        <f t="shared" ca="1" si="30"/>
        <v>31-60 dias</v>
      </c>
      <c r="G289" s="3">
        <f t="shared" si="31"/>
        <v>3</v>
      </c>
      <c r="H289" s="3">
        <f t="shared" si="32"/>
        <v>2026</v>
      </c>
      <c r="I289" s="3">
        <f t="shared" si="33"/>
        <v>284</v>
      </c>
      <c r="J289" s="3">
        <f t="shared" si="34"/>
        <v>194</v>
      </c>
      <c r="K289" s="5">
        <f t="shared" si="35"/>
        <v>0.68309859154929575</v>
      </c>
      <c r="L289" s="7">
        <f>1</f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AC289">
        <v>1</v>
      </c>
      <c r="AF289" s="1">
        <v>46126.625118229167</v>
      </c>
    </row>
    <row r="290" spans="1:32" ht="18" customHeight="1" x14ac:dyDescent="0.25">
      <c r="A290">
        <v>1325285547</v>
      </c>
      <c r="B290" t="s">
        <v>168</v>
      </c>
      <c r="C290" t="s">
        <v>5</v>
      </c>
      <c r="D290" s="1">
        <v>46107.91939221065</v>
      </c>
      <c r="E290" s="2">
        <f t="shared" ca="1" si="29"/>
        <v>26</v>
      </c>
      <c r="F290" s="2" t="str">
        <f t="shared" ca="1" si="30"/>
        <v>25-30 dias</v>
      </c>
      <c r="G290" s="3">
        <f t="shared" si="31"/>
        <v>3</v>
      </c>
      <c r="H290" s="3">
        <f t="shared" si="32"/>
        <v>2026</v>
      </c>
      <c r="I290" s="3">
        <f t="shared" si="33"/>
        <v>284</v>
      </c>
      <c r="J290" s="3">
        <f t="shared" si="34"/>
        <v>194</v>
      </c>
      <c r="K290" s="5">
        <f t="shared" si="35"/>
        <v>0.68309859154929575</v>
      </c>
      <c r="L290" s="7">
        <f>1</f>
        <v>1</v>
      </c>
      <c r="M290">
        <v>1</v>
      </c>
      <c r="AD290">
        <v>1</v>
      </c>
      <c r="AF290" s="1">
        <v>46126.620267916667</v>
      </c>
    </row>
    <row r="291" spans="1:32" ht="18" customHeight="1" x14ac:dyDescent="0.25">
      <c r="A291">
        <v>1325143469</v>
      </c>
      <c r="B291" t="s">
        <v>169</v>
      </c>
      <c r="C291" t="s">
        <v>5</v>
      </c>
      <c r="D291" s="1">
        <v>46107.794295069441</v>
      </c>
      <c r="E291" s="2">
        <f t="shared" ca="1" si="29"/>
        <v>26</v>
      </c>
      <c r="F291" s="2" t="str">
        <f t="shared" ca="1" si="30"/>
        <v>25-30 dias</v>
      </c>
      <c r="G291" s="3">
        <f t="shared" si="31"/>
        <v>3</v>
      </c>
      <c r="H291" s="3">
        <f t="shared" si="32"/>
        <v>2026</v>
      </c>
      <c r="I291" s="3">
        <f t="shared" si="33"/>
        <v>284</v>
      </c>
      <c r="J291" s="3">
        <f t="shared" si="34"/>
        <v>194</v>
      </c>
      <c r="K291" s="5">
        <f t="shared" si="35"/>
        <v>0.68309859154929575</v>
      </c>
      <c r="L291" s="7">
        <f>1</f>
        <v>1</v>
      </c>
      <c r="P291">
        <v>1</v>
      </c>
      <c r="Q291">
        <v>1</v>
      </c>
      <c r="AE291">
        <v>1</v>
      </c>
      <c r="AF291" s="1">
        <v>46126.604854293982</v>
      </c>
    </row>
    <row r="292" spans="1:32" ht="18" customHeight="1" x14ac:dyDescent="0.25">
      <c r="A292">
        <v>1336128462</v>
      </c>
      <c r="B292" t="s">
        <v>435</v>
      </c>
      <c r="C292" t="s">
        <v>7</v>
      </c>
      <c r="D292" s="1">
        <v>46126.795392418979</v>
      </c>
      <c r="E292" s="2">
        <f t="shared" ca="1" si="29"/>
        <v>7</v>
      </c>
      <c r="F292" s="2" t="str">
        <f t="shared" ca="1" si="30"/>
        <v>0-14 dias</v>
      </c>
      <c r="G292" s="3">
        <f t="shared" si="31"/>
        <v>4</v>
      </c>
      <c r="H292" s="3">
        <f t="shared" si="32"/>
        <v>2026</v>
      </c>
      <c r="I292" s="3">
        <f t="shared" si="33"/>
        <v>146</v>
      </c>
      <c r="J292" s="3">
        <f t="shared" si="34"/>
        <v>28</v>
      </c>
      <c r="K292" s="5">
        <f t="shared" si="35"/>
        <v>0.19178082191780821</v>
      </c>
      <c r="L292" s="7">
        <f>1</f>
        <v>1</v>
      </c>
      <c r="N292">
        <v>3</v>
      </c>
    </row>
    <row r="293" spans="1:32" ht="18" customHeight="1" x14ac:dyDescent="0.25">
      <c r="A293">
        <v>1309289642</v>
      </c>
      <c r="B293" t="s">
        <v>170</v>
      </c>
      <c r="C293" t="s">
        <v>5</v>
      </c>
      <c r="D293" s="1">
        <v>46085.796340069443</v>
      </c>
      <c r="E293" s="2">
        <f t="shared" ca="1" si="29"/>
        <v>48</v>
      </c>
      <c r="F293" s="2" t="str">
        <f t="shared" ca="1" si="30"/>
        <v>31-60 dias</v>
      </c>
      <c r="G293" s="3">
        <f t="shared" si="31"/>
        <v>3</v>
      </c>
      <c r="H293" s="3">
        <f t="shared" si="32"/>
        <v>2026</v>
      </c>
      <c r="I293" s="3">
        <f t="shared" si="33"/>
        <v>284</v>
      </c>
      <c r="J293" s="3">
        <f t="shared" si="34"/>
        <v>194</v>
      </c>
      <c r="K293" s="5">
        <f t="shared" si="35"/>
        <v>0.68309859154929575</v>
      </c>
      <c r="L293" s="7">
        <f>1</f>
        <v>1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AC293">
        <v>1</v>
      </c>
      <c r="AE293">
        <v>2</v>
      </c>
      <c r="AF293" s="1">
        <v>46104.737124444437</v>
      </c>
    </row>
    <row r="294" spans="1:32" ht="18" customHeight="1" x14ac:dyDescent="0.25">
      <c r="A294">
        <v>1316676296</v>
      </c>
      <c r="B294" t="s">
        <v>171</v>
      </c>
      <c r="C294" t="s">
        <v>21</v>
      </c>
      <c r="D294" s="1">
        <v>46094.795368564817</v>
      </c>
      <c r="E294" s="2">
        <f t="shared" ca="1" si="29"/>
        <v>39</v>
      </c>
      <c r="F294" s="2" t="str">
        <f t="shared" ca="1" si="30"/>
        <v>31-60 dias</v>
      </c>
      <c r="G294" s="3">
        <f t="shared" si="31"/>
        <v>3</v>
      </c>
      <c r="H294" s="3">
        <f t="shared" si="32"/>
        <v>2026</v>
      </c>
      <c r="I294" s="3">
        <f t="shared" si="33"/>
        <v>284</v>
      </c>
      <c r="J294" s="3">
        <f t="shared" si="34"/>
        <v>194</v>
      </c>
      <c r="K294" s="5">
        <f t="shared" si="35"/>
        <v>0.68309859154929575</v>
      </c>
      <c r="L294" s="7">
        <f>1</f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32" ht="18" customHeight="1" x14ac:dyDescent="0.25">
      <c r="A295">
        <v>1318274171</v>
      </c>
      <c r="B295" t="s">
        <v>172</v>
      </c>
      <c r="C295" t="s">
        <v>5</v>
      </c>
      <c r="D295" s="1">
        <v>46097.629356064819</v>
      </c>
      <c r="E295" s="2">
        <f t="shared" ca="1" si="29"/>
        <v>36</v>
      </c>
      <c r="F295" s="2" t="str">
        <f t="shared" ca="1" si="30"/>
        <v>31-60 dias</v>
      </c>
      <c r="G295" s="3">
        <f t="shared" si="31"/>
        <v>3</v>
      </c>
      <c r="H295" s="3">
        <f t="shared" si="32"/>
        <v>2026</v>
      </c>
      <c r="I295" s="3">
        <f t="shared" si="33"/>
        <v>284</v>
      </c>
      <c r="J295" s="3">
        <f t="shared" si="34"/>
        <v>194</v>
      </c>
      <c r="K295" s="5">
        <f t="shared" si="35"/>
        <v>0.68309859154929575</v>
      </c>
      <c r="L295" s="7">
        <f>1</f>
        <v>1</v>
      </c>
      <c r="M295">
        <v>0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AB295">
        <v>2</v>
      </c>
      <c r="AE295">
        <v>2</v>
      </c>
      <c r="AF295" s="1">
        <v>46115.563209641201</v>
      </c>
    </row>
    <row r="296" spans="1:32" ht="18" customHeight="1" x14ac:dyDescent="0.25">
      <c r="A296">
        <v>1323528407</v>
      </c>
      <c r="B296" t="s">
        <v>173</v>
      </c>
      <c r="C296" t="s">
        <v>21</v>
      </c>
      <c r="D296" s="1">
        <v>46105.795798333333</v>
      </c>
      <c r="E296" s="2">
        <f t="shared" ca="1" si="29"/>
        <v>28</v>
      </c>
      <c r="F296" s="2" t="str">
        <f t="shared" ca="1" si="30"/>
        <v>25-30 dias</v>
      </c>
      <c r="G296" s="3">
        <f t="shared" si="31"/>
        <v>3</v>
      </c>
      <c r="H296" s="3">
        <f t="shared" si="32"/>
        <v>2026</v>
      </c>
      <c r="I296" s="3">
        <f t="shared" si="33"/>
        <v>284</v>
      </c>
      <c r="J296" s="3">
        <f t="shared" si="34"/>
        <v>194</v>
      </c>
      <c r="K296" s="5">
        <f t="shared" si="35"/>
        <v>0.68309859154929575</v>
      </c>
      <c r="L296" s="7">
        <f>1</f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 spans="1:32" ht="18" customHeight="1" x14ac:dyDescent="0.25">
      <c r="A297">
        <v>1333387038</v>
      </c>
      <c r="B297" t="s">
        <v>377</v>
      </c>
      <c r="C297" t="s">
        <v>7</v>
      </c>
      <c r="D297" s="1">
        <v>46121.796908935183</v>
      </c>
      <c r="E297" s="2">
        <f t="shared" ca="1" si="29"/>
        <v>12</v>
      </c>
      <c r="F297" s="2" t="str">
        <f t="shared" ca="1" si="30"/>
        <v>0-14 dias</v>
      </c>
      <c r="G297" s="3">
        <f t="shared" si="31"/>
        <v>4</v>
      </c>
      <c r="H297" s="3">
        <f t="shared" si="32"/>
        <v>2026</v>
      </c>
      <c r="I297" s="3">
        <f t="shared" si="33"/>
        <v>146</v>
      </c>
      <c r="J297" s="3">
        <f t="shared" si="34"/>
        <v>28</v>
      </c>
      <c r="K297" s="5">
        <f t="shared" si="35"/>
        <v>0.19178082191780821</v>
      </c>
      <c r="L297" s="7">
        <f>1</f>
        <v>1</v>
      </c>
      <c r="N297">
        <v>1</v>
      </c>
    </row>
    <row r="298" spans="1:32" ht="18" customHeight="1" x14ac:dyDescent="0.25">
      <c r="A298">
        <v>1319294842</v>
      </c>
      <c r="B298" t="s">
        <v>174</v>
      </c>
      <c r="C298" t="s">
        <v>5</v>
      </c>
      <c r="D298" s="1">
        <v>46098.797984571756</v>
      </c>
      <c r="E298" s="2">
        <f t="shared" ca="1" si="29"/>
        <v>35</v>
      </c>
      <c r="F298" s="2" t="str">
        <f t="shared" ca="1" si="30"/>
        <v>31-60 dias</v>
      </c>
      <c r="G298" s="3">
        <f t="shared" si="31"/>
        <v>3</v>
      </c>
      <c r="H298" s="3">
        <f t="shared" si="32"/>
        <v>2026</v>
      </c>
      <c r="I298" s="3">
        <f t="shared" si="33"/>
        <v>284</v>
      </c>
      <c r="J298" s="3">
        <f t="shared" si="34"/>
        <v>194</v>
      </c>
      <c r="K298" s="5">
        <f t="shared" si="35"/>
        <v>0.68309859154929575</v>
      </c>
      <c r="L298" s="7">
        <f>1</f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AF298" s="1">
        <v>46100.737830983788</v>
      </c>
    </row>
    <row r="299" spans="1:32" ht="18" customHeight="1" x14ac:dyDescent="0.25">
      <c r="A299">
        <v>1309289719</v>
      </c>
      <c r="B299" t="s">
        <v>174</v>
      </c>
      <c r="C299" t="s">
        <v>5</v>
      </c>
      <c r="D299" s="1">
        <v>46085.7964057176</v>
      </c>
      <c r="E299" s="2">
        <f t="shared" ca="1" si="29"/>
        <v>48</v>
      </c>
      <c r="F299" s="2" t="str">
        <f t="shared" ca="1" si="30"/>
        <v>31-60 dias</v>
      </c>
      <c r="G299" s="3">
        <f t="shared" si="31"/>
        <v>3</v>
      </c>
      <c r="H299" s="3">
        <f t="shared" si="32"/>
        <v>2026</v>
      </c>
      <c r="I299" s="3">
        <f t="shared" si="33"/>
        <v>284</v>
      </c>
      <c r="J299" s="3">
        <f t="shared" si="34"/>
        <v>194</v>
      </c>
      <c r="K299" s="5">
        <f t="shared" si="35"/>
        <v>0.68309859154929575</v>
      </c>
      <c r="L299" s="7">
        <f>1</f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AD299">
        <v>1</v>
      </c>
      <c r="AF299" s="1">
        <v>46086.809040092587</v>
      </c>
    </row>
    <row r="300" spans="1:32" ht="18" customHeight="1" x14ac:dyDescent="0.25">
      <c r="A300">
        <v>1332953570</v>
      </c>
      <c r="B300" t="s">
        <v>174</v>
      </c>
      <c r="C300" t="s">
        <v>5</v>
      </c>
      <c r="D300" s="1">
        <v>46120.913615289348</v>
      </c>
      <c r="E300" s="2">
        <f t="shared" ca="1" si="29"/>
        <v>13</v>
      </c>
      <c r="F300" s="2" t="str">
        <f t="shared" ca="1" si="30"/>
        <v>0-14 dias</v>
      </c>
      <c r="G300" s="3">
        <f t="shared" si="31"/>
        <v>4</v>
      </c>
      <c r="H300" s="3">
        <f t="shared" si="32"/>
        <v>2026</v>
      </c>
      <c r="I300" s="3">
        <f t="shared" si="33"/>
        <v>146</v>
      </c>
      <c r="J300" s="3">
        <f t="shared" si="34"/>
        <v>28</v>
      </c>
      <c r="K300" s="5">
        <f t="shared" si="35"/>
        <v>0.19178082191780821</v>
      </c>
      <c r="L300" s="7">
        <f>1</f>
        <v>1</v>
      </c>
      <c r="R300">
        <v>2</v>
      </c>
      <c r="AF300" s="1">
        <v>46126.706642673613</v>
      </c>
    </row>
    <row r="301" spans="1:32" ht="18" customHeight="1" x14ac:dyDescent="0.25">
      <c r="A301">
        <v>1336815591</v>
      </c>
      <c r="B301" t="s">
        <v>174</v>
      </c>
      <c r="C301" t="s">
        <v>5</v>
      </c>
      <c r="D301" s="1">
        <v>46127.762748472218</v>
      </c>
      <c r="E301" s="2">
        <f t="shared" ca="1" si="29"/>
        <v>6</v>
      </c>
      <c r="F301" s="2" t="str">
        <f t="shared" ca="1" si="30"/>
        <v>0-14 dias</v>
      </c>
      <c r="G301" s="3">
        <f t="shared" si="31"/>
        <v>4</v>
      </c>
      <c r="H301" s="3">
        <f t="shared" si="32"/>
        <v>2026</v>
      </c>
      <c r="I301" s="3">
        <f t="shared" si="33"/>
        <v>146</v>
      </c>
      <c r="J301" s="3">
        <f t="shared" si="34"/>
        <v>28</v>
      </c>
      <c r="K301" s="5">
        <f t="shared" si="35"/>
        <v>0.19178082191780821</v>
      </c>
      <c r="L301" s="7">
        <f>1</f>
        <v>1</v>
      </c>
      <c r="N301">
        <v>1</v>
      </c>
      <c r="AC301">
        <v>1</v>
      </c>
      <c r="AF301" s="1">
        <v>46129.533459189814</v>
      </c>
    </row>
    <row r="302" spans="1:32" ht="18" customHeight="1" x14ac:dyDescent="0.25">
      <c r="A302">
        <v>1327721365</v>
      </c>
      <c r="B302" t="s">
        <v>174</v>
      </c>
      <c r="C302" t="s">
        <v>5</v>
      </c>
      <c r="D302" s="1">
        <v>46112.536151990753</v>
      </c>
      <c r="E302" s="2">
        <f t="shared" ca="1" si="29"/>
        <v>21</v>
      </c>
      <c r="F302" s="2" t="str">
        <f t="shared" ca="1" si="30"/>
        <v>20-24 dias</v>
      </c>
      <c r="G302" s="3">
        <f t="shared" si="31"/>
        <v>3</v>
      </c>
      <c r="H302" s="3">
        <f t="shared" si="32"/>
        <v>2026</v>
      </c>
      <c r="I302" s="3">
        <f t="shared" si="33"/>
        <v>284</v>
      </c>
      <c r="J302" s="3">
        <f t="shared" si="34"/>
        <v>194</v>
      </c>
      <c r="K302" s="5">
        <f t="shared" si="35"/>
        <v>0.68309859154929575</v>
      </c>
      <c r="L302" s="7">
        <f>1</f>
        <v>1</v>
      </c>
      <c r="U302">
        <v>1</v>
      </c>
      <c r="AF302" s="1">
        <v>46126.706152893523</v>
      </c>
    </row>
    <row r="303" spans="1:32" ht="18" customHeight="1" x14ac:dyDescent="0.25">
      <c r="A303">
        <v>1319295245</v>
      </c>
      <c r="B303" t="s">
        <v>174</v>
      </c>
      <c r="C303" t="s">
        <v>5</v>
      </c>
      <c r="D303" s="1">
        <v>46098.798327986107</v>
      </c>
      <c r="E303" s="2">
        <f t="shared" ca="1" si="29"/>
        <v>35</v>
      </c>
      <c r="F303" s="2" t="str">
        <f t="shared" ca="1" si="30"/>
        <v>31-60 dias</v>
      </c>
      <c r="G303" s="3">
        <f t="shared" si="31"/>
        <v>3</v>
      </c>
      <c r="H303" s="3">
        <f t="shared" si="32"/>
        <v>2026</v>
      </c>
      <c r="I303" s="3">
        <f t="shared" si="33"/>
        <v>284</v>
      </c>
      <c r="J303" s="3">
        <f t="shared" si="34"/>
        <v>194</v>
      </c>
      <c r="K303" s="5">
        <f t="shared" si="35"/>
        <v>0.68309859154929575</v>
      </c>
      <c r="L303" s="7">
        <f>1</f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AC303">
        <v>1</v>
      </c>
      <c r="AF303" s="1">
        <v>46100.762520393517</v>
      </c>
    </row>
    <row r="304" spans="1:32" ht="18" customHeight="1" x14ac:dyDescent="0.25">
      <c r="A304">
        <v>1304256478</v>
      </c>
      <c r="B304" t="s">
        <v>175</v>
      </c>
      <c r="C304" t="s">
        <v>5</v>
      </c>
      <c r="D304" s="1">
        <v>46078.919159502308</v>
      </c>
      <c r="E304" s="2">
        <f t="shared" ca="1" si="29"/>
        <v>55</v>
      </c>
      <c r="F304" s="2" t="str">
        <f t="shared" ca="1" si="30"/>
        <v>31-60 dias</v>
      </c>
      <c r="G304" s="3">
        <f t="shared" si="31"/>
        <v>2</v>
      </c>
      <c r="H304" s="3">
        <f t="shared" si="32"/>
        <v>2026</v>
      </c>
      <c r="I304" s="3">
        <f t="shared" si="33"/>
        <v>17</v>
      </c>
      <c r="J304" s="3">
        <f t="shared" si="34"/>
        <v>11</v>
      </c>
      <c r="K304" s="5">
        <f t="shared" si="35"/>
        <v>0.6470588235294118</v>
      </c>
      <c r="L304" s="7">
        <f>1</f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AA304">
        <v>1</v>
      </c>
      <c r="AB304">
        <v>0</v>
      </c>
      <c r="AC304">
        <v>0</v>
      </c>
      <c r="AE304">
        <v>0</v>
      </c>
      <c r="AF304" s="1">
        <v>46091.854110162043</v>
      </c>
    </row>
    <row r="305" spans="1:32" ht="18" customHeight="1" x14ac:dyDescent="0.25">
      <c r="A305">
        <v>1319295024</v>
      </c>
      <c r="B305" t="s">
        <v>175</v>
      </c>
      <c r="C305" t="s">
        <v>5</v>
      </c>
      <c r="D305" s="1">
        <v>46098.798130462957</v>
      </c>
      <c r="E305" s="2">
        <f t="shared" ca="1" si="29"/>
        <v>35</v>
      </c>
      <c r="F305" s="2" t="str">
        <f t="shared" ca="1" si="30"/>
        <v>31-60 dias</v>
      </c>
      <c r="G305" s="3">
        <f t="shared" si="31"/>
        <v>3</v>
      </c>
      <c r="H305" s="3">
        <f t="shared" si="32"/>
        <v>2026</v>
      </c>
      <c r="I305" s="3">
        <f t="shared" si="33"/>
        <v>284</v>
      </c>
      <c r="J305" s="3">
        <f t="shared" si="34"/>
        <v>194</v>
      </c>
      <c r="K305" s="5">
        <f t="shared" si="35"/>
        <v>0.68309859154929575</v>
      </c>
      <c r="L305" s="7">
        <f>1</f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AC305">
        <v>1</v>
      </c>
      <c r="AF305" s="1">
        <v>46100.762995543977</v>
      </c>
    </row>
    <row r="306" spans="1:32" ht="18" customHeight="1" x14ac:dyDescent="0.25">
      <c r="A306">
        <v>1304259157</v>
      </c>
      <c r="B306" t="s">
        <v>176</v>
      </c>
      <c r="C306" t="s">
        <v>11</v>
      </c>
      <c r="D306" s="1">
        <v>46078.92181659722</v>
      </c>
      <c r="E306" s="2">
        <f t="shared" ca="1" si="29"/>
        <v>55</v>
      </c>
      <c r="F306" s="2" t="str">
        <f t="shared" ca="1" si="30"/>
        <v>31-60 dias</v>
      </c>
      <c r="G306" s="3">
        <f t="shared" si="31"/>
        <v>2</v>
      </c>
      <c r="H306" s="3">
        <f t="shared" si="32"/>
        <v>2026</v>
      </c>
      <c r="I306" s="3">
        <f t="shared" si="33"/>
        <v>17</v>
      </c>
      <c r="J306" s="3">
        <f t="shared" si="34"/>
        <v>11</v>
      </c>
      <c r="K306" s="5">
        <f t="shared" si="35"/>
        <v>0.6470588235294118</v>
      </c>
      <c r="L306" s="7">
        <f>1</f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32" ht="18" customHeight="1" x14ac:dyDescent="0.25">
      <c r="A307">
        <v>1335120122</v>
      </c>
      <c r="B307" t="s">
        <v>436</v>
      </c>
      <c r="C307" t="s">
        <v>7</v>
      </c>
      <c r="D307" s="1">
        <v>46125.629076979167</v>
      </c>
      <c r="E307" s="2">
        <f t="shared" ca="1" si="29"/>
        <v>8</v>
      </c>
      <c r="F307" s="2" t="str">
        <f t="shared" ca="1" si="30"/>
        <v>0-14 dias</v>
      </c>
      <c r="G307" s="3">
        <f t="shared" si="31"/>
        <v>4</v>
      </c>
      <c r="H307" s="3">
        <f t="shared" si="32"/>
        <v>2026</v>
      </c>
      <c r="I307" s="3">
        <f t="shared" si="33"/>
        <v>146</v>
      </c>
      <c r="J307" s="3">
        <f t="shared" si="34"/>
        <v>28</v>
      </c>
      <c r="K307" s="5">
        <f t="shared" si="35"/>
        <v>0.19178082191780821</v>
      </c>
      <c r="L307" s="7">
        <f>1</f>
        <v>1</v>
      </c>
      <c r="Y307">
        <v>1</v>
      </c>
    </row>
    <row r="308" spans="1:32" ht="18" customHeight="1" x14ac:dyDescent="0.25">
      <c r="A308">
        <v>1315964998</v>
      </c>
      <c r="B308" t="s">
        <v>177</v>
      </c>
      <c r="C308" t="s">
        <v>21</v>
      </c>
      <c r="D308" s="1">
        <v>46093.796378912033</v>
      </c>
      <c r="E308" s="2">
        <f t="shared" ca="1" si="29"/>
        <v>40</v>
      </c>
      <c r="F308" s="2" t="str">
        <f t="shared" ca="1" si="30"/>
        <v>31-60 dias</v>
      </c>
      <c r="G308" s="3">
        <f t="shared" si="31"/>
        <v>3</v>
      </c>
      <c r="H308" s="3">
        <f t="shared" si="32"/>
        <v>2026</v>
      </c>
      <c r="I308" s="3">
        <f t="shared" si="33"/>
        <v>284</v>
      </c>
      <c r="J308" s="3">
        <f t="shared" si="34"/>
        <v>194</v>
      </c>
      <c r="K308" s="5">
        <f t="shared" si="35"/>
        <v>0.68309859154929575</v>
      </c>
      <c r="L308" s="7">
        <f>1</f>
        <v>1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32" ht="18" customHeight="1" x14ac:dyDescent="0.25">
      <c r="A309">
        <v>1313160833</v>
      </c>
      <c r="B309" t="s">
        <v>178</v>
      </c>
      <c r="C309" t="s">
        <v>5</v>
      </c>
      <c r="D309" s="1">
        <v>46090.795711678227</v>
      </c>
      <c r="E309" s="2">
        <f t="shared" ca="1" si="29"/>
        <v>43</v>
      </c>
      <c r="F309" s="2" t="str">
        <f t="shared" ca="1" si="30"/>
        <v>31-60 dias</v>
      </c>
      <c r="G309" s="3">
        <f t="shared" si="31"/>
        <v>3</v>
      </c>
      <c r="H309" s="3">
        <f t="shared" si="32"/>
        <v>2026</v>
      </c>
      <c r="I309" s="3">
        <f t="shared" si="33"/>
        <v>284</v>
      </c>
      <c r="J309" s="3">
        <f t="shared" si="34"/>
        <v>194</v>
      </c>
      <c r="K309" s="5">
        <f t="shared" si="35"/>
        <v>0.68309859154929575</v>
      </c>
      <c r="L309" s="7">
        <f>1</f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311</v>
      </c>
      <c r="AA309">
        <v>1</v>
      </c>
      <c r="AF309" s="1">
        <v>46104.792436979173</v>
      </c>
    </row>
    <row r="310" spans="1:32" ht="18" customHeight="1" x14ac:dyDescent="0.25">
      <c r="A310">
        <v>1321490265</v>
      </c>
      <c r="B310" t="s">
        <v>179</v>
      </c>
      <c r="C310" t="s">
        <v>21</v>
      </c>
      <c r="D310" s="1">
        <v>46101.921061701389</v>
      </c>
      <c r="E310" s="2">
        <f t="shared" ca="1" si="29"/>
        <v>32</v>
      </c>
      <c r="F310" s="2" t="str">
        <f t="shared" ca="1" si="30"/>
        <v>31-60 dias</v>
      </c>
      <c r="G310" s="3">
        <f t="shared" si="31"/>
        <v>3</v>
      </c>
      <c r="H310" s="3">
        <f t="shared" si="32"/>
        <v>2026</v>
      </c>
      <c r="I310" s="3">
        <f t="shared" si="33"/>
        <v>284</v>
      </c>
      <c r="J310" s="3">
        <f t="shared" si="34"/>
        <v>194</v>
      </c>
      <c r="K310" s="5">
        <f t="shared" si="35"/>
        <v>0.68309859154929575</v>
      </c>
      <c r="L310" s="7">
        <f>1</f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32" ht="18" customHeight="1" x14ac:dyDescent="0.25">
      <c r="A311">
        <v>1314555410</v>
      </c>
      <c r="B311" t="s">
        <v>180</v>
      </c>
      <c r="C311" t="s">
        <v>11</v>
      </c>
      <c r="D311" s="1">
        <v>46092.628537638877</v>
      </c>
      <c r="E311" s="2">
        <f t="shared" ca="1" si="29"/>
        <v>41</v>
      </c>
      <c r="F311" s="2" t="str">
        <f t="shared" ca="1" si="30"/>
        <v>31-60 dias</v>
      </c>
      <c r="G311" s="3">
        <f t="shared" si="31"/>
        <v>3</v>
      </c>
      <c r="H311" s="3">
        <f t="shared" si="32"/>
        <v>2026</v>
      </c>
      <c r="I311" s="3">
        <f t="shared" si="33"/>
        <v>284</v>
      </c>
      <c r="J311" s="3">
        <f t="shared" si="34"/>
        <v>194</v>
      </c>
      <c r="K311" s="5">
        <f t="shared" si="35"/>
        <v>0.68309859154929575</v>
      </c>
      <c r="L311" s="7">
        <f>1</f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32" ht="18" customHeight="1" x14ac:dyDescent="0.25">
      <c r="A312">
        <v>1327101228</v>
      </c>
      <c r="B312" t="s">
        <v>287</v>
      </c>
      <c r="C312" t="s">
        <v>21</v>
      </c>
      <c r="D312" s="1">
        <v>46111.629573877319</v>
      </c>
      <c r="E312" s="2">
        <f t="shared" ca="1" si="29"/>
        <v>22</v>
      </c>
      <c r="F312" s="2" t="str">
        <f t="shared" ca="1" si="30"/>
        <v>20-24 dias</v>
      </c>
      <c r="G312" s="3">
        <f t="shared" si="31"/>
        <v>3</v>
      </c>
      <c r="H312" s="3">
        <f t="shared" si="32"/>
        <v>2026</v>
      </c>
      <c r="I312" s="3">
        <f t="shared" si="33"/>
        <v>284</v>
      </c>
      <c r="J312" s="3">
        <f t="shared" si="34"/>
        <v>194</v>
      </c>
      <c r="K312" s="5">
        <f t="shared" si="35"/>
        <v>0.68309859154929575</v>
      </c>
      <c r="L312" s="7">
        <f>1</f>
        <v>1</v>
      </c>
      <c r="O312">
        <v>1</v>
      </c>
    </row>
    <row r="313" spans="1:32" ht="18" customHeight="1" x14ac:dyDescent="0.25">
      <c r="A313">
        <v>1334947782</v>
      </c>
      <c r="B313" t="s">
        <v>378</v>
      </c>
      <c r="C313" t="s">
        <v>7</v>
      </c>
      <c r="D313" s="1">
        <v>46125.546771932874</v>
      </c>
      <c r="E313" s="2">
        <f t="shared" ca="1" si="29"/>
        <v>8</v>
      </c>
      <c r="F313" s="2" t="str">
        <f t="shared" ca="1" si="30"/>
        <v>0-14 dias</v>
      </c>
      <c r="G313" s="3">
        <f t="shared" si="31"/>
        <v>4</v>
      </c>
      <c r="H313" s="3">
        <f t="shared" si="32"/>
        <v>2026</v>
      </c>
      <c r="I313" s="3">
        <f t="shared" si="33"/>
        <v>146</v>
      </c>
      <c r="J313" s="3">
        <f t="shared" si="34"/>
        <v>28</v>
      </c>
      <c r="K313" s="5">
        <f t="shared" si="35"/>
        <v>0.19178082191780821</v>
      </c>
      <c r="L313" s="7">
        <f>1</f>
        <v>1</v>
      </c>
      <c r="N313">
        <v>1</v>
      </c>
      <c r="Y313">
        <v>1</v>
      </c>
    </row>
    <row r="314" spans="1:32" ht="18" customHeight="1" x14ac:dyDescent="0.25">
      <c r="A314">
        <v>1310839355</v>
      </c>
      <c r="B314" t="s">
        <v>181</v>
      </c>
      <c r="C314" t="s">
        <v>21</v>
      </c>
      <c r="D314" s="1">
        <v>46087.795018564822</v>
      </c>
      <c r="E314" s="2">
        <f t="shared" ca="1" si="29"/>
        <v>46</v>
      </c>
      <c r="F314" s="2" t="str">
        <f t="shared" ca="1" si="30"/>
        <v>31-60 dias</v>
      </c>
      <c r="G314" s="3">
        <f t="shared" si="31"/>
        <v>3</v>
      </c>
      <c r="H314" s="3">
        <f t="shared" si="32"/>
        <v>2026</v>
      </c>
      <c r="I314" s="3">
        <f t="shared" si="33"/>
        <v>284</v>
      </c>
      <c r="J314" s="3">
        <f t="shared" si="34"/>
        <v>194</v>
      </c>
      <c r="K314" s="5">
        <f t="shared" si="35"/>
        <v>0.68309859154929575</v>
      </c>
      <c r="L314" s="7">
        <f>1</f>
        <v>1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32" ht="18" customHeight="1" x14ac:dyDescent="0.25">
      <c r="A315">
        <v>1335120712</v>
      </c>
      <c r="B315" t="s">
        <v>437</v>
      </c>
      <c r="C315" t="s">
        <v>11</v>
      </c>
      <c r="D315" s="1">
        <v>46125.629373703698</v>
      </c>
      <c r="E315" s="2">
        <f t="shared" ca="1" si="29"/>
        <v>8</v>
      </c>
      <c r="F315" s="2" t="str">
        <f t="shared" ca="1" si="30"/>
        <v>0-14 dias</v>
      </c>
      <c r="G315" s="3">
        <f t="shared" si="31"/>
        <v>4</v>
      </c>
      <c r="H315" s="3">
        <f t="shared" si="32"/>
        <v>2026</v>
      </c>
      <c r="I315" s="3">
        <f t="shared" si="33"/>
        <v>146</v>
      </c>
      <c r="J315" s="3">
        <f t="shared" si="34"/>
        <v>28</v>
      </c>
      <c r="K315" s="5">
        <f t="shared" si="35"/>
        <v>0.19178082191780821</v>
      </c>
      <c r="L315" s="7">
        <f>1</f>
        <v>1</v>
      </c>
      <c r="N315">
        <v>2</v>
      </c>
      <c r="O315">
        <v>0</v>
      </c>
      <c r="Y315">
        <v>2</v>
      </c>
    </row>
    <row r="316" spans="1:32" ht="18" customHeight="1" x14ac:dyDescent="0.25">
      <c r="A316">
        <v>1328774948</v>
      </c>
      <c r="B316" t="s">
        <v>339</v>
      </c>
      <c r="C316" t="s">
        <v>5</v>
      </c>
      <c r="D316" s="1">
        <v>46113.79782565972</v>
      </c>
      <c r="E316" s="2">
        <f t="shared" ca="1" si="29"/>
        <v>20</v>
      </c>
      <c r="F316" s="2" t="str">
        <f t="shared" ca="1" si="30"/>
        <v>20-24 dias</v>
      </c>
      <c r="G316" s="3">
        <f t="shared" si="31"/>
        <v>4</v>
      </c>
      <c r="H316" s="3">
        <f t="shared" si="32"/>
        <v>2026</v>
      </c>
      <c r="I316" s="3">
        <f t="shared" si="33"/>
        <v>146</v>
      </c>
      <c r="J316" s="3">
        <f t="shared" si="34"/>
        <v>28</v>
      </c>
      <c r="K316" s="5">
        <f t="shared" si="35"/>
        <v>0.19178082191780821</v>
      </c>
      <c r="L316" s="7">
        <f>1</f>
        <v>1</v>
      </c>
      <c r="Y316">
        <v>1</v>
      </c>
      <c r="AE316">
        <v>1</v>
      </c>
      <c r="AF316" s="1">
        <v>46126.727624050924</v>
      </c>
    </row>
    <row r="317" spans="1:32" ht="18" customHeight="1" x14ac:dyDescent="0.25">
      <c r="A317">
        <v>1336982099</v>
      </c>
      <c r="B317" t="s">
        <v>438</v>
      </c>
      <c r="C317" t="s">
        <v>7</v>
      </c>
      <c r="D317" s="1">
        <v>46127.920603240738</v>
      </c>
      <c r="E317" s="2">
        <f t="shared" ca="1" si="29"/>
        <v>6</v>
      </c>
      <c r="F317" s="2" t="str">
        <f t="shared" ca="1" si="30"/>
        <v>0-14 dias</v>
      </c>
      <c r="G317" s="3">
        <f t="shared" si="31"/>
        <v>4</v>
      </c>
      <c r="H317" s="3">
        <f t="shared" si="32"/>
        <v>2026</v>
      </c>
      <c r="I317" s="3">
        <f t="shared" si="33"/>
        <v>146</v>
      </c>
      <c r="J317" s="3">
        <f t="shared" si="34"/>
        <v>28</v>
      </c>
      <c r="K317" s="5">
        <f t="shared" si="35"/>
        <v>0.19178082191780821</v>
      </c>
      <c r="L317" s="7">
        <f>1</f>
        <v>1</v>
      </c>
      <c r="N317">
        <v>3</v>
      </c>
    </row>
    <row r="318" spans="1:32" ht="18" customHeight="1" x14ac:dyDescent="0.25">
      <c r="A318">
        <v>1323528838</v>
      </c>
      <c r="B318" t="s">
        <v>182</v>
      </c>
      <c r="C318" t="s">
        <v>5</v>
      </c>
      <c r="D318" s="1">
        <v>46105.796123449072</v>
      </c>
      <c r="E318" s="2">
        <f t="shared" ca="1" si="29"/>
        <v>28</v>
      </c>
      <c r="F318" s="2" t="str">
        <f t="shared" ca="1" si="30"/>
        <v>25-30 dias</v>
      </c>
      <c r="G318" s="3">
        <f t="shared" si="31"/>
        <v>3</v>
      </c>
      <c r="H318" s="3">
        <f t="shared" si="32"/>
        <v>2026</v>
      </c>
      <c r="I318" s="3">
        <f t="shared" si="33"/>
        <v>284</v>
      </c>
      <c r="J318" s="3">
        <f t="shared" si="34"/>
        <v>194</v>
      </c>
      <c r="K318" s="5">
        <f t="shared" si="35"/>
        <v>0.68309859154929575</v>
      </c>
      <c r="L318" s="7">
        <f>1</f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AC318">
        <v>2</v>
      </c>
      <c r="AE318">
        <v>2</v>
      </c>
      <c r="AF318" s="1">
        <v>46118.531732256954</v>
      </c>
    </row>
    <row r="319" spans="1:32" ht="18" customHeight="1" x14ac:dyDescent="0.25">
      <c r="A319">
        <v>1339238865</v>
      </c>
      <c r="B319" t="s">
        <v>439</v>
      </c>
      <c r="C319" t="s">
        <v>7</v>
      </c>
      <c r="D319" s="1">
        <v>46132.921026215277</v>
      </c>
      <c r="E319" s="2">
        <f t="shared" ca="1" si="29"/>
        <v>1</v>
      </c>
      <c r="F319" s="2" t="str">
        <f t="shared" ca="1" si="30"/>
        <v>0-14 dias</v>
      </c>
      <c r="G319" s="3">
        <f t="shared" si="31"/>
        <v>4</v>
      </c>
      <c r="H319" s="3">
        <f t="shared" si="32"/>
        <v>2026</v>
      </c>
      <c r="I319" s="3">
        <f t="shared" si="33"/>
        <v>146</v>
      </c>
      <c r="J319" s="3">
        <f t="shared" si="34"/>
        <v>28</v>
      </c>
      <c r="K319" s="5">
        <f t="shared" si="35"/>
        <v>0.19178082191780821</v>
      </c>
      <c r="L319" s="7">
        <f>1</f>
        <v>1</v>
      </c>
    </row>
    <row r="320" spans="1:32" ht="18" customHeight="1" x14ac:dyDescent="0.25">
      <c r="A320">
        <v>1331471182</v>
      </c>
      <c r="B320" t="s">
        <v>379</v>
      </c>
      <c r="C320" t="s">
        <v>5</v>
      </c>
      <c r="D320" s="1">
        <v>46118.796895300933</v>
      </c>
      <c r="E320" s="2">
        <f t="shared" ca="1" si="29"/>
        <v>15</v>
      </c>
      <c r="F320" s="2" t="str">
        <f t="shared" ca="1" si="30"/>
        <v>15-19 dias</v>
      </c>
      <c r="G320" s="3">
        <f t="shared" si="31"/>
        <v>4</v>
      </c>
      <c r="H320" s="3">
        <f t="shared" si="32"/>
        <v>2026</v>
      </c>
      <c r="I320" s="3">
        <f t="shared" si="33"/>
        <v>146</v>
      </c>
      <c r="J320" s="3">
        <f t="shared" si="34"/>
        <v>28</v>
      </c>
      <c r="K320" s="5">
        <f t="shared" si="35"/>
        <v>0.19178082191780821</v>
      </c>
      <c r="L320" s="7">
        <f>1</f>
        <v>1</v>
      </c>
      <c r="Y320">
        <v>1</v>
      </c>
      <c r="Z320" t="s">
        <v>312</v>
      </c>
      <c r="AA320">
        <v>1</v>
      </c>
      <c r="AE320">
        <v>1</v>
      </c>
      <c r="AF320" s="1">
        <v>46126.735194409717</v>
      </c>
    </row>
    <row r="321" spans="1:32" ht="18" customHeight="1" x14ac:dyDescent="0.25">
      <c r="A321">
        <v>1332840722</v>
      </c>
      <c r="B321" t="s">
        <v>380</v>
      </c>
      <c r="C321" t="s">
        <v>11</v>
      </c>
      <c r="D321" s="1">
        <v>46120.79410806713</v>
      </c>
      <c r="E321" s="2">
        <f t="shared" ca="1" si="29"/>
        <v>13</v>
      </c>
      <c r="F321" s="2" t="str">
        <f t="shared" ca="1" si="30"/>
        <v>0-14 dias</v>
      </c>
      <c r="G321" s="3">
        <f t="shared" si="31"/>
        <v>4</v>
      </c>
      <c r="H321" s="3">
        <f t="shared" si="32"/>
        <v>2026</v>
      </c>
      <c r="I321" s="3">
        <f t="shared" si="33"/>
        <v>146</v>
      </c>
      <c r="J321" s="3">
        <f t="shared" si="34"/>
        <v>28</v>
      </c>
      <c r="K321" s="5">
        <f t="shared" si="35"/>
        <v>0.19178082191780821</v>
      </c>
      <c r="L321" s="7">
        <f>1</f>
        <v>1</v>
      </c>
      <c r="N321">
        <v>1</v>
      </c>
    </row>
    <row r="322" spans="1:32" ht="18" customHeight="1" x14ac:dyDescent="0.25">
      <c r="A322">
        <v>1321490008</v>
      </c>
      <c r="B322" t="s">
        <v>183</v>
      </c>
      <c r="C322" t="s">
        <v>5</v>
      </c>
      <c r="D322" s="1">
        <v>46101.920600509256</v>
      </c>
      <c r="E322" s="2">
        <f t="shared" ca="1" si="29"/>
        <v>32</v>
      </c>
      <c r="F322" s="2" t="str">
        <f t="shared" ca="1" si="30"/>
        <v>31-60 dias</v>
      </c>
      <c r="G322" s="3">
        <f t="shared" si="31"/>
        <v>3</v>
      </c>
      <c r="H322" s="3">
        <f t="shared" si="32"/>
        <v>2026</v>
      </c>
      <c r="I322" s="3">
        <f t="shared" si="33"/>
        <v>284</v>
      </c>
      <c r="J322" s="3">
        <f t="shared" si="34"/>
        <v>194</v>
      </c>
      <c r="K322" s="5">
        <f t="shared" si="35"/>
        <v>0.68309859154929575</v>
      </c>
      <c r="L322" s="7">
        <f>1</f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AE322">
        <v>1</v>
      </c>
      <c r="AF322" s="1">
        <v>46126.525146967593</v>
      </c>
    </row>
    <row r="323" spans="1:32" ht="18" customHeight="1" x14ac:dyDescent="0.25">
      <c r="A323">
        <v>1313798882</v>
      </c>
      <c r="B323" t="s">
        <v>184</v>
      </c>
      <c r="C323" t="s">
        <v>5</v>
      </c>
      <c r="D323" s="1">
        <v>46091.627668229157</v>
      </c>
      <c r="E323" s="2">
        <f t="shared" ref="E323:E386" ca="1" si="36">INT(TODAY() - D323)</f>
        <v>42</v>
      </c>
      <c r="F323" s="2" t="str">
        <f t="shared" ref="F323:F386" ca="1" si="37">IF(E323&lt;=14,"0-14 dias",
IF(E323&lt;=19,"15-19 dias",
IF(E323&lt;=24,"20-24 dias",
IF(E323&lt;=30,"25-30 dias",
IF(E323&lt;=60,"31-60 dias",
"&gt;60 dias")))))</f>
        <v>31-60 dias</v>
      </c>
      <c r="G323" s="3">
        <f t="shared" ref="G323:G386" si="38">MONTH(D323)</f>
        <v>3</v>
      </c>
      <c r="H323" s="3">
        <f t="shared" ref="H323:H386" si="39">YEAR(D323)</f>
        <v>2026</v>
      </c>
      <c r="I323" s="3">
        <f t="shared" ref="I323:I386" si="40">COUNTIFS(G:G,G323)</f>
        <v>284</v>
      </c>
      <c r="J323" s="3">
        <f t="shared" ref="J323:J386" si="41">COUNTIFS(G:G,G323,C:C,"Recebido")</f>
        <v>194</v>
      </c>
      <c r="K323" s="5">
        <f t="shared" ref="K323:K386" si="42">(J323/I323)</f>
        <v>0.68309859154929575</v>
      </c>
      <c r="L323" s="7">
        <f>1</f>
        <v>1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AE323">
        <v>1</v>
      </c>
      <c r="AF323" s="1">
        <v>46126.608591180557</v>
      </c>
    </row>
    <row r="324" spans="1:32" ht="18" customHeight="1" x14ac:dyDescent="0.25">
      <c r="A324">
        <v>1309288573</v>
      </c>
      <c r="B324" t="s">
        <v>185</v>
      </c>
      <c r="C324" t="s">
        <v>11</v>
      </c>
      <c r="D324" s="1">
        <v>46085.79527047454</v>
      </c>
      <c r="E324" s="2">
        <f t="shared" ca="1" si="36"/>
        <v>48</v>
      </c>
      <c r="F324" s="2" t="str">
        <f t="shared" ca="1" si="37"/>
        <v>31-60 dias</v>
      </c>
      <c r="G324" s="3">
        <f t="shared" si="38"/>
        <v>3</v>
      </c>
      <c r="H324" s="3">
        <f t="shared" si="39"/>
        <v>2026</v>
      </c>
      <c r="I324" s="3">
        <f t="shared" si="40"/>
        <v>284</v>
      </c>
      <c r="J324" s="3">
        <f t="shared" si="41"/>
        <v>194</v>
      </c>
      <c r="K324" s="5">
        <f t="shared" si="42"/>
        <v>0.68309859154929575</v>
      </c>
      <c r="L324" s="7">
        <f>1</f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32" ht="18" customHeight="1" x14ac:dyDescent="0.25">
      <c r="A325">
        <v>1304259000</v>
      </c>
      <c r="B325" t="s">
        <v>186</v>
      </c>
      <c r="C325" t="s">
        <v>7</v>
      </c>
      <c r="D325" s="1">
        <v>46078.921662939807</v>
      </c>
      <c r="E325" s="2">
        <f t="shared" ca="1" si="36"/>
        <v>55</v>
      </c>
      <c r="F325" s="2" t="str">
        <f t="shared" ca="1" si="37"/>
        <v>31-60 dias</v>
      </c>
      <c r="G325" s="3">
        <f t="shared" si="38"/>
        <v>2</v>
      </c>
      <c r="H325" s="3">
        <f t="shared" si="39"/>
        <v>2026</v>
      </c>
      <c r="I325" s="3">
        <f t="shared" si="40"/>
        <v>17</v>
      </c>
      <c r="J325" s="3">
        <f t="shared" si="41"/>
        <v>11</v>
      </c>
      <c r="K325" s="5">
        <f t="shared" si="42"/>
        <v>0.6470588235294118</v>
      </c>
      <c r="L325" s="7">
        <f>1</f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32" ht="18" customHeight="1" x14ac:dyDescent="0.25">
      <c r="A326">
        <v>1314827132</v>
      </c>
      <c r="B326" t="s">
        <v>187</v>
      </c>
      <c r="C326" t="s">
        <v>5</v>
      </c>
      <c r="D326" s="1">
        <v>46092.810829282404</v>
      </c>
      <c r="E326" s="2">
        <f t="shared" ca="1" si="36"/>
        <v>41</v>
      </c>
      <c r="F326" s="2" t="str">
        <f t="shared" ca="1" si="37"/>
        <v>31-60 dias</v>
      </c>
      <c r="G326" s="3">
        <f t="shared" si="38"/>
        <v>3</v>
      </c>
      <c r="H326" s="3">
        <f t="shared" si="39"/>
        <v>2026</v>
      </c>
      <c r="I326" s="3">
        <f t="shared" si="40"/>
        <v>284</v>
      </c>
      <c r="J326" s="3">
        <f t="shared" si="41"/>
        <v>194</v>
      </c>
      <c r="K326" s="5">
        <f t="shared" si="42"/>
        <v>0.68309859154929575</v>
      </c>
      <c r="L326" s="7">
        <f>1</f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 t="s">
        <v>311</v>
      </c>
      <c r="AA326">
        <v>1</v>
      </c>
      <c r="AF326" s="1">
        <v>46094.549644120372</v>
      </c>
    </row>
    <row r="327" spans="1:32" ht="18" customHeight="1" x14ac:dyDescent="0.25">
      <c r="A327">
        <v>1335309400</v>
      </c>
      <c r="B327" t="s">
        <v>440</v>
      </c>
      <c r="C327" t="s">
        <v>7</v>
      </c>
      <c r="D327" s="1">
        <v>46125.797006840279</v>
      </c>
      <c r="E327" s="2">
        <f t="shared" ca="1" si="36"/>
        <v>8</v>
      </c>
      <c r="F327" s="2" t="str">
        <f t="shared" ca="1" si="37"/>
        <v>0-14 dias</v>
      </c>
      <c r="G327" s="3">
        <f t="shared" si="38"/>
        <v>4</v>
      </c>
      <c r="H327" s="3">
        <f t="shared" si="39"/>
        <v>2026</v>
      </c>
      <c r="I327" s="3">
        <f t="shared" si="40"/>
        <v>146</v>
      </c>
      <c r="J327" s="3">
        <f t="shared" si="41"/>
        <v>28</v>
      </c>
      <c r="K327" s="5">
        <f t="shared" si="42"/>
        <v>0.19178082191780821</v>
      </c>
      <c r="L327" s="7">
        <f>1</f>
        <v>1</v>
      </c>
      <c r="O327">
        <v>1</v>
      </c>
    </row>
    <row r="328" spans="1:32" ht="18" customHeight="1" x14ac:dyDescent="0.25">
      <c r="A328">
        <v>1338149228</v>
      </c>
      <c r="B328" t="s">
        <v>440</v>
      </c>
      <c r="C328" t="s">
        <v>7</v>
      </c>
      <c r="D328" s="1">
        <v>46129.797206423609</v>
      </c>
      <c r="E328" s="2">
        <f t="shared" ca="1" si="36"/>
        <v>4</v>
      </c>
      <c r="F328" s="2" t="str">
        <f t="shared" ca="1" si="37"/>
        <v>0-14 dias</v>
      </c>
      <c r="G328" s="3">
        <f t="shared" si="38"/>
        <v>4</v>
      </c>
      <c r="H328" s="3">
        <f t="shared" si="39"/>
        <v>2026</v>
      </c>
      <c r="I328" s="3">
        <f t="shared" si="40"/>
        <v>146</v>
      </c>
      <c r="J328" s="3">
        <f t="shared" si="41"/>
        <v>28</v>
      </c>
      <c r="K328" s="5">
        <f t="shared" si="42"/>
        <v>0.19178082191780821</v>
      </c>
      <c r="L328" s="7">
        <f>1</f>
        <v>1</v>
      </c>
      <c r="N328">
        <v>1</v>
      </c>
      <c r="Y328">
        <v>2</v>
      </c>
    </row>
    <row r="329" spans="1:32" ht="18" customHeight="1" x14ac:dyDescent="0.25">
      <c r="A329">
        <v>1323158665</v>
      </c>
      <c r="B329" t="s">
        <v>188</v>
      </c>
      <c r="C329" t="s">
        <v>21</v>
      </c>
      <c r="D329" s="1">
        <v>46105.514055277767</v>
      </c>
      <c r="E329" s="2">
        <f t="shared" ca="1" si="36"/>
        <v>28</v>
      </c>
      <c r="F329" s="2" t="str">
        <f t="shared" ca="1" si="37"/>
        <v>25-30 dias</v>
      </c>
      <c r="G329" s="3">
        <f t="shared" si="38"/>
        <v>3</v>
      </c>
      <c r="H329" s="3">
        <f t="shared" si="39"/>
        <v>2026</v>
      </c>
      <c r="I329" s="3">
        <f t="shared" si="40"/>
        <v>284</v>
      </c>
      <c r="J329" s="3">
        <f t="shared" si="41"/>
        <v>194</v>
      </c>
      <c r="K329" s="5">
        <f t="shared" si="42"/>
        <v>0.68309859154929575</v>
      </c>
      <c r="L329" s="7">
        <f>1</f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32" ht="18" customHeight="1" x14ac:dyDescent="0.25">
      <c r="A330">
        <v>1335308738</v>
      </c>
      <c r="B330" t="s">
        <v>441</v>
      </c>
      <c r="C330" t="s">
        <v>7</v>
      </c>
      <c r="D330" s="1">
        <v>46125.796750740737</v>
      </c>
      <c r="E330" s="2">
        <f t="shared" ca="1" si="36"/>
        <v>8</v>
      </c>
      <c r="F330" s="2" t="str">
        <f t="shared" ca="1" si="37"/>
        <v>0-14 dias</v>
      </c>
      <c r="G330" s="3">
        <f t="shared" si="38"/>
        <v>4</v>
      </c>
      <c r="H330" s="3">
        <f t="shared" si="39"/>
        <v>2026</v>
      </c>
      <c r="I330" s="3">
        <f t="shared" si="40"/>
        <v>146</v>
      </c>
      <c r="J330" s="3">
        <f t="shared" si="41"/>
        <v>28</v>
      </c>
      <c r="K330" s="5">
        <f t="shared" si="42"/>
        <v>0.19178082191780821</v>
      </c>
      <c r="L330" s="7">
        <f>1</f>
        <v>1</v>
      </c>
      <c r="N330">
        <v>1</v>
      </c>
    </row>
    <row r="331" spans="1:32" ht="18" customHeight="1" x14ac:dyDescent="0.25">
      <c r="A331">
        <v>1323702474</v>
      </c>
      <c r="B331" t="s">
        <v>189</v>
      </c>
      <c r="C331" t="s">
        <v>5</v>
      </c>
      <c r="D331" s="1">
        <v>46105.920201990739</v>
      </c>
      <c r="E331" s="2">
        <f t="shared" ca="1" si="36"/>
        <v>28</v>
      </c>
      <c r="F331" s="2" t="str">
        <f t="shared" ca="1" si="37"/>
        <v>25-30 dias</v>
      </c>
      <c r="G331" s="3">
        <f t="shared" si="38"/>
        <v>3</v>
      </c>
      <c r="H331" s="3">
        <f t="shared" si="39"/>
        <v>2026</v>
      </c>
      <c r="I331" s="3">
        <f t="shared" si="40"/>
        <v>284</v>
      </c>
      <c r="J331" s="3">
        <f t="shared" si="41"/>
        <v>194</v>
      </c>
      <c r="K331" s="5">
        <f t="shared" si="42"/>
        <v>0.68309859154929575</v>
      </c>
      <c r="L331" s="7">
        <f>1</f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AB331">
        <v>1</v>
      </c>
      <c r="AF331" s="1">
        <v>46126.52591188658</v>
      </c>
    </row>
    <row r="332" spans="1:32" ht="18" customHeight="1" x14ac:dyDescent="0.25">
      <c r="A332">
        <v>1323702535</v>
      </c>
      <c r="B332" t="s">
        <v>189</v>
      </c>
      <c r="C332" t="s">
        <v>5</v>
      </c>
      <c r="D332" s="1">
        <v>46105.92023275463</v>
      </c>
      <c r="E332" s="2">
        <f t="shared" ca="1" si="36"/>
        <v>28</v>
      </c>
      <c r="F332" s="2" t="str">
        <f t="shared" ca="1" si="37"/>
        <v>25-30 dias</v>
      </c>
      <c r="G332" s="3">
        <f t="shared" si="38"/>
        <v>3</v>
      </c>
      <c r="H332" s="3">
        <f t="shared" si="39"/>
        <v>2026</v>
      </c>
      <c r="I332" s="3">
        <f t="shared" si="40"/>
        <v>284</v>
      </c>
      <c r="J332" s="3">
        <f t="shared" si="41"/>
        <v>194</v>
      </c>
      <c r="K332" s="5">
        <f t="shared" si="42"/>
        <v>0.68309859154929575</v>
      </c>
      <c r="L332" s="7">
        <f>1</f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AB332">
        <v>1</v>
      </c>
      <c r="AF332" s="1">
        <v>46126.528032337963</v>
      </c>
    </row>
    <row r="333" spans="1:32" ht="18" customHeight="1" x14ac:dyDescent="0.25">
      <c r="A333">
        <v>1309402513</v>
      </c>
      <c r="B333" t="s">
        <v>190</v>
      </c>
      <c r="C333" t="s">
        <v>5</v>
      </c>
      <c r="D333" s="1">
        <v>46085.920218553241</v>
      </c>
      <c r="E333" s="2">
        <f t="shared" ca="1" si="36"/>
        <v>48</v>
      </c>
      <c r="F333" s="2" t="str">
        <f t="shared" ca="1" si="37"/>
        <v>31-60 dias</v>
      </c>
      <c r="G333" s="3">
        <f t="shared" si="38"/>
        <v>3</v>
      </c>
      <c r="H333" s="3">
        <f t="shared" si="39"/>
        <v>2026</v>
      </c>
      <c r="I333" s="3">
        <f t="shared" si="40"/>
        <v>284</v>
      </c>
      <c r="J333" s="3">
        <f t="shared" si="41"/>
        <v>194</v>
      </c>
      <c r="K333" s="5">
        <f t="shared" si="42"/>
        <v>0.68309859154929575</v>
      </c>
      <c r="L333" s="7">
        <f>1</f>
        <v>1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AB333">
        <v>1</v>
      </c>
      <c r="AE333">
        <v>1</v>
      </c>
      <c r="AF333" s="1">
        <v>46105.719956701389</v>
      </c>
    </row>
    <row r="334" spans="1:32" ht="18" customHeight="1" x14ac:dyDescent="0.25">
      <c r="A334">
        <v>1318138267</v>
      </c>
      <c r="B334" t="s">
        <v>191</v>
      </c>
      <c r="C334" t="s">
        <v>5</v>
      </c>
      <c r="D334" s="1">
        <v>46097.545902743062</v>
      </c>
      <c r="E334" s="2">
        <f t="shared" ca="1" si="36"/>
        <v>36</v>
      </c>
      <c r="F334" s="2" t="str">
        <f t="shared" ca="1" si="37"/>
        <v>31-60 dias</v>
      </c>
      <c r="G334" s="3">
        <f t="shared" si="38"/>
        <v>3</v>
      </c>
      <c r="H334" s="3">
        <f t="shared" si="39"/>
        <v>2026</v>
      </c>
      <c r="I334" s="3">
        <f t="shared" si="40"/>
        <v>284</v>
      </c>
      <c r="J334" s="3">
        <f t="shared" si="41"/>
        <v>194</v>
      </c>
      <c r="K334" s="5">
        <f t="shared" si="42"/>
        <v>0.68309859154929575</v>
      </c>
      <c r="L334" s="7">
        <f>1</f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AB334">
        <v>1</v>
      </c>
      <c r="AE334">
        <v>1</v>
      </c>
      <c r="AF334" s="1">
        <v>46106.633471817127</v>
      </c>
    </row>
    <row r="335" spans="1:32" ht="18" customHeight="1" x14ac:dyDescent="0.25">
      <c r="A335">
        <v>1316678132</v>
      </c>
      <c r="B335" t="s">
        <v>192</v>
      </c>
      <c r="C335" t="s">
        <v>5</v>
      </c>
      <c r="D335" s="1">
        <v>46094.796731898146</v>
      </c>
      <c r="E335" s="2">
        <f t="shared" ca="1" si="36"/>
        <v>39</v>
      </c>
      <c r="F335" s="2" t="str">
        <f t="shared" ca="1" si="37"/>
        <v>31-60 dias</v>
      </c>
      <c r="G335" s="3">
        <f t="shared" si="38"/>
        <v>3</v>
      </c>
      <c r="H335" s="3">
        <f t="shared" si="39"/>
        <v>2026</v>
      </c>
      <c r="I335" s="3">
        <f t="shared" si="40"/>
        <v>284</v>
      </c>
      <c r="J335" s="3">
        <f t="shared" si="41"/>
        <v>194</v>
      </c>
      <c r="K335" s="5">
        <f t="shared" si="42"/>
        <v>0.68309859154929575</v>
      </c>
      <c r="L335" s="7">
        <f>1</f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AE335">
        <v>1</v>
      </c>
      <c r="AF335" s="1">
        <v>46106.629438043979</v>
      </c>
    </row>
    <row r="336" spans="1:32" ht="18" customHeight="1" x14ac:dyDescent="0.25">
      <c r="A336">
        <v>1307302225</v>
      </c>
      <c r="B336" t="s">
        <v>193</v>
      </c>
      <c r="C336" t="s">
        <v>5</v>
      </c>
      <c r="D336" s="1">
        <v>46083.795455023152</v>
      </c>
      <c r="E336" s="2">
        <f t="shared" ca="1" si="36"/>
        <v>50</v>
      </c>
      <c r="F336" s="2" t="str">
        <f t="shared" ca="1" si="37"/>
        <v>31-60 dias</v>
      </c>
      <c r="G336" s="3">
        <f t="shared" si="38"/>
        <v>3</v>
      </c>
      <c r="H336" s="3">
        <f t="shared" si="39"/>
        <v>2026</v>
      </c>
      <c r="I336" s="3">
        <f t="shared" si="40"/>
        <v>284</v>
      </c>
      <c r="J336" s="3">
        <f t="shared" si="41"/>
        <v>194</v>
      </c>
      <c r="K336" s="5">
        <f t="shared" si="42"/>
        <v>0.68309859154929575</v>
      </c>
      <c r="L336" s="7">
        <f>1</f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AB336">
        <v>1</v>
      </c>
      <c r="AF336" s="1">
        <v>46106.74667443287</v>
      </c>
    </row>
    <row r="337" spans="1:32" ht="18" customHeight="1" x14ac:dyDescent="0.25">
      <c r="A337">
        <v>1327841666</v>
      </c>
      <c r="B337" t="s">
        <v>193</v>
      </c>
      <c r="C337" t="s">
        <v>15</v>
      </c>
      <c r="D337" s="1">
        <v>46112.626977893517</v>
      </c>
      <c r="E337" s="2">
        <f t="shared" ca="1" si="36"/>
        <v>21</v>
      </c>
      <c r="F337" s="2" t="str">
        <f t="shared" ca="1" si="37"/>
        <v>20-24 dias</v>
      </c>
      <c r="G337" s="3">
        <f t="shared" si="38"/>
        <v>3</v>
      </c>
      <c r="H337" s="3">
        <f t="shared" si="39"/>
        <v>2026</v>
      </c>
      <c r="I337" s="3">
        <f t="shared" si="40"/>
        <v>284</v>
      </c>
      <c r="J337" s="3">
        <f t="shared" si="41"/>
        <v>194</v>
      </c>
      <c r="K337" s="5">
        <f t="shared" si="42"/>
        <v>0.68309859154929575</v>
      </c>
      <c r="L337" s="7">
        <f>1</f>
        <v>1</v>
      </c>
      <c r="N337">
        <v>2</v>
      </c>
      <c r="Y337">
        <v>2</v>
      </c>
    </row>
    <row r="338" spans="1:32" ht="18" customHeight="1" x14ac:dyDescent="0.25">
      <c r="A338">
        <v>1315965476</v>
      </c>
      <c r="B338" t="s">
        <v>194</v>
      </c>
      <c r="C338" t="s">
        <v>21</v>
      </c>
      <c r="D338" s="1">
        <v>46093.796740520833</v>
      </c>
      <c r="E338" s="2">
        <f t="shared" ca="1" si="36"/>
        <v>40</v>
      </c>
      <c r="F338" s="2" t="str">
        <f t="shared" ca="1" si="37"/>
        <v>31-60 dias</v>
      </c>
      <c r="G338" s="3">
        <f t="shared" si="38"/>
        <v>3</v>
      </c>
      <c r="H338" s="3">
        <f t="shared" si="39"/>
        <v>2026</v>
      </c>
      <c r="I338" s="3">
        <f t="shared" si="40"/>
        <v>284</v>
      </c>
      <c r="J338" s="3">
        <f t="shared" si="41"/>
        <v>194</v>
      </c>
      <c r="K338" s="5">
        <f t="shared" si="42"/>
        <v>0.68309859154929575</v>
      </c>
      <c r="L338" s="7">
        <f>1</f>
        <v>1</v>
      </c>
      <c r="M338">
        <v>0</v>
      </c>
      <c r="N338">
        <v>0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32" ht="18" customHeight="1" x14ac:dyDescent="0.25">
      <c r="A339">
        <v>1331087566</v>
      </c>
      <c r="B339" t="s">
        <v>340</v>
      </c>
      <c r="C339" t="s">
        <v>5</v>
      </c>
      <c r="D339" s="1">
        <v>46118.554041620373</v>
      </c>
      <c r="E339" s="2">
        <f t="shared" ca="1" si="36"/>
        <v>15</v>
      </c>
      <c r="F339" s="2" t="str">
        <f t="shared" ca="1" si="37"/>
        <v>15-19 dias</v>
      </c>
      <c r="G339" s="3">
        <f t="shared" si="38"/>
        <v>4</v>
      </c>
      <c r="H339" s="3">
        <f t="shared" si="39"/>
        <v>2026</v>
      </c>
      <c r="I339" s="3">
        <f t="shared" si="40"/>
        <v>146</v>
      </c>
      <c r="J339" s="3">
        <f t="shared" si="41"/>
        <v>28</v>
      </c>
      <c r="K339" s="5">
        <f t="shared" si="42"/>
        <v>0.19178082191780821</v>
      </c>
      <c r="L339" s="7">
        <f>1</f>
        <v>1</v>
      </c>
      <c r="Y339">
        <v>2</v>
      </c>
      <c r="AE339">
        <v>2</v>
      </c>
      <c r="AF339" s="1">
        <v>46118.555201192132</v>
      </c>
    </row>
    <row r="340" spans="1:32" ht="18" customHeight="1" x14ac:dyDescent="0.25">
      <c r="A340">
        <v>1313162179</v>
      </c>
      <c r="B340" t="s">
        <v>195</v>
      </c>
      <c r="C340" t="s">
        <v>21</v>
      </c>
      <c r="D340" s="1">
        <v>46090.79703480324</v>
      </c>
      <c r="E340" s="2">
        <f t="shared" ca="1" si="36"/>
        <v>43</v>
      </c>
      <c r="F340" s="2" t="str">
        <f t="shared" ca="1" si="37"/>
        <v>31-60 dias</v>
      </c>
      <c r="G340" s="3">
        <f t="shared" si="38"/>
        <v>3</v>
      </c>
      <c r="H340" s="3">
        <f t="shared" si="39"/>
        <v>2026</v>
      </c>
      <c r="I340" s="3">
        <f t="shared" si="40"/>
        <v>284</v>
      </c>
      <c r="J340" s="3">
        <f t="shared" si="41"/>
        <v>194</v>
      </c>
      <c r="K340" s="5">
        <f t="shared" si="42"/>
        <v>0.68309859154929575</v>
      </c>
      <c r="L340" s="7">
        <f>1</f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</v>
      </c>
    </row>
    <row r="341" spans="1:32" ht="18" customHeight="1" x14ac:dyDescent="0.25">
      <c r="A341">
        <v>1328577968</v>
      </c>
      <c r="B341" t="s">
        <v>341</v>
      </c>
      <c r="C341" t="s">
        <v>15</v>
      </c>
      <c r="D341" s="1">
        <v>46113.631346712973</v>
      </c>
      <c r="E341" s="2">
        <f t="shared" ca="1" si="36"/>
        <v>20</v>
      </c>
      <c r="F341" s="2" t="str">
        <f t="shared" ca="1" si="37"/>
        <v>20-24 dias</v>
      </c>
      <c r="G341" s="3">
        <f t="shared" si="38"/>
        <v>4</v>
      </c>
      <c r="H341" s="3">
        <f t="shared" si="39"/>
        <v>2026</v>
      </c>
      <c r="I341" s="3">
        <f t="shared" si="40"/>
        <v>146</v>
      </c>
      <c r="J341" s="3">
        <f t="shared" si="41"/>
        <v>28</v>
      </c>
      <c r="K341" s="5">
        <f t="shared" si="42"/>
        <v>0.19178082191780821</v>
      </c>
      <c r="L341" s="7">
        <f>1</f>
        <v>1</v>
      </c>
      <c r="Y341">
        <v>1</v>
      </c>
    </row>
    <row r="342" spans="1:32" ht="18" customHeight="1" x14ac:dyDescent="0.25">
      <c r="A342">
        <v>1315003311</v>
      </c>
      <c r="B342" t="s">
        <v>196</v>
      </c>
      <c r="C342" t="s">
        <v>5</v>
      </c>
      <c r="D342" s="1">
        <v>46092.921096261583</v>
      </c>
      <c r="E342" s="2">
        <f t="shared" ca="1" si="36"/>
        <v>41</v>
      </c>
      <c r="F342" s="2" t="str">
        <f t="shared" ca="1" si="37"/>
        <v>31-60 dias</v>
      </c>
      <c r="G342" s="3">
        <f t="shared" si="38"/>
        <v>3</v>
      </c>
      <c r="H342" s="3">
        <f t="shared" si="39"/>
        <v>2026</v>
      </c>
      <c r="I342" s="3">
        <f t="shared" si="40"/>
        <v>284</v>
      </c>
      <c r="J342" s="3">
        <f t="shared" si="41"/>
        <v>194</v>
      </c>
      <c r="K342" s="5">
        <f t="shared" si="42"/>
        <v>0.68309859154929575</v>
      </c>
      <c r="L342" s="7">
        <f>1</f>
        <v>1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AE342">
        <v>1</v>
      </c>
      <c r="AF342" s="1">
        <v>46106.808517997692</v>
      </c>
    </row>
    <row r="343" spans="1:32" ht="18" customHeight="1" x14ac:dyDescent="0.25">
      <c r="A343">
        <v>1307244773</v>
      </c>
      <c r="B343" t="s">
        <v>197</v>
      </c>
      <c r="C343" t="s">
        <v>11</v>
      </c>
      <c r="D343" s="1">
        <v>46083.753373032407</v>
      </c>
      <c r="E343" s="2">
        <f t="shared" ca="1" si="36"/>
        <v>50</v>
      </c>
      <c r="F343" s="2" t="str">
        <f t="shared" ca="1" si="37"/>
        <v>31-60 dias</v>
      </c>
      <c r="G343" s="3">
        <f t="shared" si="38"/>
        <v>3</v>
      </c>
      <c r="H343" s="3">
        <f t="shared" si="39"/>
        <v>2026</v>
      </c>
      <c r="I343" s="3">
        <f t="shared" si="40"/>
        <v>284</v>
      </c>
      <c r="J343" s="3">
        <f t="shared" si="41"/>
        <v>194</v>
      </c>
      <c r="K343" s="5">
        <f t="shared" si="42"/>
        <v>0.68309859154929575</v>
      </c>
      <c r="L343" s="7">
        <f>1</f>
        <v>1</v>
      </c>
      <c r="M343">
        <v>0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32" ht="18" customHeight="1" x14ac:dyDescent="0.25">
      <c r="A344">
        <v>1321204786</v>
      </c>
      <c r="B344" t="s">
        <v>198</v>
      </c>
      <c r="C344" t="s">
        <v>5</v>
      </c>
      <c r="D344" s="1">
        <v>46101.629585208328</v>
      </c>
      <c r="E344" s="2">
        <f t="shared" ca="1" si="36"/>
        <v>32</v>
      </c>
      <c r="F344" s="2" t="str">
        <f t="shared" ca="1" si="37"/>
        <v>31-60 dias</v>
      </c>
      <c r="G344" s="3">
        <f t="shared" si="38"/>
        <v>3</v>
      </c>
      <c r="H344" s="3">
        <f t="shared" si="39"/>
        <v>2026</v>
      </c>
      <c r="I344" s="3">
        <f t="shared" si="40"/>
        <v>284</v>
      </c>
      <c r="J344" s="3">
        <f t="shared" si="41"/>
        <v>194</v>
      </c>
      <c r="K344" s="5">
        <f t="shared" si="42"/>
        <v>0.68309859154929575</v>
      </c>
      <c r="L344" s="7">
        <f>1</f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AF344" s="1">
        <v>46127.709745891203</v>
      </c>
    </row>
    <row r="345" spans="1:32" ht="18" customHeight="1" x14ac:dyDescent="0.25">
      <c r="A345">
        <v>1313170982</v>
      </c>
      <c r="B345" t="s">
        <v>199</v>
      </c>
      <c r="C345" t="s">
        <v>21</v>
      </c>
      <c r="D345" s="1">
        <v>46090.803598865743</v>
      </c>
      <c r="E345" s="2">
        <f t="shared" ca="1" si="36"/>
        <v>43</v>
      </c>
      <c r="F345" s="2" t="str">
        <f t="shared" ca="1" si="37"/>
        <v>31-60 dias</v>
      </c>
      <c r="G345" s="3">
        <f t="shared" si="38"/>
        <v>3</v>
      </c>
      <c r="H345" s="3">
        <f t="shared" si="39"/>
        <v>2026</v>
      </c>
      <c r="I345" s="3">
        <f t="shared" si="40"/>
        <v>284</v>
      </c>
      <c r="J345" s="3">
        <f t="shared" si="41"/>
        <v>194</v>
      </c>
      <c r="K345" s="5">
        <f t="shared" si="42"/>
        <v>0.68309859154929575</v>
      </c>
      <c r="L345" s="7">
        <f>1</f>
        <v>1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32" ht="18" customHeight="1" x14ac:dyDescent="0.25">
      <c r="A346">
        <v>1309401870</v>
      </c>
      <c r="B346" t="s">
        <v>200</v>
      </c>
      <c r="C346" t="s">
        <v>5</v>
      </c>
      <c r="D346" s="1">
        <v>46085.919256562498</v>
      </c>
      <c r="E346" s="2">
        <f t="shared" ca="1" si="36"/>
        <v>48</v>
      </c>
      <c r="F346" s="2" t="str">
        <f t="shared" ca="1" si="37"/>
        <v>31-60 dias</v>
      </c>
      <c r="G346" s="3">
        <f t="shared" si="38"/>
        <v>3</v>
      </c>
      <c r="H346" s="3">
        <f t="shared" si="39"/>
        <v>2026</v>
      </c>
      <c r="I346" s="3">
        <f t="shared" si="40"/>
        <v>284</v>
      </c>
      <c r="J346" s="3">
        <f t="shared" si="41"/>
        <v>194</v>
      </c>
      <c r="K346" s="5">
        <f t="shared" si="42"/>
        <v>0.68309859154929575</v>
      </c>
      <c r="L346" s="7">
        <f>1</f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AF346" s="1">
        <v>46100.733969363428</v>
      </c>
    </row>
    <row r="347" spans="1:32" ht="18" customHeight="1" x14ac:dyDescent="0.25">
      <c r="A347">
        <v>1332682013</v>
      </c>
      <c r="B347" t="s">
        <v>381</v>
      </c>
      <c r="C347" t="s">
        <v>7</v>
      </c>
      <c r="D347" s="1">
        <v>46120.628280428238</v>
      </c>
      <c r="E347" s="2">
        <f t="shared" ca="1" si="36"/>
        <v>13</v>
      </c>
      <c r="F347" s="2" t="str">
        <f t="shared" ca="1" si="37"/>
        <v>0-14 dias</v>
      </c>
      <c r="G347" s="3">
        <f t="shared" si="38"/>
        <v>4</v>
      </c>
      <c r="H347" s="3">
        <f t="shared" si="39"/>
        <v>2026</v>
      </c>
      <c r="I347" s="3">
        <f t="shared" si="40"/>
        <v>146</v>
      </c>
      <c r="J347" s="3">
        <f t="shared" si="41"/>
        <v>28</v>
      </c>
      <c r="K347" s="5">
        <f t="shared" si="42"/>
        <v>0.19178082191780821</v>
      </c>
      <c r="L347" s="7">
        <f>1</f>
        <v>1</v>
      </c>
    </row>
    <row r="348" spans="1:32" ht="18" customHeight="1" x14ac:dyDescent="0.25">
      <c r="A348">
        <v>1326992318</v>
      </c>
      <c r="B348" t="s">
        <v>288</v>
      </c>
      <c r="C348" t="s">
        <v>21</v>
      </c>
      <c r="D348" s="1">
        <v>46111.545225775473</v>
      </c>
      <c r="E348" s="2">
        <f t="shared" ca="1" si="36"/>
        <v>22</v>
      </c>
      <c r="F348" s="2" t="str">
        <f t="shared" ca="1" si="37"/>
        <v>20-24 dias</v>
      </c>
      <c r="G348" s="3">
        <f t="shared" si="38"/>
        <v>3</v>
      </c>
      <c r="H348" s="3">
        <f t="shared" si="39"/>
        <v>2026</v>
      </c>
      <c r="I348" s="3">
        <f t="shared" si="40"/>
        <v>284</v>
      </c>
      <c r="J348" s="3">
        <f t="shared" si="41"/>
        <v>194</v>
      </c>
      <c r="K348" s="5">
        <f t="shared" si="42"/>
        <v>0.68309859154929575</v>
      </c>
      <c r="L348" s="7">
        <f>1</f>
        <v>1</v>
      </c>
      <c r="N348">
        <v>2</v>
      </c>
    </row>
    <row r="349" spans="1:32" ht="18" customHeight="1" x14ac:dyDescent="0.25">
      <c r="A349">
        <v>1316810324</v>
      </c>
      <c r="B349" t="s">
        <v>201</v>
      </c>
      <c r="C349" t="s">
        <v>21</v>
      </c>
      <c r="D349" s="1">
        <v>46094.920522025473</v>
      </c>
      <c r="E349" s="2">
        <f t="shared" ca="1" si="36"/>
        <v>39</v>
      </c>
      <c r="F349" s="2" t="str">
        <f t="shared" ca="1" si="37"/>
        <v>31-60 dias</v>
      </c>
      <c r="G349" s="3">
        <f t="shared" si="38"/>
        <v>3</v>
      </c>
      <c r="H349" s="3">
        <f t="shared" si="39"/>
        <v>2026</v>
      </c>
      <c r="I349" s="3">
        <f t="shared" si="40"/>
        <v>284</v>
      </c>
      <c r="J349" s="3">
        <f t="shared" si="41"/>
        <v>194</v>
      </c>
      <c r="K349" s="5">
        <f t="shared" si="42"/>
        <v>0.68309859154929575</v>
      </c>
      <c r="L349" s="7">
        <f>1</f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32" ht="18" customHeight="1" x14ac:dyDescent="0.25">
      <c r="A350">
        <v>1327409536</v>
      </c>
      <c r="B350" t="s">
        <v>289</v>
      </c>
      <c r="C350" t="s">
        <v>21</v>
      </c>
      <c r="D350" s="1">
        <v>46111.920197384257</v>
      </c>
      <c r="E350" s="2">
        <f t="shared" ca="1" si="36"/>
        <v>22</v>
      </c>
      <c r="F350" s="2" t="str">
        <f t="shared" ca="1" si="37"/>
        <v>20-24 dias</v>
      </c>
      <c r="G350" s="3">
        <f t="shared" si="38"/>
        <v>3</v>
      </c>
      <c r="H350" s="3">
        <f t="shared" si="39"/>
        <v>2026</v>
      </c>
      <c r="I350" s="3">
        <f t="shared" si="40"/>
        <v>284</v>
      </c>
      <c r="J350" s="3">
        <f t="shared" si="41"/>
        <v>194</v>
      </c>
      <c r="K350" s="5">
        <f t="shared" si="42"/>
        <v>0.68309859154929575</v>
      </c>
      <c r="L350" s="7">
        <f>1</f>
        <v>1</v>
      </c>
      <c r="O350">
        <v>1</v>
      </c>
    </row>
    <row r="351" spans="1:32" ht="18" customHeight="1" x14ac:dyDescent="0.25">
      <c r="A351">
        <v>1327409424</v>
      </c>
      <c r="B351" t="s">
        <v>289</v>
      </c>
      <c r="C351" t="s">
        <v>21</v>
      </c>
      <c r="D351" s="1">
        <v>46111.920013356481</v>
      </c>
      <c r="E351" s="2">
        <f t="shared" ca="1" si="36"/>
        <v>22</v>
      </c>
      <c r="F351" s="2" t="str">
        <f t="shared" ca="1" si="37"/>
        <v>20-24 dias</v>
      </c>
      <c r="G351" s="3">
        <f t="shared" si="38"/>
        <v>3</v>
      </c>
      <c r="H351" s="3">
        <f t="shared" si="39"/>
        <v>2026</v>
      </c>
      <c r="I351" s="3">
        <f t="shared" si="40"/>
        <v>284</v>
      </c>
      <c r="J351" s="3">
        <f t="shared" si="41"/>
        <v>194</v>
      </c>
      <c r="K351" s="5">
        <f t="shared" si="42"/>
        <v>0.68309859154929575</v>
      </c>
      <c r="L351" s="7">
        <f>1</f>
        <v>1</v>
      </c>
      <c r="N351">
        <v>1</v>
      </c>
    </row>
    <row r="352" spans="1:32" ht="18" customHeight="1" x14ac:dyDescent="0.25">
      <c r="A352">
        <v>1334013338</v>
      </c>
      <c r="B352" t="s">
        <v>382</v>
      </c>
      <c r="C352" t="s">
        <v>7</v>
      </c>
      <c r="D352" s="1">
        <v>46122.921480173609</v>
      </c>
      <c r="E352" s="2">
        <f t="shared" ca="1" si="36"/>
        <v>11</v>
      </c>
      <c r="F352" s="2" t="str">
        <f t="shared" ca="1" si="37"/>
        <v>0-14 dias</v>
      </c>
      <c r="G352" s="3">
        <f t="shared" si="38"/>
        <v>4</v>
      </c>
      <c r="H352" s="3">
        <f t="shared" si="39"/>
        <v>2026</v>
      </c>
      <c r="I352" s="3">
        <f t="shared" si="40"/>
        <v>146</v>
      </c>
      <c r="J352" s="3">
        <f t="shared" si="41"/>
        <v>28</v>
      </c>
      <c r="K352" s="5">
        <f t="shared" si="42"/>
        <v>0.19178082191780821</v>
      </c>
      <c r="L352" s="7">
        <f>1</f>
        <v>1</v>
      </c>
      <c r="O352">
        <v>1</v>
      </c>
    </row>
    <row r="353" spans="1:32" ht="18" customHeight="1" x14ac:dyDescent="0.25">
      <c r="A353">
        <v>1337567225</v>
      </c>
      <c r="B353" t="s">
        <v>382</v>
      </c>
      <c r="C353" t="s">
        <v>7</v>
      </c>
      <c r="D353" s="1">
        <v>46128.922612743059</v>
      </c>
      <c r="E353" s="2">
        <f t="shared" ca="1" si="36"/>
        <v>5</v>
      </c>
      <c r="F353" s="2" t="str">
        <f t="shared" ca="1" si="37"/>
        <v>0-14 dias</v>
      </c>
      <c r="G353" s="3">
        <f t="shared" si="38"/>
        <v>4</v>
      </c>
      <c r="H353" s="3">
        <f t="shared" si="39"/>
        <v>2026</v>
      </c>
      <c r="I353" s="3">
        <f t="shared" si="40"/>
        <v>146</v>
      </c>
      <c r="J353" s="3">
        <f t="shared" si="41"/>
        <v>28</v>
      </c>
      <c r="K353" s="5">
        <f t="shared" si="42"/>
        <v>0.19178082191780821</v>
      </c>
      <c r="L353" s="7">
        <f>1</f>
        <v>1</v>
      </c>
      <c r="O353">
        <v>1</v>
      </c>
    </row>
    <row r="354" spans="1:32" ht="18" customHeight="1" x14ac:dyDescent="0.25">
      <c r="A354">
        <v>1310028243</v>
      </c>
      <c r="B354" t="s">
        <v>202</v>
      </c>
      <c r="C354" t="s">
        <v>5</v>
      </c>
      <c r="D354" s="1">
        <v>46086.795493935191</v>
      </c>
      <c r="E354" s="2">
        <f t="shared" ca="1" si="36"/>
        <v>47</v>
      </c>
      <c r="F354" s="2" t="str">
        <f t="shared" ca="1" si="37"/>
        <v>31-60 dias</v>
      </c>
      <c r="G354" s="3">
        <f t="shared" si="38"/>
        <v>3</v>
      </c>
      <c r="H354" s="3">
        <f t="shared" si="39"/>
        <v>2026</v>
      </c>
      <c r="I354" s="3">
        <f t="shared" si="40"/>
        <v>284</v>
      </c>
      <c r="J354" s="3">
        <f t="shared" si="41"/>
        <v>194</v>
      </c>
      <c r="K354" s="5">
        <f t="shared" si="42"/>
        <v>0.68309859154929575</v>
      </c>
      <c r="L354" s="7">
        <f>1</f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 t="s">
        <v>311</v>
      </c>
      <c r="AA354">
        <v>1</v>
      </c>
      <c r="AF354" s="1">
        <v>46106.582670868047</v>
      </c>
    </row>
    <row r="355" spans="1:32" ht="18" customHeight="1" x14ac:dyDescent="0.25">
      <c r="A355">
        <v>1335120361</v>
      </c>
      <c r="B355" t="s">
        <v>203</v>
      </c>
      <c r="C355" t="s">
        <v>15</v>
      </c>
      <c r="D355" s="1">
        <v>46125.629205138888</v>
      </c>
      <c r="E355" s="2">
        <f t="shared" ca="1" si="36"/>
        <v>8</v>
      </c>
      <c r="F355" s="2" t="str">
        <f t="shared" ca="1" si="37"/>
        <v>0-14 dias</v>
      </c>
      <c r="G355" s="3">
        <f t="shared" si="38"/>
        <v>4</v>
      </c>
      <c r="H355" s="3">
        <f t="shared" si="39"/>
        <v>2026</v>
      </c>
      <c r="I355" s="3">
        <f t="shared" si="40"/>
        <v>146</v>
      </c>
      <c r="J355" s="3">
        <f t="shared" si="41"/>
        <v>28</v>
      </c>
      <c r="K355" s="5">
        <f t="shared" si="42"/>
        <v>0.19178082191780821</v>
      </c>
      <c r="L355" s="7">
        <f>1</f>
        <v>1</v>
      </c>
      <c r="N355">
        <v>1</v>
      </c>
    </row>
    <row r="356" spans="1:32" ht="18" customHeight="1" x14ac:dyDescent="0.25">
      <c r="A356">
        <v>1339136175</v>
      </c>
      <c r="B356" t="s">
        <v>203</v>
      </c>
      <c r="C356" t="s">
        <v>7</v>
      </c>
      <c r="D356" s="1">
        <v>46132.796491354173</v>
      </c>
      <c r="E356" s="2">
        <f t="shared" ca="1" si="36"/>
        <v>1</v>
      </c>
      <c r="F356" s="2" t="str">
        <f t="shared" ca="1" si="37"/>
        <v>0-14 dias</v>
      </c>
      <c r="G356" s="3">
        <f t="shared" si="38"/>
        <v>4</v>
      </c>
      <c r="H356" s="3">
        <f t="shared" si="39"/>
        <v>2026</v>
      </c>
      <c r="I356" s="3">
        <f t="shared" si="40"/>
        <v>146</v>
      </c>
      <c r="J356" s="3">
        <f t="shared" si="41"/>
        <v>28</v>
      </c>
      <c r="K356" s="5">
        <f t="shared" si="42"/>
        <v>0.19178082191780821</v>
      </c>
      <c r="L356" s="7">
        <f>1</f>
        <v>1</v>
      </c>
    </row>
    <row r="357" spans="1:32" ht="18" customHeight="1" x14ac:dyDescent="0.25">
      <c r="A357">
        <v>1304611845</v>
      </c>
      <c r="B357" t="s">
        <v>203</v>
      </c>
      <c r="C357" t="s">
        <v>5</v>
      </c>
      <c r="D357" s="1">
        <v>46079.62855804398</v>
      </c>
      <c r="E357" s="2">
        <f t="shared" ca="1" si="36"/>
        <v>54</v>
      </c>
      <c r="F357" s="2" t="str">
        <f t="shared" ca="1" si="37"/>
        <v>31-60 dias</v>
      </c>
      <c r="G357" s="3">
        <f t="shared" si="38"/>
        <v>2</v>
      </c>
      <c r="H357" s="3">
        <f t="shared" si="39"/>
        <v>2026</v>
      </c>
      <c r="I357" s="3">
        <f t="shared" si="40"/>
        <v>17</v>
      </c>
      <c r="J357" s="3">
        <f t="shared" si="41"/>
        <v>11</v>
      </c>
      <c r="K357" s="5">
        <f t="shared" si="42"/>
        <v>0.6470588235294118</v>
      </c>
      <c r="L357" s="7">
        <f>1</f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AC357">
        <v>1</v>
      </c>
      <c r="AF357" s="1">
        <v>46100.771181990742</v>
      </c>
    </row>
    <row r="358" spans="1:32" ht="18" customHeight="1" x14ac:dyDescent="0.25">
      <c r="A358">
        <v>1308192259</v>
      </c>
      <c r="B358" t="s">
        <v>204</v>
      </c>
      <c r="C358" t="s">
        <v>5</v>
      </c>
      <c r="D358" s="1">
        <v>46084.628093402782</v>
      </c>
      <c r="E358" s="2">
        <f t="shared" ca="1" si="36"/>
        <v>49</v>
      </c>
      <c r="F358" s="2" t="str">
        <f t="shared" ca="1" si="37"/>
        <v>31-60 dias</v>
      </c>
      <c r="G358" s="3">
        <f t="shared" si="38"/>
        <v>3</v>
      </c>
      <c r="H358" s="3">
        <f t="shared" si="39"/>
        <v>2026</v>
      </c>
      <c r="I358" s="3">
        <f t="shared" si="40"/>
        <v>284</v>
      </c>
      <c r="J358" s="3">
        <f t="shared" si="41"/>
        <v>194</v>
      </c>
      <c r="K358" s="5">
        <f t="shared" si="42"/>
        <v>0.68309859154929575</v>
      </c>
      <c r="L358" s="7">
        <f>1</f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AE358">
        <v>1</v>
      </c>
      <c r="AF358" s="1">
        <v>46105.753416747677</v>
      </c>
    </row>
    <row r="359" spans="1:32" ht="18" customHeight="1" x14ac:dyDescent="0.25">
      <c r="A359">
        <v>1307438499</v>
      </c>
      <c r="B359" t="s">
        <v>205</v>
      </c>
      <c r="C359" t="s">
        <v>5</v>
      </c>
      <c r="D359" s="1">
        <v>46083.919907245363</v>
      </c>
      <c r="E359" s="2">
        <f t="shared" ca="1" si="36"/>
        <v>50</v>
      </c>
      <c r="F359" s="2" t="str">
        <f t="shared" ca="1" si="37"/>
        <v>31-60 dias</v>
      </c>
      <c r="G359" s="3">
        <f t="shared" si="38"/>
        <v>3</v>
      </c>
      <c r="H359" s="3">
        <f t="shared" si="39"/>
        <v>2026</v>
      </c>
      <c r="I359" s="3">
        <f t="shared" si="40"/>
        <v>284</v>
      </c>
      <c r="J359" s="3">
        <f t="shared" si="41"/>
        <v>194</v>
      </c>
      <c r="K359" s="5">
        <f t="shared" si="42"/>
        <v>0.68309859154929575</v>
      </c>
      <c r="L359" s="7">
        <f>1</f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AF359" s="1">
        <v>46094.533772499999</v>
      </c>
    </row>
    <row r="360" spans="1:32" ht="18" customHeight="1" x14ac:dyDescent="0.25">
      <c r="A360">
        <v>1319290747</v>
      </c>
      <c r="B360" t="s">
        <v>206</v>
      </c>
      <c r="C360" t="s">
        <v>5</v>
      </c>
      <c r="D360" s="1">
        <v>46098.794738819437</v>
      </c>
      <c r="E360" s="2">
        <f t="shared" ca="1" si="36"/>
        <v>35</v>
      </c>
      <c r="F360" s="2" t="str">
        <f t="shared" ca="1" si="37"/>
        <v>31-60 dias</v>
      </c>
      <c r="G360" s="3">
        <f t="shared" si="38"/>
        <v>3</v>
      </c>
      <c r="H360" s="3">
        <f t="shared" si="39"/>
        <v>2026</v>
      </c>
      <c r="I360" s="3">
        <f t="shared" si="40"/>
        <v>284</v>
      </c>
      <c r="J360" s="3">
        <f t="shared" si="41"/>
        <v>194</v>
      </c>
      <c r="K360" s="5">
        <f t="shared" si="42"/>
        <v>0.68309859154929575</v>
      </c>
      <c r="L360" s="7">
        <f>1</f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AE360">
        <v>1</v>
      </c>
      <c r="AF360" s="1">
        <v>46126.729659421297</v>
      </c>
    </row>
    <row r="361" spans="1:32" ht="18" customHeight="1" x14ac:dyDescent="0.25">
      <c r="A361">
        <v>1327721142</v>
      </c>
      <c r="B361" t="s">
        <v>442</v>
      </c>
      <c r="C361" t="s">
        <v>11</v>
      </c>
      <c r="D361" s="1">
        <v>46112.536002013891</v>
      </c>
      <c r="E361" s="2">
        <f t="shared" ca="1" si="36"/>
        <v>21</v>
      </c>
      <c r="F361" s="2" t="str">
        <f t="shared" ca="1" si="37"/>
        <v>20-24 dias</v>
      </c>
      <c r="G361" s="3">
        <f t="shared" si="38"/>
        <v>3</v>
      </c>
      <c r="H361" s="3">
        <f t="shared" si="39"/>
        <v>2026</v>
      </c>
      <c r="I361" s="3">
        <f t="shared" si="40"/>
        <v>284</v>
      </c>
      <c r="J361" s="3">
        <f t="shared" si="41"/>
        <v>194</v>
      </c>
      <c r="K361" s="5">
        <f t="shared" si="42"/>
        <v>0.68309859154929575</v>
      </c>
      <c r="L361" s="7">
        <f>1</f>
        <v>1</v>
      </c>
    </row>
    <row r="362" spans="1:32" ht="18" customHeight="1" x14ac:dyDescent="0.25">
      <c r="A362">
        <v>1333322494</v>
      </c>
      <c r="B362" t="s">
        <v>383</v>
      </c>
      <c r="C362" t="s">
        <v>7</v>
      </c>
      <c r="D362" s="1">
        <v>46121.73416659722</v>
      </c>
      <c r="E362" s="2">
        <f t="shared" ca="1" si="36"/>
        <v>12</v>
      </c>
      <c r="F362" s="2" t="str">
        <f t="shared" ca="1" si="37"/>
        <v>0-14 dias</v>
      </c>
      <c r="G362" s="3">
        <f t="shared" si="38"/>
        <v>4</v>
      </c>
      <c r="H362" s="3">
        <f t="shared" si="39"/>
        <v>2026</v>
      </c>
      <c r="I362" s="3">
        <f t="shared" si="40"/>
        <v>146</v>
      </c>
      <c r="J362" s="3">
        <f t="shared" si="41"/>
        <v>28</v>
      </c>
      <c r="K362" s="5">
        <f t="shared" si="42"/>
        <v>0.19178082191780821</v>
      </c>
      <c r="L362" s="7">
        <f>1</f>
        <v>1</v>
      </c>
    </row>
    <row r="363" spans="1:32" ht="18" customHeight="1" x14ac:dyDescent="0.25">
      <c r="A363">
        <v>1310875692</v>
      </c>
      <c r="B363" t="s">
        <v>207</v>
      </c>
      <c r="C363" t="s">
        <v>5</v>
      </c>
      <c r="D363" s="1">
        <v>46087.824954594907</v>
      </c>
      <c r="E363" s="2">
        <f t="shared" ca="1" si="36"/>
        <v>46</v>
      </c>
      <c r="F363" s="2" t="str">
        <f t="shared" ca="1" si="37"/>
        <v>31-60 dias</v>
      </c>
      <c r="G363" s="3">
        <f t="shared" si="38"/>
        <v>3</v>
      </c>
      <c r="H363" s="3">
        <f t="shared" si="39"/>
        <v>2026</v>
      </c>
      <c r="I363" s="3">
        <f t="shared" si="40"/>
        <v>284</v>
      </c>
      <c r="J363" s="3">
        <f t="shared" si="41"/>
        <v>194</v>
      </c>
      <c r="K363" s="5">
        <f t="shared" si="42"/>
        <v>0.68309859154929575</v>
      </c>
      <c r="L363" s="7">
        <f>1</f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312</v>
      </c>
      <c r="AA363">
        <v>1</v>
      </c>
      <c r="AE363">
        <v>1</v>
      </c>
      <c r="AF363" s="1">
        <v>46115.621820787041</v>
      </c>
    </row>
    <row r="364" spans="1:32" ht="18" customHeight="1" x14ac:dyDescent="0.25">
      <c r="A364">
        <v>1316504685</v>
      </c>
      <c r="B364" t="s">
        <v>208</v>
      </c>
      <c r="C364" t="s">
        <v>5</v>
      </c>
      <c r="D364" s="1">
        <v>46094.629377465273</v>
      </c>
      <c r="E364" s="2">
        <f t="shared" ca="1" si="36"/>
        <v>39</v>
      </c>
      <c r="F364" s="2" t="str">
        <f t="shared" ca="1" si="37"/>
        <v>31-60 dias</v>
      </c>
      <c r="G364" s="3">
        <f t="shared" si="38"/>
        <v>3</v>
      </c>
      <c r="H364" s="3">
        <f t="shared" si="39"/>
        <v>2026</v>
      </c>
      <c r="I364" s="3">
        <f t="shared" si="40"/>
        <v>284</v>
      </c>
      <c r="J364" s="3">
        <f t="shared" si="41"/>
        <v>194</v>
      </c>
      <c r="K364" s="5">
        <f t="shared" si="42"/>
        <v>0.68309859154929575</v>
      </c>
      <c r="L364" s="7">
        <f>1</f>
        <v>1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AC364">
        <v>1</v>
      </c>
      <c r="AF364" s="1">
        <v>46126.579893981478</v>
      </c>
    </row>
    <row r="365" spans="1:32" ht="18" customHeight="1" x14ac:dyDescent="0.25">
      <c r="A365">
        <v>1333384769</v>
      </c>
      <c r="B365" t="s">
        <v>384</v>
      </c>
      <c r="C365" t="s">
        <v>11</v>
      </c>
      <c r="D365" s="1">
        <v>46121.79484780092</v>
      </c>
      <c r="E365" s="2">
        <f t="shared" ca="1" si="36"/>
        <v>12</v>
      </c>
      <c r="F365" s="2" t="str">
        <f t="shared" ca="1" si="37"/>
        <v>0-14 dias</v>
      </c>
      <c r="G365" s="3">
        <f t="shared" si="38"/>
        <v>4</v>
      </c>
      <c r="H365" s="3">
        <f t="shared" si="39"/>
        <v>2026</v>
      </c>
      <c r="I365" s="3">
        <f t="shared" si="40"/>
        <v>146</v>
      </c>
      <c r="J365" s="3">
        <f t="shared" si="41"/>
        <v>28</v>
      </c>
      <c r="K365" s="5">
        <f t="shared" si="42"/>
        <v>0.19178082191780821</v>
      </c>
      <c r="L365" s="7">
        <f>1</f>
        <v>1</v>
      </c>
      <c r="R365">
        <v>1</v>
      </c>
    </row>
    <row r="366" spans="1:32" ht="18" customHeight="1" x14ac:dyDescent="0.25">
      <c r="A366">
        <v>1337567196</v>
      </c>
      <c r="B366" t="s">
        <v>384</v>
      </c>
      <c r="C366" t="s">
        <v>11</v>
      </c>
      <c r="D366" s="1">
        <v>46128.922546597219</v>
      </c>
      <c r="E366" s="2">
        <f t="shared" ca="1" si="36"/>
        <v>5</v>
      </c>
      <c r="F366" s="2" t="str">
        <f t="shared" ca="1" si="37"/>
        <v>0-14 dias</v>
      </c>
      <c r="G366" s="3">
        <f t="shared" si="38"/>
        <v>4</v>
      </c>
      <c r="H366" s="3">
        <f t="shared" si="39"/>
        <v>2026</v>
      </c>
      <c r="I366" s="3">
        <f t="shared" si="40"/>
        <v>146</v>
      </c>
      <c r="J366" s="3">
        <f t="shared" si="41"/>
        <v>28</v>
      </c>
      <c r="K366" s="5">
        <f t="shared" si="42"/>
        <v>0.19178082191780821</v>
      </c>
      <c r="L366" s="7">
        <f>1</f>
        <v>1</v>
      </c>
    </row>
    <row r="367" spans="1:32" ht="18" customHeight="1" x14ac:dyDescent="0.25">
      <c r="A367">
        <v>1308390493</v>
      </c>
      <c r="B367" t="s">
        <v>209</v>
      </c>
      <c r="C367" t="s">
        <v>5</v>
      </c>
      <c r="D367" s="1">
        <v>46084.794739432873</v>
      </c>
      <c r="E367" s="2">
        <f t="shared" ca="1" si="36"/>
        <v>49</v>
      </c>
      <c r="F367" s="2" t="str">
        <f t="shared" ca="1" si="37"/>
        <v>31-60 dias</v>
      </c>
      <c r="G367" s="3">
        <f t="shared" si="38"/>
        <v>3</v>
      </c>
      <c r="H367" s="3">
        <f t="shared" si="39"/>
        <v>2026</v>
      </c>
      <c r="I367" s="3">
        <f t="shared" si="40"/>
        <v>284</v>
      </c>
      <c r="J367" s="3">
        <f t="shared" si="41"/>
        <v>194</v>
      </c>
      <c r="K367" s="5">
        <f t="shared" si="42"/>
        <v>0.68309859154929575</v>
      </c>
      <c r="L367" s="7">
        <f>1</f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AB367">
        <v>1</v>
      </c>
      <c r="AF367" s="1">
        <v>46105.734539027777</v>
      </c>
    </row>
    <row r="368" spans="1:32" ht="18" customHeight="1" x14ac:dyDescent="0.25">
      <c r="A368">
        <v>1323528938</v>
      </c>
      <c r="B368" t="s">
        <v>210</v>
      </c>
      <c r="C368" t="s">
        <v>5</v>
      </c>
      <c r="D368" s="1">
        <v>46105.796191493057</v>
      </c>
      <c r="E368" s="2">
        <f t="shared" ca="1" si="36"/>
        <v>28</v>
      </c>
      <c r="F368" s="2" t="str">
        <f t="shared" ca="1" si="37"/>
        <v>25-30 dias</v>
      </c>
      <c r="G368" s="3">
        <f t="shared" si="38"/>
        <v>3</v>
      </c>
      <c r="H368" s="3">
        <f t="shared" si="39"/>
        <v>2026</v>
      </c>
      <c r="I368" s="3">
        <f t="shared" si="40"/>
        <v>284</v>
      </c>
      <c r="J368" s="3">
        <f t="shared" si="41"/>
        <v>194</v>
      </c>
      <c r="K368" s="5">
        <f t="shared" si="42"/>
        <v>0.68309859154929575</v>
      </c>
      <c r="L368" s="7">
        <f>1</f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 t="s">
        <v>312</v>
      </c>
      <c r="AA368">
        <v>1</v>
      </c>
      <c r="AE368">
        <v>1</v>
      </c>
      <c r="AF368" s="1">
        <v>46127.612231458334</v>
      </c>
    </row>
    <row r="369" spans="1:32" ht="18" customHeight="1" x14ac:dyDescent="0.25">
      <c r="A369">
        <v>1308579964</v>
      </c>
      <c r="B369" t="s">
        <v>211</v>
      </c>
      <c r="C369" t="s">
        <v>5</v>
      </c>
      <c r="D369" s="1">
        <v>46084.919686875</v>
      </c>
      <c r="E369" s="2">
        <f t="shared" ca="1" si="36"/>
        <v>49</v>
      </c>
      <c r="F369" s="2" t="str">
        <f t="shared" ca="1" si="37"/>
        <v>31-60 dias</v>
      </c>
      <c r="G369" s="3">
        <f t="shared" si="38"/>
        <v>3</v>
      </c>
      <c r="H369" s="3">
        <f t="shared" si="39"/>
        <v>2026</v>
      </c>
      <c r="I369" s="3">
        <f t="shared" si="40"/>
        <v>284</v>
      </c>
      <c r="J369" s="3">
        <f t="shared" si="41"/>
        <v>194</v>
      </c>
      <c r="K369" s="5">
        <f t="shared" si="42"/>
        <v>0.68309859154929575</v>
      </c>
      <c r="L369" s="7">
        <f>1</f>
        <v>1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AE369">
        <v>1</v>
      </c>
      <c r="AF369" s="1">
        <v>46104.742620833327</v>
      </c>
    </row>
    <row r="370" spans="1:32" ht="18" customHeight="1" x14ac:dyDescent="0.25">
      <c r="A370">
        <v>1307010712</v>
      </c>
      <c r="B370" t="s">
        <v>211</v>
      </c>
      <c r="C370" t="s">
        <v>5</v>
      </c>
      <c r="D370" s="1">
        <v>46083.546370231481</v>
      </c>
      <c r="E370" s="2">
        <f t="shared" ca="1" si="36"/>
        <v>50</v>
      </c>
      <c r="F370" s="2" t="str">
        <f t="shared" ca="1" si="37"/>
        <v>31-60 dias</v>
      </c>
      <c r="G370" s="3">
        <f t="shared" si="38"/>
        <v>3</v>
      </c>
      <c r="H370" s="3">
        <f t="shared" si="39"/>
        <v>2026</v>
      </c>
      <c r="I370" s="3">
        <f t="shared" si="40"/>
        <v>284</v>
      </c>
      <c r="J370" s="3">
        <f t="shared" si="41"/>
        <v>194</v>
      </c>
      <c r="K370" s="5">
        <f t="shared" si="42"/>
        <v>0.68309859154929575</v>
      </c>
      <c r="L370" s="7">
        <f>1</f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AB370">
        <v>1</v>
      </c>
      <c r="AF370" s="1">
        <v>46104.750031643518</v>
      </c>
    </row>
    <row r="371" spans="1:32" ht="18" customHeight="1" x14ac:dyDescent="0.25">
      <c r="A371">
        <v>1332841775</v>
      </c>
      <c r="B371" t="s">
        <v>385</v>
      </c>
      <c r="C371" t="s">
        <v>5</v>
      </c>
      <c r="D371" s="1">
        <v>46120.795242372682</v>
      </c>
      <c r="E371" s="2">
        <f t="shared" ca="1" si="36"/>
        <v>13</v>
      </c>
      <c r="F371" s="2" t="str">
        <f t="shared" ca="1" si="37"/>
        <v>0-14 dias</v>
      </c>
      <c r="G371" s="3">
        <f t="shared" si="38"/>
        <v>4</v>
      </c>
      <c r="H371" s="3">
        <f t="shared" si="39"/>
        <v>2026</v>
      </c>
      <c r="I371" s="3">
        <f t="shared" si="40"/>
        <v>146</v>
      </c>
      <c r="J371" s="3">
        <f t="shared" si="41"/>
        <v>28</v>
      </c>
      <c r="K371" s="5">
        <f t="shared" si="42"/>
        <v>0.19178082191780821</v>
      </c>
      <c r="L371" s="7">
        <f>1</f>
        <v>1</v>
      </c>
      <c r="Y371">
        <v>1</v>
      </c>
      <c r="Z371" t="s">
        <v>312</v>
      </c>
      <c r="AA371">
        <v>1</v>
      </c>
      <c r="AE371">
        <v>1</v>
      </c>
      <c r="AF371" s="1">
        <v>46127.8541677662</v>
      </c>
    </row>
    <row r="372" spans="1:32" ht="18" customHeight="1" x14ac:dyDescent="0.25">
      <c r="A372">
        <v>1323527817</v>
      </c>
      <c r="B372" t="s">
        <v>212</v>
      </c>
      <c r="C372" t="s">
        <v>5</v>
      </c>
      <c r="D372" s="1">
        <v>46105.795281180559</v>
      </c>
      <c r="E372" s="2">
        <f t="shared" ca="1" si="36"/>
        <v>28</v>
      </c>
      <c r="F372" s="2" t="str">
        <f t="shared" ca="1" si="37"/>
        <v>25-30 dias</v>
      </c>
      <c r="G372" s="3">
        <f t="shared" si="38"/>
        <v>3</v>
      </c>
      <c r="H372" s="3">
        <f t="shared" si="39"/>
        <v>2026</v>
      </c>
      <c r="I372" s="3">
        <f t="shared" si="40"/>
        <v>284</v>
      </c>
      <c r="J372" s="3">
        <f t="shared" si="41"/>
        <v>194</v>
      </c>
      <c r="K372" s="5">
        <f t="shared" si="42"/>
        <v>0.68309859154929575</v>
      </c>
      <c r="L372" s="7">
        <f>1</f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AC372">
        <v>1</v>
      </c>
      <c r="AF372" s="1">
        <v>46126.601863553238</v>
      </c>
    </row>
    <row r="373" spans="1:32" ht="18" customHeight="1" x14ac:dyDescent="0.25">
      <c r="A373">
        <v>1309842556</v>
      </c>
      <c r="B373" t="s">
        <v>213</v>
      </c>
      <c r="C373" t="s">
        <v>11</v>
      </c>
      <c r="D373" s="1">
        <v>46086.628016527779</v>
      </c>
      <c r="E373" s="2">
        <f t="shared" ca="1" si="36"/>
        <v>47</v>
      </c>
      <c r="F373" s="2" t="str">
        <f t="shared" ca="1" si="37"/>
        <v>31-60 dias</v>
      </c>
      <c r="G373" s="3">
        <f t="shared" si="38"/>
        <v>3</v>
      </c>
      <c r="H373" s="3">
        <f t="shared" si="39"/>
        <v>2026</v>
      </c>
      <c r="I373" s="3">
        <f t="shared" si="40"/>
        <v>284</v>
      </c>
      <c r="J373" s="3">
        <f t="shared" si="41"/>
        <v>194</v>
      </c>
      <c r="K373" s="5">
        <f t="shared" si="42"/>
        <v>0.68309859154929575</v>
      </c>
      <c r="L373" s="7">
        <f>1</f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32" ht="18" customHeight="1" x14ac:dyDescent="0.25">
      <c r="A374">
        <v>1321204660</v>
      </c>
      <c r="B374" t="s">
        <v>214</v>
      </c>
      <c r="C374" t="s">
        <v>21</v>
      </c>
      <c r="D374" s="1">
        <v>46101.629467881939</v>
      </c>
      <c r="E374" s="2">
        <f t="shared" ca="1" si="36"/>
        <v>32</v>
      </c>
      <c r="F374" s="2" t="str">
        <f t="shared" ca="1" si="37"/>
        <v>31-60 dias</v>
      </c>
      <c r="G374" s="3">
        <f t="shared" si="38"/>
        <v>3</v>
      </c>
      <c r="H374" s="3">
        <f t="shared" si="39"/>
        <v>2026</v>
      </c>
      <c r="I374" s="3">
        <f t="shared" si="40"/>
        <v>284</v>
      </c>
      <c r="J374" s="3">
        <f t="shared" si="41"/>
        <v>194</v>
      </c>
      <c r="K374" s="5">
        <f t="shared" si="42"/>
        <v>0.68309859154929575</v>
      </c>
      <c r="L374" s="7">
        <f>1</f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32" ht="18" customHeight="1" x14ac:dyDescent="0.25">
      <c r="A375">
        <v>1312774409</v>
      </c>
      <c r="B375" t="s">
        <v>215</v>
      </c>
      <c r="C375" t="s">
        <v>21</v>
      </c>
      <c r="D375" s="1">
        <v>46090.545414050917</v>
      </c>
      <c r="E375" s="2">
        <f t="shared" ca="1" si="36"/>
        <v>43</v>
      </c>
      <c r="F375" s="2" t="str">
        <f t="shared" ca="1" si="37"/>
        <v>31-60 dias</v>
      </c>
      <c r="G375" s="3">
        <f t="shared" si="38"/>
        <v>3</v>
      </c>
      <c r="H375" s="3">
        <f t="shared" si="39"/>
        <v>2026</v>
      </c>
      <c r="I375" s="3">
        <f t="shared" si="40"/>
        <v>284</v>
      </c>
      <c r="J375" s="3">
        <f t="shared" si="41"/>
        <v>194</v>
      </c>
      <c r="K375" s="5">
        <f t="shared" si="42"/>
        <v>0.68309859154929575</v>
      </c>
      <c r="L375" s="7">
        <f>1</f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32" ht="18" customHeight="1" x14ac:dyDescent="0.25">
      <c r="A376">
        <v>1309289968</v>
      </c>
      <c r="B376" t="s">
        <v>216</v>
      </c>
      <c r="C376" t="s">
        <v>5</v>
      </c>
      <c r="D376" s="1">
        <v>46085.796648333329</v>
      </c>
      <c r="E376" s="2">
        <f t="shared" ca="1" si="36"/>
        <v>48</v>
      </c>
      <c r="F376" s="2" t="str">
        <f t="shared" ca="1" si="37"/>
        <v>31-60 dias</v>
      </c>
      <c r="G376" s="3">
        <f t="shared" si="38"/>
        <v>3</v>
      </c>
      <c r="H376" s="3">
        <f t="shared" si="39"/>
        <v>2026</v>
      </c>
      <c r="I376" s="3">
        <f t="shared" si="40"/>
        <v>284</v>
      </c>
      <c r="J376" s="3">
        <f t="shared" si="41"/>
        <v>194</v>
      </c>
      <c r="K376" s="5">
        <f t="shared" si="42"/>
        <v>0.68309859154929575</v>
      </c>
      <c r="L376" s="7">
        <f>1</f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AF376" s="1">
        <v>46127.546253368047</v>
      </c>
    </row>
    <row r="377" spans="1:32" ht="18" customHeight="1" x14ac:dyDescent="0.25">
      <c r="A377">
        <v>1310165014</v>
      </c>
      <c r="B377" t="s">
        <v>217</v>
      </c>
      <c r="C377" t="s">
        <v>11</v>
      </c>
      <c r="D377" s="1">
        <v>46086.919900451387</v>
      </c>
      <c r="E377" s="2">
        <f t="shared" ca="1" si="36"/>
        <v>47</v>
      </c>
      <c r="F377" s="2" t="str">
        <f t="shared" ca="1" si="37"/>
        <v>31-60 dias</v>
      </c>
      <c r="G377" s="3">
        <f t="shared" si="38"/>
        <v>3</v>
      </c>
      <c r="H377" s="3">
        <f t="shared" si="39"/>
        <v>2026</v>
      </c>
      <c r="I377" s="3">
        <f t="shared" si="40"/>
        <v>284</v>
      </c>
      <c r="J377" s="3">
        <f t="shared" si="41"/>
        <v>194</v>
      </c>
      <c r="K377" s="5">
        <f t="shared" si="42"/>
        <v>0.68309859154929575</v>
      </c>
      <c r="L377" s="7">
        <f>1</f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32" ht="18" customHeight="1" x14ac:dyDescent="0.25">
      <c r="A378">
        <v>1331470976</v>
      </c>
      <c r="B378" t="s">
        <v>386</v>
      </c>
      <c r="C378" t="s">
        <v>18</v>
      </c>
      <c r="D378" s="1">
        <v>46118.796731979157</v>
      </c>
      <c r="E378" s="2">
        <f t="shared" ca="1" si="36"/>
        <v>15</v>
      </c>
      <c r="F378" s="2" t="str">
        <f t="shared" ca="1" si="37"/>
        <v>15-19 dias</v>
      </c>
      <c r="G378" s="3">
        <f t="shared" si="38"/>
        <v>4</v>
      </c>
      <c r="H378" s="3">
        <f t="shared" si="39"/>
        <v>2026</v>
      </c>
      <c r="I378" s="3">
        <f t="shared" si="40"/>
        <v>146</v>
      </c>
      <c r="J378" s="3">
        <f t="shared" si="41"/>
        <v>28</v>
      </c>
      <c r="K378" s="5">
        <f t="shared" si="42"/>
        <v>0.19178082191780821</v>
      </c>
      <c r="L378" s="7">
        <f>1</f>
        <v>1</v>
      </c>
    </row>
    <row r="379" spans="1:32" ht="18" customHeight="1" x14ac:dyDescent="0.25">
      <c r="A379">
        <v>1315965551</v>
      </c>
      <c r="B379" t="s">
        <v>218</v>
      </c>
      <c r="C379" t="s">
        <v>5</v>
      </c>
      <c r="D379" s="1">
        <v>46093.796794236107</v>
      </c>
      <c r="E379" s="2">
        <f t="shared" ca="1" si="36"/>
        <v>40</v>
      </c>
      <c r="F379" s="2" t="str">
        <f t="shared" ca="1" si="37"/>
        <v>31-60 dias</v>
      </c>
      <c r="G379" s="3">
        <f t="shared" si="38"/>
        <v>3</v>
      </c>
      <c r="H379" s="3">
        <f t="shared" si="39"/>
        <v>2026</v>
      </c>
      <c r="I379" s="3">
        <f t="shared" si="40"/>
        <v>284</v>
      </c>
      <c r="J379" s="3">
        <f t="shared" si="41"/>
        <v>194</v>
      </c>
      <c r="K379" s="5">
        <f t="shared" si="42"/>
        <v>0.68309859154929575</v>
      </c>
      <c r="L379" s="7">
        <f>1</f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AC379">
        <v>1</v>
      </c>
      <c r="AF379" s="1">
        <v>46105.722614398153</v>
      </c>
    </row>
    <row r="380" spans="1:32" ht="18" customHeight="1" x14ac:dyDescent="0.25">
      <c r="A380">
        <v>1308452034</v>
      </c>
      <c r="B380" t="s">
        <v>219</v>
      </c>
      <c r="C380" t="s">
        <v>5</v>
      </c>
      <c r="D380" s="1">
        <v>46084.831914699083</v>
      </c>
      <c r="E380" s="2">
        <f t="shared" ca="1" si="36"/>
        <v>49</v>
      </c>
      <c r="F380" s="2" t="str">
        <f t="shared" ca="1" si="37"/>
        <v>31-60 dias</v>
      </c>
      <c r="G380" s="3">
        <f t="shared" si="38"/>
        <v>3</v>
      </c>
      <c r="H380" s="3">
        <f t="shared" si="39"/>
        <v>2026</v>
      </c>
      <c r="I380" s="3">
        <f t="shared" si="40"/>
        <v>284</v>
      </c>
      <c r="J380" s="3">
        <f t="shared" si="41"/>
        <v>194</v>
      </c>
      <c r="K380" s="5">
        <f t="shared" si="42"/>
        <v>0.68309859154929575</v>
      </c>
      <c r="L380" s="7">
        <f>1</f>
        <v>1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AB380">
        <v>1</v>
      </c>
      <c r="AF380" s="1">
        <v>46106.761434502318</v>
      </c>
    </row>
    <row r="381" spans="1:32" ht="18" customHeight="1" x14ac:dyDescent="0.25">
      <c r="A381">
        <v>1334012852</v>
      </c>
      <c r="B381" t="s">
        <v>387</v>
      </c>
      <c r="C381" t="s">
        <v>7</v>
      </c>
      <c r="D381" s="1">
        <v>46122.921071168981</v>
      </c>
      <c r="E381" s="2">
        <f t="shared" ca="1" si="36"/>
        <v>11</v>
      </c>
      <c r="F381" s="2" t="str">
        <f t="shared" ca="1" si="37"/>
        <v>0-14 dias</v>
      </c>
      <c r="G381" s="3">
        <f t="shared" si="38"/>
        <v>4</v>
      </c>
      <c r="H381" s="3">
        <f t="shared" si="39"/>
        <v>2026</v>
      </c>
      <c r="I381" s="3">
        <f t="shared" si="40"/>
        <v>146</v>
      </c>
      <c r="J381" s="3">
        <f t="shared" si="41"/>
        <v>28</v>
      </c>
      <c r="K381" s="5">
        <f t="shared" si="42"/>
        <v>0.19178082191780821</v>
      </c>
      <c r="L381" s="7">
        <f>1</f>
        <v>1</v>
      </c>
      <c r="N381">
        <v>1</v>
      </c>
      <c r="P381">
        <v>1</v>
      </c>
    </row>
    <row r="382" spans="1:32" ht="18" customHeight="1" x14ac:dyDescent="0.25">
      <c r="A382">
        <v>1332237952</v>
      </c>
      <c r="B382" t="s">
        <v>388</v>
      </c>
      <c r="C382" t="s">
        <v>7</v>
      </c>
      <c r="D382" s="1">
        <v>46119.795721874987</v>
      </c>
      <c r="E382" s="2">
        <f t="shared" ca="1" si="36"/>
        <v>14</v>
      </c>
      <c r="F382" s="2" t="str">
        <f t="shared" ca="1" si="37"/>
        <v>0-14 dias</v>
      </c>
      <c r="G382" s="3">
        <f t="shared" si="38"/>
        <v>4</v>
      </c>
      <c r="H382" s="3">
        <f t="shared" si="39"/>
        <v>2026</v>
      </c>
      <c r="I382" s="3">
        <f t="shared" si="40"/>
        <v>146</v>
      </c>
      <c r="J382" s="3">
        <f t="shared" si="41"/>
        <v>28</v>
      </c>
      <c r="K382" s="5">
        <f t="shared" si="42"/>
        <v>0.19178082191780821</v>
      </c>
      <c r="L382" s="7">
        <f>1</f>
        <v>1</v>
      </c>
      <c r="Y382">
        <v>0</v>
      </c>
    </row>
    <row r="383" spans="1:32" ht="18" customHeight="1" x14ac:dyDescent="0.25">
      <c r="A383">
        <v>1329549930</v>
      </c>
      <c r="B383" t="s">
        <v>342</v>
      </c>
      <c r="C383" t="s">
        <v>18</v>
      </c>
      <c r="D383" s="1">
        <v>46114.795948611107</v>
      </c>
      <c r="E383" s="2">
        <f t="shared" ca="1" si="36"/>
        <v>19</v>
      </c>
      <c r="F383" s="2" t="str">
        <f t="shared" ca="1" si="37"/>
        <v>15-19 dias</v>
      </c>
      <c r="G383" s="3">
        <f t="shared" si="38"/>
        <v>4</v>
      </c>
      <c r="H383" s="3">
        <f t="shared" si="39"/>
        <v>2026</v>
      </c>
      <c r="I383" s="3">
        <f t="shared" si="40"/>
        <v>146</v>
      </c>
      <c r="J383" s="3">
        <f t="shared" si="41"/>
        <v>28</v>
      </c>
      <c r="K383" s="5">
        <f t="shared" si="42"/>
        <v>0.19178082191780821</v>
      </c>
      <c r="L383" s="7">
        <f>1</f>
        <v>1</v>
      </c>
      <c r="N383">
        <v>1</v>
      </c>
    </row>
    <row r="384" spans="1:32" ht="18" customHeight="1" x14ac:dyDescent="0.25">
      <c r="A384">
        <v>1325143817</v>
      </c>
      <c r="B384" t="s">
        <v>443</v>
      </c>
      <c r="C384" t="s">
        <v>118</v>
      </c>
      <c r="D384" s="1">
        <v>46107.794521041673</v>
      </c>
      <c r="E384" s="2">
        <f t="shared" ca="1" si="36"/>
        <v>26</v>
      </c>
      <c r="F384" s="2" t="str">
        <f t="shared" ca="1" si="37"/>
        <v>25-30 dias</v>
      </c>
      <c r="G384" s="3">
        <f t="shared" si="38"/>
        <v>3</v>
      </c>
      <c r="H384" s="3">
        <f t="shared" si="39"/>
        <v>2026</v>
      </c>
      <c r="I384" s="3">
        <f t="shared" si="40"/>
        <v>284</v>
      </c>
      <c r="J384" s="3">
        <f t="shared" si="41"/>
        <v>194</v>
      </c>
      <c r="K384" s="5">
        <f t="shared" si="42"/>
        <v>0.68309859154929575</v>
      </c>
      <c r="L384" s="7">
        <f>1</f>
        <v>1</v>
      </c>
      <c r="Y384">
        <v>1</v>
      </c>
      <c r="AE384">
        <v>1</v>
      </c>
    </row>
    <row r="385" spans="1:32" ht="18" customHeight="1" x14ac:dyDescent="0.25">
      <c r="A385">
        <v>1335441280</v>
      </c>
      <c r="B385" t="s">
        <v>444</v>
      </c>
      <c r="C385" t="s">
        <v>7</v>
      </c>
      <c r="D385" s="1">
        <v>46125.900766782397</v>
      </c>
      <c r="E385" s="2">
        <f t="shared" ca="1" si="36"/>
        <v>8</v>
      </c>
      <c r="F385" s="2" t="str">
        <f t="shared" ca="1" si="37"/>
        <v>0-14 dias</v>
      </c>
      <c r="G385" s="3">
        <f t="shared" si="38"/>
        <v>4</v>
      </c>
      <c r="H385" s="3">
        <f t="shared" si="39"/>
        <v>2026</v>
      </c>
      <c r="I385" s="3">
        <f t="shared" si="40"/>
        <v>146</v>
      </c>
      <c r="J385" s="3">
        <f t="shared" si="41"/>
        <v>28</v>
      </c>
      <c r="K385" s="5">
        <f t="shared" si="42"/>
        <v>0.19178082191780821</v>
      </c>
      <c r="L385" s="7">
        <f>1</f>
        <v>1</v>
      </c>
      <c r="N385">
        <v>1</v>
      </c>
    </row>
    <row r="386" spans="1:32" ht="18" customHeight="1" x14ac:dyDescent="0.25">
      <c r="A386">
        <v>1313292775</v>
      </c>
      <c r="B386" t="s">
        <v>220</v>
      </c>
      <c r="C386" t="s">
        <v>5</v>
      </c>
      <c r="D386" s="1">
        <v>46090.920292523151</v>
      </c>
      <c r="E386" s="2">
        <f t="shared" ca="1" si="36"/>
        <v>43</v>
      </c>
      <c r="F386" s="2" t="str">
        <f t="shared" ca="1" si="37"/>
        <v>31-60 dias</v>
      </c>
      <c r="G386" s="3">
        <f t="shared" si="38"/>
        <v>3</v>
      </c>
      <c r="H386" s="3">
        <f t="shared" si="39"/>
        <v>2026</v>
      </c>
      <c r="I386" s="3">
        <f t="shared" si="40"/>
        <v>284</v>
      </c>
      <c r="J386" s="3">
        <f t="shared" si="41"/>
        <v>194</v>
      </c>
      <c r="K386" s="5">
        <f t="shared" si="42"/>
        <v>0.68309859154929575</v>
      </c>
      <c r="L386" s="7">
        <f>1</f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AF386" s="1">
        <v>46126.594781724532</v>
      </c>
    </row>
    <row r="387" spans="1:32" ht="18" customHeight="1" x14ac:dyDescent="0.25">
      <c r="A387">
        <v>1308578827</v>
      </c>
      <c r="B387" t="s">
        <v>221</v>
      </c>
      <c r="C387" t="s">
        <v>5</v>
      </c>
      <c r="D387" s="1">
        <v>46084.919014525462</v>
      </c>
      <c r="E387" s="2">
        <f t="shared" ref="E387:E450" ca="1" si="43">INT(TODAY() - D387)</f>
        <v>49</v>
      </c>
      <c r="F387" s="2" t="str">
        <f t="shared" ref="F387:F450" ca="1" si="44">IF(E387&lt;=14,"0-14 dias",
IF(E387&lt;=19,"15-19 dias",
IF(E387&lt;=24,"20-24 dias",
IF(E387&lt;=30,"25-30 dias",
IF(E387&lt;=60,"31-60 dias",
"&gt;60 dias")))))</f>
        <v>31-60 dias</v>
      </c>
      <c r="G387" s="3">
        <f t="shared" ref="G387:G448" si="45">MONTH(D387)</f>
        <v>3</v>
      </c>
      <c r="H387" s="3">
        <f t="shared" ref="H387:H448" si="46">YEAR(D387)</f>
        <v>2026</v>
      </c>
      <c r="I387" s="3">
        <f t="shared" ref="I387:I448" si="47">COUNTIFS(G:G,G387)</f>
        <v>284</v>
      </c>
      <c r="J387" s="3">
        <f t="shared" ref="J387:J448" si="48">COUNTIFS(G:G,G387,C:C,"Recebido")</f>
        <v>194</v>
      </c>
      <c r="K387" s="5">
        <f t="shared" ref="K387:K450" si="49">(J387/I387)</f>
        <v>0.68309859154929575</v>
      </c>
      <c r="L387" s="7">
        <f>1</f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AC387">
        <v>1</v>
      </c>
      <c r="AF387" s="1">
        <v>46126.653737870372</v>
      </c>
    </row>
    <row r="388" spans="1:32" ht="18" customHeight="1" x14ac:dyDescent="0.25">
      <c r="A388">
        <v>1307302616</v>
      </c>
      <c r="B388" t="s">
        <v>222</v>
      </c>
      <c r="C388" t="s">
        <v>5</v>
      </c>
      <c r="D388" s="1">
        <v>46083.795717048597</v>
      </c>
      <c r="E388" s="2">
        <f t="shared" ca="1" si="43"/>
        <v>50</v>
      </c>
      <c r="F388" s="2" t="str">
        <f t="shared" ca="1" si="44"/>
        <v>31-60 dias</v>
      </c>
      <c r="G388" s="3">
        <f t="shared" si="45"/>
        <v>3</v>
      </c>
      <c r="H388" s="3">
        <f t="shared" si="46"/>
        <v>2026</v>
      </c>
      <c r="I388" s="3">
        <f t="shared" si="47"/>
        <v>284</v>
      </c>
      <c r="J388" s="3">
        <f t="shared" si="48"/>
        <v>194</v>
      </c>
      <c r="K388" s="5">
        <f t="shared" si="49"/>
        <v>0.68309859154929575</v>
      </c>
      <c r="L388" s="7">
        <f>1</f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AC388">
        <v>1</v>
      </c>
      <c r="AF388" s="1">
        <v>46094.496877349527</v>
      </c>
    </row>
    <row r="389" spans="1:32" ht="18" customHeight="1" x14ac:dyDescent="0.25">
      <c r="A389">
        <v>1333386820</v>
      </c>
      <c r="B389" t="s">
        <v>389</v>
      </c>
      <c r="C389" t="s">
        <v>118</v>
      </c>
      <c r="D389" s="1">
        <v>46121.796652349542</v>
      </c>
      <c r="E389" s="2">
        <f t="shared" ca="1" si="43"/>
        <v>12</v>
      </c>
      <c r="F389" s="2" t="str">
        <f t="shared" ca="1" si="44"/>
        <v>0-14 dias</v>
      </c>
      <c r="G389" s="3">
        <f t="shared" si="45"/>
        <v>4</v>
      </c>
      <c r="H389" s="3">
        <f t="shared" si="46"/>
        <v>2026</v>
      </c>
      <c r="I389" s="3">
        <f t="shared" si="47"/>
        <v>146</v>
      </c>
      <c r="J389" s="3">
        <f t="shared" si="48"/>
        <v>28</v>
      </c>
      <c r="K389" s="5">
        <f t="shared" si="49"/>
        <v>0.19178082191780821</v>
      </c>
      <c r="L389" s="7">
        <f>1</f>
        <v>1</v>
      </c>
      <c r="Y389">
        <v>1</v>
      </c>
    </row>
    <row r="390" spans="1:32" ht="18" customHeight="1" x14ac:dyDescent="0.25">
      <c r="A390">
        <v>1308389382</v>
      </c>
      <c r="B390" t="s">
        <v>223</v>
      </c>
      <c r="C390" t="s">
        <v>5</v>
      </c>
      <c r="D390" s="1">
        <v>46084.794162152772</v>
      </c>
      <c r="E390" s="2">
        <f t="shared" ca="1" si="43"/>
        <v>49</v>
      </c>
      <c r="F390" s="2" t="str">
        <f t="shared" ca="1" si="44"/>
        <v>31-60 dias</v>
      </c>
      <c r="G390" s="3">
        <f t="shared" si="45"/>
        <v>3</v>
      </c>
      <c r="H390" s="3">
        <f t="shared" si="46"/>
        <v>2026</v>
      </c>
      <c r="I390" s="3">
        <f t="shared" si="47"/>
        <v>284</v>
      </c>
      <c r="J390" s="3">
        <f t="shared" si="48"/>
        <v>194</v>
      </c>
      <c r="K390" s="5">
        <f t="shared" si="49"/>
        <v>0.68309859154929575</v>
      </c>
      <c r="L390" s="7">
        <f>1</f>
        <v>1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</v>
      </c>
      <c r="AC390">
        <v>2</v>
      </c>
      <c r="AF390" s="1">
        <v>46094.601790011569</v>
      </c>
    </row>
    <row r="391" spans="1:32" ht="18" customHeight="1" x14ac:dyDescent="0.25">
      <c r="A391">
        <v>1318272507</v>
      </c>
      <c r="B391" t="s">
        <v>224</v>
      </c>
      <c r="C391" t="s">
        <v>21</v>
      </c>
      <c r="D391" s="1">
        <v>46097.628115671287</v>
      </c>
      <c r="E391" s="2">
        <f t="shared" ca="1" si="43"/>
        <v>36</v>
      </c>
      <c r="F391" s="2" t="str">
        <f t="shared" ca="1" si="44"/>
        <v>31-60 dias</v>
      </c>
      <c r="G391" s="3">
        <f t="shared" si="45"/>
        <v>3</v>
      </c>
      <c r="H391" s="3">
        <f t="shared" si="46"/>
        <v>2026</v>
      </c>
      <c r="I391" s="3">
        <f t="shared" si="47"/>
        <v>284</v>
      </c>
      <c r="J391" s="3">
        <f t="shared" si="48"/>
        <v>194</v>
      </c>
      <c r="K391" s="5">
        <f t="shared" si="49"/>
        <v>0.68309859154929575</v>
      </c>
      <c r="L391" s="7">
        <f>1</f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32" ht="18" customHeight="1" x14ac:dyDescent="0.25">
      <c r="A392">
        <v>1328010087</v>
      </c>
      <c r="B392" t="s">
        <v>343</v>
      </c>
      <c r="C392" t="s">
        <v>5</v>
      </c>
      <c r="D392" s="1">
        <v>46112.795124548611</v>
      </c>
      <c r="E392" s="2">
        <f t="shared" ca="1" si="43"/>
        <v>21</v>
      </c>
      <c r="F392" s="2" t="str">
        <f t="shared" ca="1" si="44"/>
        <v>20-24 dias</v>
      </c>
      <c r="G392" s="3">
        <f t="shared" si="45"/>
        <v>3</v>
      </c>
      <c r="H392" s="3">
        <f t="shared" si="46"/>
        <v>2026</v>
      </c>
      <c r="I392" s="3">
        <f t="shared" si="47"/>
        <v>284</v>
      </c>
      <c r="J392" s="3">
        <f t="shared" si="48"/>
        <v>194</v>
      </c>
      <c r="K392" s="5">
        <f t="shared" si="49"/>
        <v>0.68309859154929575</v>
      </c>
      <c r="L392" s="7">
        <f>1</f>
        <v>1</v>
      </c>
      <c r="M392">
        <v>2</v>
      </c>
      <c r="T392">
        <v>2</v>
      </c>
      <c r="AB392">
        <v>2</v>
      </c>
      <c r="AE392">
        <v>2</v>
      </c>
      <c r="AF392" s="1">
        <v>46127.529552418993</v>
      </c>
    </row>
    <row r="393" spans="1:32" ht="18" customHeight="1" x14ac:dyDescent="0.25">
      <c r="A393">
        <v>1319290735</v>
      </c>
      <c r="B393" t="s">
        <v>225</v>
      </c>
      <c r="C393" t="s">
        <v>5</v>
      </c>
      <c r="D393" s="1">
        <v>46098.79473228009</v>
      </c>
      <c r="E393" s="2">
        <f t="shared" ca="1" si="43"/>
        <v>35</v>
      </c>
      <c r="F393" s="2" t="str">
        <f t="shared" ca="1" si="44"/>
        <v>31-60 dias</v>
      </c>
      <c r="G393" s="3">
        <f t="shared" si="45"/>
        <v>3</v>
      </c>
      <c r="H393" s="3">
        <f t="shared" si="46"/>
        <v>2026</v>
      </c>
      <c r="I393" s="3">
        <f t="shared" si="47"/>
        <v>284</v>
      </c>
      <c r="J393" s="3">
        <f t="shared" si="48"/>
        <v>194</v>
      </c>
      <c r="K393" s="5">
        <f t="shared" si="49"/>
        <v>0.68309859154929575</v>
      </c>
      <c r="L393" s="7">
        <f>1</f>
        <v>1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AF393" s="1">
        <v>46126.54397496528</v>
      </c>
    </row>
    <row r="394" spans="1:32" ht="18" customHeight="1" x14ac:dyDescent="0.25">
      <c r="A394">
        <v>1333180370</v>
      </c>
      <c r="B394" t="s">
        <v>390</v>
      </c>
      <c r="C394" t="s">
        <v>5</v>
      </c>
      <c r="D394" s="1">
        <v>46121.559149733803</v>
      </c>
      <c r="E394" s="2">
        <f t="shared" ca="1" si="43"/>
        <v>12</v>
      </c>
      <c r="F394" s="2" t="str">
        <f t="shared" ca="1" si="44"/>
        <v>0-14 dias</v>
      </c>
      <c r="G394" s="3">
        <f t="shared" si="45"/>
        <v>4</v>
      </c>
      <c r="H394" s="3">
        <f t="shared" si="46"/>
        <v>2026</v>
      </c>
      <c r="I394" s="3">
        <f t="shared" si="47"/>
        <v>146</v>
      </c>
      <c r="J394" s="3">
        <f t="shared" si="48"/>
        <v>28</v>
      </c>
      <c r="K394" s="5">
        <f t="shared" si="49"/>
        <v>0.19178082191780821</v>
      </c>
      <c r="L394" s="7">
        <f>1</f>
        <v>1</v>
      </c>
      <c r="Y394">
        <v>1</v>
      </c>
      <c r="AF394" s="1">
        <v>46129.628510196759</v>
      </c>
    </row>
    <row r="395" spans="1:32" ht="18" customHeight="1" x14ac:dyDescent="0.25">
      <c r="A395">
        <v>1310630935</v>
      </c>
      <c r="B395" t="s">
        <v>226</v>
      </c>
      <c r="C395" t="s">
        <v>5</v>
      </c>
      <c r="D395" s="1">
        <v>46087.628552650473</v>
      </c>
      <c r="E395" s="2">
        <f t="shared" ca="1" si="43"/>
        <v>46</v>
      </c>
      <c r="F395" s="2" t="str">
        <f t="shared" ca="1" si="44"/>
        <v>31-60 dias</v>
      </c>
      <c r="G395" s="3">
        <f t="shared" si="45"/>
        <v>3</v>
      </c>
      <c r="H395" s="3">
        <f t="shared" si="46"/>
        <v>2026</v>
      </c>
      <c r="I395" s="3">
        <f t="shared" si="47"/>
        <v>284</v>
      </c>
      <c r="J395" s="3">
        <f t="shared" si="48"/>
        <v>194</v>
      </c>
      <c r="K395" s="5">
        <f t="shared" si="49"/>
        <v>0.68309859154929575</v>
      </c>
      <c r="L395" s="7">
        <f>1</f>
        <v>1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AB395">
        <v>1</v>
      </c>
      <c r="AF395" s="1">
        <v>46098.544637118059</v>
      </c>
    </row>
    <row r="396" spans="1:32" ht="18" customHeight="1" x14ac:dyDescent="0.25">
      <c r="A396">
        <v>1338997348</v>
      </c>
      <c r="B396" t="s">
        <v>445</v>
      </c>
      <c r="C396" t="s">
        <v>7</v>
      </c>
      <c r="D396" s="1">
        <v>46132.653069699067</v>
      </c>
      <c r="E396" s="2">
        <f t="shared" ca="1" si="43"/>
        <v>1</v>
      </c>
      <c r="F396" s="2" t="str">
        <f t="shared" ca="1" si="44"/>
        <v>0-14 dias</v>
      </c>
      <c r="G396" s="3">
        <f t="shared" si="45"/>
        <v>4</v>
      </c>
      <c r="H396" s="3">
        <f t="shared" si="46"/>
        <v>2026</v>
      </c>
      <c r="I396" s="3">
        <f t="shared" si="47"/>
        <v>146</v>
      </c>
      <c r="J396" s="3">
        <f t="shared" si="48"/>
        <v>28</v>
      </c>
      <c r="K396" s="5">
        <f t="shared" si="49"/>
        <v>0.19178082191780821</v>
      </c>
      <c r="L396" s="7">
        <f>1</f>
        <v>1</v>
      </c>
      <c r="R396">
        <v>3</v>
      </c>
    </row>
    <row r="397" spans="1:32" ht="18" customHeight="1" x14ac:dyDescent="0.25">
      <c r="A397">
        <v>1327102138</v>
      </c>
      <c r="B397" t="s">
        <v>290</v>
      </c>
      <c r="C397" t="s">
        <v>5</v>
      </c>
      <c r="D397" s="1">
        <v>46111.630280590281</v>
      </c>
      <c r="E397" s="2">
        <f t="shared" ca="1" si="43"/>
        <v>22</v>
      </c>
      <c r="F397" s="2" t="str">
        <f t="shared" ca="1" si="44"/>
        <v>20-24 dias</v>
      </c>
      <c r="G397" s="3">
        <f t="shared" si="45"/>
        <v>3</v>
      </c>
      <c r="H397" s="3">
        <f t="shared" si="46"/>
        <v>2026</v>
      </c>
      <c r="I397" s="3">
        <f t="shared" si="47"/>
        <v>284</v>
      </c>
      <c r="J397" s="3">
        <f t="shared" si="48"/>
        <v>194</v>
      </c>
      <c r="K397" s="5">
        <f t="shared" si="49"/>
        <v>0.68309859154929575</v>
      </c>
      <c r="L397" s="7">
        <f>1</f>
        <v>1</v>
      </c>
      <c r="Z397" t="s">
        <v>312</v>
      </c>
      <c r="AA397">
        <v>1</v>
      </c>
      <c r="AC397">
        <v>1</v>
      </c>
      <c r="AE397">
        <v>1</v>
      </c>
      <c r="AF397" s="1">
        <v>46127.521832268518</v>
      </c>
    </row>
    <row r="398" spans="1:32" ht="18" customHeight="1" x14ac:dyDescent="0.25">
      <c r="A398">
        <v>1315767158</v>
      </c>
      <c r="B398" t="s">
        <v>227</v>
      </c>
      <c r="C398" t="s">
        <v>5</v>
      </c>
      <c r="D398" s="1">
        <v>46093.629689097223</v>
      </c>
      <c r="E398" s="2">
        <f t="shared" ca="1" si="43"/>
        <v>40</v>
      </c>
      <c r="F398" s="2" t="str">
        <f t="shared" ca="1" si="44"/>
        <v>31-60 dias</v>
      </c>
      <c r="G398" s="3">
        <f t="shared" si="45"/>
        <v>3</v>
      </c>
      <c r="H398" s="3">
        <f t="shared" si="46"/>
        <v>2026</v>
      </c>
      <c r="I398" s="3">
        <f t="shared" si="47"/>
        <v>284</v>
      </c>
      <c r="J398" s="3">
        <f t="shared" si="48"/>
        <v>194</v>
      </c>
      <c r="K398" s="5">
        <f t="shared" si="49"/>
        <v>0.68309859154929575</v>
      </c>
      <c r="L398" s="7">
        <f>1</f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 t="s">
        <v>312</v>
      </c>
      <c r="AA398">
        <v>1</v>
      </c>
      <c r="AF398" s="1">
        <v>46100.837471620369</v>
      </c>
    </row>
    <row r="399" spans="1:32" ht="18" customHeight="1" x14ac:dyDescent="0.25">
      <c r="A399">
        <v>1329315464</v>
      </c>
      <c r="B399" t="s">
        <v>344</v>
      </c>
      <c r="C399" t="s">
        <v>5</v>
      </c>
      <c r="D399" s="1">
        <v>46114.630285833337</v>
      </c>
      <c r="E399" s="2">
        <f t="shared" ca="1" si="43"/>
        <v>19</v>
      </c>
      <c r="F399" s="2" t="str">
        <f t="shared" ca="1" si="44"/>
        <v>15-19 dias</v>
      </c>
      <c r="G399" s="3">
        <f t="shared" si="45"/>
        <v>4</v>
      </c>
      <c r="H399" s="3">
        <f t="shared" si="46"/>
        <v>2026</v>
      </c>
      <c r="I399" s="3">
        <f t="shared" si="47"/>
        <v>146</v>
      </c>
      <c r="J399" s="3">
        <f t="shared" si="48"/>
        <v>28</v>
      </c>
      <c r="K399" s="5">
        <f t="shared" si="49"/>
        <v>0.19178082191780821</v>
      </c>
      <c r="L399" s="7">
        <f>1</f>
        <v>1</v>
      </c>
      <c r="P399">
        <v>1</v>
      </c>
      <c r="AE399">
        <v>1</v>
      </c>
      <c r="AF399" s="1">
        <v>46126.56465075232</v>
      </c>
    </row>
    <row r="400" spans="1:32" ht="18" customHeight="1" x14ac:dyDescent="0.25">
      <c r="A400">
        <v>1322756402</v>
      </c>
      <c r="B400" t="s">
        <v>228</v>
      </c>
      <c r="C400" t="s">
        <v>21</v>
      </c>
      <c r="D400" s="1">
        <v>46104.795483865753</v>
      </c>
      <c r="E400" s="2">
        <f t="shared" ca="1" si="43"/>
        <v>29</v>
      </c>
      <c r="F400" s="2" t="str">
        <f t="shared" ca="1" si="44"/>
        <v>25-30 dias</v>
      </c>
      <c r="G400" s="3">
        <f t="shared" si="45"/>
        <v>3</v>
      </c>
      <c r="H400" s="3">
        <f t="shared" si="46"/>
        <v>2026</v>
      </c>
      <c r="I400" s="3">
        <f t="shared" si="47"/>
        <v>284</v>
      </c>
      <c r="J400" s="3">
        <f t="shared" si="48"/>
        <v>194</v>
      </c>
      <c r="K400" s="5">
        <f t="shared" si="49"/>
        <v>0.68309859154929575</v>
      </c>
      <c r="L400" s="7">
        <f>1</f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32" ht="18" customHeight="1" x14ac:dyDescent="0.25">
      <c r="A401">
        <v>1333386598</v>
      </c>
      <c r="B401" t="s">
        <v>391</v>
      </c>
      <c r="C401" t="s">
        <v>11</v>
      </c>
      <c r="D401" s="1">
        <v>46121.796416018522</v>
      </c>
      <c r="E401" s="2">
        <f t="shared" ca="1" si="43"/>
        <v>12</v>
      </c>
      <c r="F401" s="2" t="str">
        <f t="shared" ca="1" si="44"/>
        <v>0-14 dias</v>
      </c>
      <c r="G401" s="3">
        <f t="shared" si="45"/>
        <v>4</v>
      </c>
      <c r="H401" s="3">
        <f t="shared" si="46"/>
        <v>2026</v>
      </c>
      <c r="I401" s="3">
        <f t="shared" si="47"/>
        <v>146</v>
      </c>
      <c r="J401" s="3">
        <f t="shared" si="48"/>
        <v>28</v>
      </c>
      <c r="K401" s="5">
        <f t="shared" si="49"/>
        <v>0.19178082191780821</v>
      </c>
      <c r="L401" s="7">
        <f>1</f>
        <v>1</v>
      </c>
    </row>
    <row r="402" spans="1:32" ht="18" customHeight="1" x14ac:dyDescent="0.25">
      <c r="A402">
        <v>1331078481</v>
      </c>
      <c r="B402" t="s">
        <v>345</v>
      </c>
      <c r="C402" t="s">
        <v>18</v>
      </c>
      <c r="D402" s="1">
        <v>46118.546688472226</v>
      </c>
      <c r="E402" s="2">
        <f t="shared" ca="1" si="43"/>
        <v>15</v>
      </c>
      <c r="F402" s="2" t="str">
        <f t="shared" ca="1" si="44"/>
        <v>15-19 dias</v>
      </c>
      <c r="G402" s="3">
        <f t="shared" si="45"/>
        <v>4</v>
      </c>
      <c r="H402" s="3">
        <f t="shared" si="46"/>
        <v>2026</v>
      </c>
      <c r="I402" s="3">
        <f t="shared" si="47"/>
        <v>146</v>
      </c>
      <c r="J402" s="3">
        <f t="shared" si="48"/>
        <v>28</v>
      </c>
      <c r="K402" s="5">
        <f t="shared" si="49"/>
        <v>0.19178082191780821</v>
      </c>
      <c r="L402" s="7">
        <f>1</f>
        <v>1</v>
      </c>
      <c r="N402">
        <v>0</v>
      </c>
      <c r="Y402">
        <v>0</v>
      </c>
    </row>
    <row r="403" spans="1:32" ht="18" customHeight="1" x14ac:dyDescent="0.25">
      <c r="A403">
        <v>1313954591</v>
      </c>
      <c r="B403" t="s">
        <v>229</v>
      </c>
      <c r="C403" t="s">
        <v>5</v>
      </c>
      <c r="D403" s="1">
        <v>46091.795718854162</v>
      </c>
      <c r="E403" s="2">
        <f t="shared" ca="1" si="43"/>
        <v>42</v>
      </c>
      <c r="F403" s="2" t="str">
        <f t="shared" ca="1" si="44"/>
        <v>31-60 dias</v>
      </c>
      <c r="G403" s="3">
        <f t="shared" si="45"/>
        <v>3</v>
      </c>
      <c r="H403" s="3">
        <f t="shared" si="46"/>
        <v>2026</v>
      </c>
      <c r="I403" s="3">
        <f t="shared" si="47"/>
        <v>284</v>
      </c>
      <c r="J403" s="3">
        <f t="shared" si="48"/>
        <v>194</v>
      </c>
      <c r="K403" s="5">
        <f t="shared" si="49"/>
        <v>0.68309859154929575</v>
      </c>
      <c r="L403" s="7">
        <f>1</f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AE403">
        <v>1</v>
      </c>
      <c r="AF403" s="1">
        <v>46106.636382766199</v>
      </c>
    </row>
    <row r="404" spans="1:32" ht="18" customHeight="1" x14ac:dyDescent="0.25">
      <c r="A404">
        <v>1338150072</v>
      </c>
      <c r="B404" t="s">
        <v>446</v>
      </c>
      <c r="C404" t="s">
        <v>7</v>
      </c>
      <c r="D404" s="1">
        <v>46129.79769605324</v>
      </c>
      <c r="E404" s="2">
        <f t="shared" ca="1" si="43"/>
        <v>4</v>
      </c>
      <c r="F404" s="2" t="str">
        <f t="shared" ca="1" si="44"/>
        <v>0-14 dias</v>
      </c>
      <c r="G404" s="3">
        <f t="shared" si="45"/>
        <v>4</v>
      </c>
      <c r="H404" s="3">
        <f t="shared" si="46"/>
        <v>2026</v>
      </c>
      <c r="I404" s="3">
        <f t="shared" si="47"/>
        <v>146</v>
      </c>
      <c r="J404" s="3">
        <f t="shared" si="48"/>
        <v>28</v>
      </c>
      <c r="K404" s="5">
        <f t="shared" si="49"/>
        <v>0.19178082191780821</v>
      </c>
      <c r="L404" s="7">
        <f>1</f>
        <v>1</v>
      </c>
      <c r="Y404">
        <v>1</v>
      </c>
    </row>
    <row r="405" spans="1:32" ht="18" customHeight="1" x14ac:dyDescent="0.25">
      <c r="A405">
        <v>1316504880</v>
      </c>
      <c r="B405" t="s">
        <v>230</v>
      </c>
      <c r="C405" t="s">
        <v>5</v>
      </c>
      <c r="D405" s="1">
        <v>46094.629579305547</v>
      </c>
      <c r="E405" s="2">
        <f t="shared" ca="1" si="43"/>
        <v>39</v>
      </c>
      <c r="F405" s="2" t="str">
        <f t="shared" ca="1" si="44"/>
        <v>31-60 dias</v>
      </c>
      <c r="G405" s="3">
        <f t="shared" si="45"/>
        <v>3</v>
      </c>
      <c r="H405" s="3">
        <f t="shared" si="46"/>
        <v>2026</v>
      </c>
      <c r="I405" s="3">
        <f t="shared" si="47"/>
        <v>284</v>
      </c>
      <c r="J405" s="3">
        <f t="shared" si="48"/>
        <v>194</v>
      </c>
      <c r="K405" s="5">
        <f t="shared" si="49"/>
        <v>0.68309859154929575</v>
      </c>
      <c r="L405" s="7">
        <f>1</f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AF405" s="1">
        <v>46111.500752800923</v>
      </c>
    </row>
    <row r="406" spans="1:32" ht="18" customHeight="1" x14ac:dyDescent="0.25">
      <c r="A406">
        <v>1318141271</v>
      </c>
      <c r="B406" t="s">
        <v>231</v>
      </c>
      <c r="C406" t="s">
        <v>5</v>
      </c>
      <c r="D406" s="1">
        <v>46097.54707925926</v>
      </c>
      <c r="E406" s="2">
        <f t="shared" ca="1" si="43"/>
        <v>36</v>
      </c>
      <c r="F406" s="2" t="str">
        <f t="shared" ca="1" si="44"/>
        <v>31-60 dias</v>
      </c>
      <c r="G406" s="3">
        <f t="shared" si="45"/>
        <v>3</v>
      </c>
      <c r="H406" s="3">
        <f t="shared" si="46"/>
        <v>2026</v>
      </c>
      <c r="I406" s="3">
        <f t="shared" si="47"/>
        <v>284</v>
      </c>
      <c r="J406" s="3">
        <f t="shared" si="48"/>
        <v>194</v>
      </c>
      <c r="K406" s="5">
        <f t="shared" si="49"/>
        <v>0.68309859154929575</v>
      </c>
      <c r="L406" s="7">
        <f>1</f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 t="s">
        <v>312</v>
      </c>
      <c r="AA406">
        <v>1</v>
      </c>
      <c r="AE406">
        <v>1</v>
      </c>
      <c r="AF406" s="1">
        <v>46127.627971215283</v>
      </c>
    </row>
    <row r="407" spans="1:32" ht="18" customHeight="1" x14ac:dyDescent="0.25">
      <c r="A407">
        <v>1329552125</v>
      </c>
      <c r="B407" t="s">
        <v>346</v>
      </c>
      <c r="C407" t="s">
        <v>5</v>
      </c>
      <c r="D407" s="1">
        <v>46114.797173611107</v>
      </c>
      <c r="E407" s="2">
        <f t="shared" ca="1" si="43"/>
        <v>19</v>
      </c>
      <c r="F407" s="2" t="str">
        <f t="shared" ca="1" si="44"/>
        <v>15-19 dias</v>
      </c>
      <c r="G407" s="3">
        <f t="shared" si="45"/>
        <v>4</v>
      </c>
      <c r="H407" s="3">
        <f t="shared" si="46"/>
        <v>2026</v>
      </c>
      <c r="I407" s="3">
        <f t="shared" si="47"/>
        <v>146</v>
      </c>
      <c r="J407" s="3">
        <f t="shared" si="48"/>
        <v>28</v>
      </c>
      <c r="K407" s="5">
        <f t="shared" si="49"/>
        <v>0.19178082191780821</v>
      </c>
      <c r="L407" s="7">
        <f>1</f>
        <v>1</v>
      </c>
      <c r="Y407">
        <v>1</v>
      </c>
      <c r="AE407">
        <v>1</v>
      </c>
      <c r="AF407" s="1">
        <v>46127.850865185188</v>
      </c>
    </row>
    <row r="408" spans="1:32" ht="18" customHeight="1" x14ac:dyDescent="0.25">
      <c r="A408">
        <v>1310026095</v>
      </c>
      <c r="B408" t="s">
        <v>291</v>
      </c>
      <c r="C408" t="s">
        <v>5</v>
      </c>
      <c r="D408" s="1">
        <v>46086.793940358803</v>
      </c>
      <c r="E408" s="2">
        <f t="shared" ca="1" si="43"/>
        <v>47</v>
      </c>
      <c r="F408" s="2" t="str">
        <f t="shared" ca="1" si="44"/>
        <v>31-60 dias</v>
      </c>
      <c r="G408" s="3">
        <f t="shared" si="45"/>
        <v>3</v>
      </c>
      <c r="H408" s="3">
        <f t="shared" si="46"/>
        <v>2026</v>
      </c>
      <c r="I408" s="3">
        <f t="shared" si="47"/>
        <v>284</v>
      </c>
      <c r="J408" s="3">
        <f t="shared" si="48"/>
        <v>194</v>
      </c>
      <c r="K408" s="5">
        <f t="shared" si="49"/>
        <v>0.68309859154929575</v>
      </c>
      <c r="L408" s="7">
        <f>1</f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AC408">
        <v>1</v>
      </c>
      <c r="AE408">
        <v>1</v>
      </c>
      <c r="AF408" s="1">
        <v>46115.613138379631</v>
      </c>
    </row>
    <row r="409" spans="1:32" ht="18" customHeight="1" x14ac:dyDescent="0.25">
      <c r="A409">
        <v>1322612687</v>
      </c>
      <c r="B409" t="s">
        <v>447</v>
      </c>
      <c r="C409" t="s">
        <v>118</v>
      </c>
      <c r="D409" s="1">
        <v>46104.649265601853</v>
      </c>
      <c r="E409" s="2">
        <f t="shared" ca="1" si="43"/>
        <v>29</v>
      </c>
      <c r="F409" s="2" t="str">
        <f t="shared" ca="1" si="44"/>
        <v>25-30 dias</v>
      </c>
      <c r="G409" s="3">
        <f t="shared" si="45"/>
        <v>3</v>
      </c>
      <c r="H409" s="3">
        <f t="shared" si="46"/>
        <v>2026</v>
      </c>
      <c r="I409" s="3">
        <f t="shared" si="47"/>
        <v>284</v>
      </c>
      <c r="J409" s="3">
        <f t="shared" si="48"/>
        <v>194</v>
      </c>
      <c r="K409" s="5">
        <f t="shared" si="49"/>
        <v>0.68309859154929575</v>
      </c>
      <c r="L409" s="7">
        <f>1</f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AB409">
        <v>2</v>
      </c>
    </row>
    <row r="410" spans="1:32" ht="18" customHeight="1" x14ac:dyDescent="0.25">
      <c r="A410">
        <v>1306061198</v>
      </c>
      <c r="B410" t="s">
        <v>232</v>
      </c>
      <c r="C410" t="s">
        <v>21</v>
      </c>
      <c r="D410" s="1">
        <v>46081.599266365738</v>
      </c>
      <c r="E410" s="2">
        <f t="shared" ca="1" si="43"/>
        <v>52</v>
      </c>
      <c r="F410" s="2" t="str">
        <f t="shared" ca="1" si="44"/>
        <v>31-60 dias</v>
      </c>
      <c r="G410" s="3">
        <f t="shared" si="45"/>
        <v>2</v>
      </c>
      <c r="H410" s="3">
        <f t="shared" si="46"/>
        <v>2026</v>
      </c>
      <c r="I410" s="3">
        <f t="shared" si="47"/>
        <v>17</v>
      </c>
      <c r="J410" s="3">
        <f t="shared" si="48"/>
        <v>11</v>
      </c>
      <c r="K410" s="5">
        <f t="shared" si="49"/>
        <v>0.6470588235294118</v>
      </c>
      <c r="L410" s="7">
        <f>1</f>
        <v>1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32" ht="18" customHeight="1" x14ac:dyDescent="0.25">
      <c r="A411">
        <v>1313954240</v>
      </c>
      <c r="B411" t="s">
        <v>233</v>
      </c>
      <c r="C411" t="s">
        <v>5</v>
      </c>
      <c r="D411" s="1">
        <v>46091.795505752307</v>
      </c>
      <c r="E411" s="2">
        <f t="shared" ca="1" si="43"/>
        <v>42</v>
      </c>
      <c r="F411" s="2" t="str">
        <f t="shared" ca="1" si="44"/>
        <v>31-60 dias</v>
      </c>
      <c r="G411" s="3">
        <f t="shared" si="45"/>
        <v>3</v>
      </c>
      <c r="H411" s="3">
        <f t="shared" si="46"/>
        <v>2026</v>
      </c>
      <c r="I411" s="3">
        <f t="shared" si="47"/>
        <v>284</v>
      </c>
      <c r="J411" s="3">
        <f t="shared" si="48"/>
        <v>194</v>
      </c>
      <c r="K411" s="5">
        <f t="shared" si="49"/>
        <v>0.68309859154929575</v>
      </c>
      <c r="L411" s="7">
        <f>1</f>
        <v>1</v>
      </c>
      <c r="M411">
        <v>0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AE411">
        <v>1</v>
      </c>
      <c r="AF411" s="1">
        <v>46126.615063252313</v>
      </c>
    </row>
    <row r="412" spans="1:32" ht="18" customHeight="1" x14ac:dyDescent="0.25">
      <c r="A412">
        <v>1307009293</v>
      </c>
      <c r="B412" t="s">
        <v>234</v>
      </c>
      <c r="C412" t="s">
        <v>5</v>
      </c>
      <c r="D412" s="1">
        <v>46083.545114201392</v>
      </c>
      <c r="E412" s="2">
        <f t="shared" ca="1" si="43"/>
        <v>50</v>
      </c>
      <c r="F412" s="2" t="str">
        <f t="shared" ca="1" si="44"/>
        <v>31-60 dias</v>
      </c>
      <c r="G412" s="3">
        <f t="shared" si="45"/>
        <v>3</v>
      </c>
      <c r="H412" s="3">
        <f t="shared" si="46"/>
        <v>2026</v>
      </c>
      <c r="I412" s="3">
        <f t="shared" si="47"/>
        <v>284</v>
      </c>
      <c r="J412" s="3">
        <f t="shared" si="48"/>
        <v>194</v>
      </c>
      <c r="K412" s="5">
        <f t="shared" si="49"/>
        <v>0.68309859154929575</v>
      </c>
      <c r="L412" s="7">
        <f>1</f>
        <v>1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</v>
      </c>
      <c r="AB412">
        <v>2</v>
      </c>
      <c r="AE412">
        <v>2</v>
      </c>
      <c r="AF412" s="1">
        <v>46098.7217680787</v>
      </c>
    </row>
    <row r="413" spans="1:32" ht="18" customHeight="1" x14ac:dyDescent="0.25">
      <c r="A413">
        <v>1307110582</v>
      </c>
      <c r="B413" t="s">
        <v>235</v>
      </c>
      <c r="C413" t="s">
        <v>5</v>
      </c>
      <c r="D413" s="1">
        <v>46083.628065856479</v>
      </c>
      <c r="E413" s="2">
        <f t="shared" ca="1" si="43"/>
        <v>50</v>
      </c>
      <c r="F413" s="2" t="str">
        <f t="shared" ca="1" si="44"/>
        <v>31-60 dias</v>
      </c>
      <c r="G413" s="3">
        <f t="shared" si="45"/>
        <v>3</v>
      </c>
      <c r="H413" s="3">
        <f t="shared" si="46"/>
        <v>2026</v>
      </c>
      <c r="I413" s="3">
        <f t="shared" si="47"/>
        <v>284</v>
      </c>
      <c r="J413" s="3">
        <f t="shared" si="48"/>
        <v>194</v>
      </c>
      <c r="K413" s="5">
        <f t="shared" si="49"/>
        <v>0.68309859154929575</v>
      </c>
      <c r="L413" s="7">
        <f>1</f>
        <v>1</v>
      </c>
      <c r="M413">
        <v>0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AB413">
        <v>2</v>
      </c>
      <c r="AF413" s="1">
        <v>46101.629738402793</v>
      </c>
    </row>
    <row r="414" spans="1:32" ht="18" customHeight="1" x14ac:dyDescent="0.25">
      <c r="A414">
        <v>1307110467</v>
      </c>
      <c r="B414" t="s">
        <v>236</v>
      </c>
      <c r="C414" t="s">
        <v>5</v>
      </c>
      <c r="D414" s="1">
        <v>46083.628004606478</v>
      </c>
      <c r="E414" s="2">
        <f t="shared" ca="1" si="43"/>
        <v>50</v>
      </c>
      <c r="F414" s="2" t="str">
        <f t="shared" ca="1" si="44"/>
        <v>31-60 dias</v>
      </c>
      <c r="G414" s="3">
        <f t="shared" si="45"/>
        <v>3</v>
      </c>
      <c r="H414" s="3">
        <f t="shared" si="46"/>
        <v>2026</v>
      </c>
      <c r="I414" s="3">
        <f t="shared" si="47"/>
        <v>284</v>
      </c>
      <c r="J414" s="3">
        <f t="shared" si="48"/>
        <v>194</v>
      </c>
      <c r="K414" s="5">
        <f t="shared" si="49"/>
        <v>0.68309859154929575</v>
      </c>
      <c r="L414" s="7">
        <f>1</f>
        <v>1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AB414">
        <v>2</v>
      </c>
      <c r="AE414">
        <v>2</v>
      </c>
      <c r="AF414" s="1">
        <v>46115.625678124998</v>
      </c>
    </row>
    <row r="415" spans="1:32" ht="18" customHeight="1" x14ac:dyDescent="0.25">
      <c r="A415">
        <v>1309287676</v>
      </c>
      <c r="B415" t="s">
        <v>237</v>
      </c>
      <c r="C415" t="s">
        <v>21</v>
      </c>
      <c r="D415" s="1">
        <v>46085.79440741898</v>
      </c>
      <c r="E415" s="2">
        <f t="shared" ca="1" si="43"/>
        <v>48</v>
      </c>
      <c r="F415" s="2" t="str">
        <f t="shared" ca="1" si="44"/>
        <v>31-60 dias</v>
      </c>
      <c r="G415" s="3">
        <f t="shared" si="45"/>
        <v>3</v>
      </c>
      <c r="H415" s="3">
        <f t="shared" si="46"/>
        <v>2026</v>
      </c>
      <c r="I415" s="3">
        <f t="shared" si="47"/>
        <v>284</v>
      </c>
      <c r="J415" s="3">
        <f t="shared" si="48"/>
        <v>194</v>
      </c>
      <c r="K415" s="5">
        <f t="shared" si="49"/>
        <v>0.68309859154929575</v>
      </c>
      <c r="L415" s="7">
        <f>1</f>
        <v>1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</v>
      </c>
    </row>
    <row r="416" spans="1:32" ht="18" customHeight="1" x14ac:dyDescent="0.25">
      <c r="A416">
        <v>1328774607</v>
      </c>
      <c r="B416" t="s">
        <v>347</v>
      </c>
      <c r="C416" t="s">
        <v>5</v>
      </c>
      <c r="D416" s="1">
        <v>46113.797468159719</v>
      </c>
      <c r="E416" s="2">
        <f t="shared" ca="1" si="43"/>
        <v>20</v>
      </c>
      <c r="F416" s="2" t="str">
        <f t="shared" ca="1" si="44"/>
        <v>20-24 dias</v>
      </c>
      <c r="G416" s="3">
        <f t="shared" si="45"/>
        <v>4</v>
      </c>
      <c r="H416" s="3">
        <f t="shared" si="46"/>
        <v>2026</v>
      </c>
      <c r="I416" s="3">
        <f t="shared" si="47"/>
        <v>146</v>
      </c>
      <c r="J416" s="3">
        <f t="shared" si="48"/>
        <v>28</v>
      </c>
      <c r="K416" s="5">
        <f t="shared" si="49"/>
        <v>0.19178082191780821</v>
      </c>
      <c r="L416" s="7">
        <f>1</f>
        <v>1</v>
      </c>
      <c r="O416">
        <v>1</v>
      </c>
      <c r="AB416">
        <v>1</v>
      </c>
      <c r="AF416" s="1">
        <v>46134.544420729173</v>
      </c>
    </row>
    <row r="417" spans="1:32" ht="18" customHeight="1" x14ac:dyDescent="0.25">
      <c r="A417">
        <v>1339136271</v>
      </c>
      <c r="B417" t="s">
        <v>448</v>
      </c>
      <c r="C417" t="s">
        <v>7</v>
      </c>
      <c r="D417" s="1">
        <v>46132.796604456023</v>
      </c>
      <c r="E417" s="2">
        <f t="shared" ca="1" si="43"/>
        <v>1</v>
      </c>
      <c r="F417" s="2" t="str">
        <f t="shared" ca="1" si="44"/>
        <v>0-14 dias</v>
      </c>
      <c r="G417" s="3">
        <f t="shared" si="45"/>
        <v>4</v>
      </c>
      <c r="H417" s="3">
        <f t="shared" si="46"/>
        <v>2026</v>
      </c>
      <c r="I417" s="3">
        <f t="shared" si="47"/>
        <v>146</v>
      </c>
      <c r="J417" s="3">
        <f t="shared" si="48"/>
        <v>28</v>
      </c>
      <c r="K417" s="5">
        <f t="shared" si="49"/>
        <v>0.19178082191780821</v>
      </c>
      <c r="L417" s="7">
        <f>1</f>
        <v>1</v>
      </c>
      <c r="Q417">
        <v>1</v>
      </c>
    </row>
    <row r="418" spans="1:32" ht="18" customHeight="1" x14ac:dyDescent="0.25">
      <c r="A418">
        <v>1320494338</v>
      </c>
      <c r="B418" t="s">
        <v>238</v>
      </c>
      <c r="C418" t="s">
        <v>5</v>
      </c>
      <c r="D418" s="1">
        <v>46100.62844659722</v>
      </c>
      <c r="E418" s="2">
        <f t="shared" ca="1" si="43"/>
        <v>33</v>
      </c>
      <c r="F418" s="2" t="str">
        <f t="shared" ca="1" si="44"/>
        <v>31-60 dias</v>
      </c>
      <c r="G418" s="3">
        <f t="shared" si="45"/>
        <v>3</v>
      </c>
      <c r="H418" s="3">
        <f t="shared" si="46"/>
        <v>2026</v>
      </c>
      <c r="I418" s="3">
        <f t="shared" si="47"/>
        <v>284</v>
      </c>
      <c r="J418" s="3">
        <f t="shared" si="48"/>
        <v>194</v>
      </c>
      <c r="K418" s="5">
        <f t="shared" si="49"/>
        <v>0.68309859154929575</v>
      </c>
      <c r="L418" s="7">
        <f>1</f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AF418" s="1">
        <v>46129.551945879633</v>
      </c>
    </row>
    <row r="419" spans="1:32" ht="18" customHeight="1" x14ac:dyDescent="0.25">
      <c r="A419">
        <v>1331201689</v>
      </c>
      <c r="B419" t="s">
        <v>392</v>
      </c>
      <c r="C419" t="s">
        <v>18</v>
      </c>
      <c r="D419" s="1">
        <v>46118.628424456023</v>
      </c>
      <c r="E419" s="2">
        <f t="shared" ca="1" si="43"/>
        <v>15</v>
      </c>
      <c r="F419" s="2" t="str">
        <f t="shared" ca="1" si="44"/>
        <v>15-19 dias</v>
      </c>
      <c r="G419" s="3">
        <f t="shared" si="45"/>
        <v>4</v>
      </c>
      <c r="H419" s="3">
        <f t="shared" si="46"/>
        <v>2026</v>
      </c>
      <c r="I419" s="3">
        <f t="shared" si="47"/>
        <v>146</v>
      </c>
      <c r="J419" s="3">
        <f t="shared" si="48"/>
        <v>28</v>
      </c>
      <c r="K419" s="5">
        <f t="shared" si="49"/>
        <v>0.19178082191780821</v>
      </c>
      <c r="L419" s="7">
        <f>1</f>
        <v>1</v>
      </c>
      <c r="R419">
        <v>1</v>
      </c>
    </row>
    <row r="420" spans="1:32" ht="18" customHeight="1" x14ac:dyDescent="0.25">
      <c r="A420">
        <v>1322586151</v>
      </c>
      <c r="B420" t="s">
        <v>239</v>
      </c>
      <c r="C420" t="s">
        <v>5</v>
      </c>
      <c r="D420" s="1">
        <v>46104.628172696757</v>
      </c>
      <c r="E420" s="2">
        <f t="shared" ca="1" si="43"/>
        <v>29</v>
      </c>
      <c r="F420" s="2" t="str">
        <f t="shared" ca="1" si="44"/>
        <v>25-30 dias</v>
      </c>
      <c r="G420" s="3">
        <f t="shared" si="45"/>
        <v>3</v>
      </c>
      <c r="H420" s="3">
        <f t="shared" si="46"/>
        <v>2026</v>
      </c>
      <c r="I420" s="3">
        <f t="shared" si="47"/>
        <v>284</v>
      </c>
      <c r="J420" s="3">
        <f t="shared" si="48"/>
        <v>194</v>
      </c>
      <c r="K420" s="5">
        <f t="shared" si="49"/>
        <v>0.68309859154929575</v>
      </c>
      <c r="L420" s="7">
        <f>1</f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AB420">
        <v>2</v>
      </c>
      <c r="AE420">
        <v>2</v>
      </c>
      <c r="AF420" s="1">
        <v>46127.527997523153</v>
      </c>
    </row>
    <row r="421" spans="1:32" ht="18" customHeight="1" x14ac:dyDescent="0.25">
      <c r="A421">
        <v>1306961186</v>
      </c>
      <c r="B421" t="s">
        <v>240</v>
      </c>
      <c r="C421" t="s">
        <v>5</v>
      </c>
      <c r="D421" s="1">
        <v>46083.50607585648</v>
      </c>
      <c r="E421" s="2">
        <f t="shared" ca="1" si="43"/>
        <v>50</v>
      </c>
      <c r="F421" s="2" t="str">
        <f t="shared" ca="1" si="44"/>
        <v>31-60 dias</v>
      </c>
      <c r="G421" s="3">
        <f t="shared" si="45"/>
        <v>3</v>
      </c>
      <c r="H421" s="3">
        <f t="shared" si="46"/>
        <v>2026</v>
      </c>
      <c r="I421" s="3">
        <f t="shared" si="47"/>
        <v>284</v>
      </c>
      <c r="J421" s="3">
        <f t="shared" si="48"/>
        <v>194</v>
      </c>
      <c r="K421" s="5">
        <f t="shared" si="49"/>
        <v>0.68309859154929575</v>
      </c>
      <c r="L421" s="7">
        <f>1</f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AB421">
        <v>4</v>
      </c>
      <c r="AE421">
        <v>4</v>
      </c>
      <c r="AF421" s="1">
        <v>46106.619276180558</v>
      </c>
    </row>
    <row r="422" spans="1:32" ht="18" customHeight="1" x14ac:dyDescent="0.25">
      <c r="A422">
        <v>1325935009</v>
      </c>
      <c r="B422" t="s">
        <v>241</v>
      </c>
      <c r="C422" t="s">
        <v>242</v>
      </c>
      <c r="D422" s="1">
        <v>46108.836896365741</v>
      </c>
      <c r="E422" s="2">
        <f t="shared" ca="1" si="43"/>
        <v>25</v>
      </c>
      <c r="F422" s="2" t="str">
        <f t="shared" ca="1" si="44"/>
        <v>25-30 dias</v>
      </c>
      <c r="G422" s="3">
        <f t="shared" si="45"/>
        <v>3</v>
      </c>
      <c r="H422" s="3">
        <f t="shared" si="46"/>
        <v>2026</v>
      </c>
      <c r="I422" s="3">
        <f t="shared" si="47"/>
        <v>284</v>
      </c>
      <c r="J422" s="3">
        <f t="shared" si="48"/>
        <v>194</v>
      </c>
      <c r="K422" s="5">
        <f t="shared" si="49"/>
        <v>0.68309859154929575</v>
      </c>
      <c r="L422" s="7">
        <f>1</f>
        <v>1</v>
      </c>
      <c r="Y422">
        <v>1</v>
      </c>
    </row>
    <row r="423" spans="1:32" ht="18" customHeight="1" x14ac:dyDescent="0.25">
      <c r="A423">
        <v>1304884337</v>
      </c>
      <c r="B423" t="s">
        <v>241</v>
      </c>
      <c r="C423" t="s">
        <v>11</v>
      </c>
      <c r="D423" s="1">
        <v>46079.919579004629</v>
      </c>
      <c r="E423" s="2">
        <f t="shared" ca="1" si="43"/>
        <v>54</v>
      </c>
      <c r="F423" s="2" t="str">
        <f t="shared" ca="1" si="44"/>
        <v>31-60 dias</v>
      </c>
      <c r="G423" s="3">
        <f t="shared" si="45"/>
        <v>2</v>
      </c>
      <c r="H423" s="3">
        <f t="shared" si="46"/>
        <v>2026</v>
      </c>
      <c r="I423" s="3">
        <f t="shared" si="47"/>
        <v>17</v>
      </c>
      <c r="J423" s="3">
        <f t="shared" si="48"/>
        <v>11</v>
      </c>
      <c r="K423" s="5">
        <f t="shared" si="49"/>
        <v>0.6470588235294118</v>
      </c>
      <c r="L423" s="7">
        <f>1</f>
        <v>1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32" ht="18" customHeight="1" x14ac:dyDescent="0.25">
      <c r="A424">
        <v>1339645709</v>
      </c>
      <c r="B424" t="s">
        <v>449</v>
      </c>
      <c r="C424" t="s">
        <v>5</v>
      </c>
      <c r="D424" s="1">
        <v>46134.512948958327</v>
      </c>
      <c r="E424" s="2">
        <f t="shared" ca="1" si="43"/>
        <v>-1</v>
      </c>
      <c r="F424" s="2" t="str">
        <f t="shared" ca="1" si="44"/>
        <v>0-14 dias</v>
      </c>
      <c r="G424" s="3">
        <f t="shared" si="45"/>
        <v>4</v>
      </c>
      <c r="H424" s="3">
        <f t="shared" si="46"/>
        <v>2026</v>
      </c>
      <c r="I424" s="3">
        <f t="shared" si="47"/>
        <v>146</v>
      </c>
      <c r="J424" s="3">
        <f t="shared" si="48"/>
        <v>28</v>
      </c>
      <c r="K424" s="5">
        <f t="shared" si="49"/>
        <v>0.19178082191780821</v>
      </c>
      <c r="L424" s="7">
        <f>1</f>
        <v>1</v>
      </c>
      <c r="N424">
        <v>1</v>
      </c>
      <c r="AC424">
        <v>1</v>
      </c>
      <c r="AF424" s="1">
        <v>46134.522987199067</v>
      </c>
    </row>
    <row r="425" spans="1:32" ht="18" customHeight="1" x14ac:dyDescent="0.25">
      <c r="A425">
        <v>1326014611</v>
      </c>
      <c r="B425" t="s">
        <v>243</v>
      </c>
      <c r="C425" t="s">
        <v>5</v>
      </c>
      <c r="D425" s="1">
        <v>46108.919544502307</v>
      </c>
      <c r="E425" s="2">
        <f t="shared" ca="1" si="43"/>
        <v>25</v>
      </c>
      <c r="F425" s="2" t="str">
        <f t="shared" ca="1" si="44"/>
        <v>25-30 dias</v>
      </c>
      <c r="G425" s="3">
        <f t="shared" si="45"/>
        <v>3</v>
      </c>
      <c r="H425" s="3">
        <f t="shared" si="46"/>
        <v>2026</v>
      </c>
      <c r="I425" s="3">
        <f t="shared" si="47"/>
        <v>284</v>
      </c>
      <c r="J425" s="3">
        <f t="shared" si="48"/>
        <v>194</v>
      </c>
      <c r="K425" s="5">
        <f t="shared" si="49"/>
        <v>0.68309859154929575</v>
      </c>
      <c r="L425" s="7">
        <f>1</f>
        <v>1</v>
      </c>
      <c r="Y425">
        <v>1</v>
      </c>
      <c r="Z425" t="s">
        <v>312</v>
      </c>
      <c r="AA425">
        <v>1</v>
      </c>
      <c r="AF425" s="1">
        <v>46127.505261296297</v>
      </c>
    </row>
    <row r="426" spans="1:32" ht="18" customHeight="1" x14ac:dyDescent="0.25">
      <c r="A426">
        <v>1307302123</v>
      </c>
      <c r="B426" t="s">
        <v>244</v>
      </c>
      <c r="C426" t="s">
        <v>5</v>
      </c>
      <c r="D426" s="1">
        <v>46083.795389155093</v>
      </c>
      <c r="E426" s="2">
        <f t="shared" ca="1" si="43"/>
        <v>50</v>
      </c>
      <c r="F426" s="2" t="str">
        <f t="shared" ca="1" si="44"/>
        <v>31-60 dias</v>
      </c>
      <c r="G426" s="3">
        <f t="shared" si="45"/>
        <v>3</v>
      </c>
      <c r="H426" s="3">
        <f t="shared" si="46"/>
        <v>2026</v>
      </c>
      <c r="I426" s="3">
        <f t="shared" si="47"/>
        <v>284</v>
      </c>
      <c r="J426" s="3">
        <f t="shared" si="48"/>
        <v>194</v>
      </c>
      <c r="K426" s="5">
        <f t="shared" si="49"/>
        <v>0.68309859154929575</v>
      </c>
      <c r="L426" s="7">
        <f>1</f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AF426" s="1">
        <v>46091.854194861109</v>
      </c>
    </row>
    <row r="427" spans="1:32" ht="18" customHeight="1" x14ac:dyDescent="0.25">
      <c r="A427">
        <v>1333930241</v>
      </c>
      <c r="B427" t="s">
        <v>393</v>
      </c>
      <c r="C427" t="s">
        <v>7</v>
      </c>
      <c r="D427" s="1">
        <v>46122.797167731478</v>
      </c>
      <c r="E427" s="2">
        <f t="shared" ca="1" si="43"/>
        <v>11</v>
      </c>
      <c r="F427" s="2" t="str">
        <f t="shared" ca="1" si="44"/>
        <v>0-14 dias</v>
      </c>
      <c r="G427" s="3">
        <f t="shared" si="45"/>
        <v>4</v>
      </c>
      <c r="H427" s="3">
        <f t="shared" si="46"/>
        <v>2026</v>
      </c>
      <c r="I427" s="3">
        <f t="shared" si="47"/>
        <v>146</v>
      </c>
      <c r="J427" s="3">
        <f t="shared" si="48"/>
        <v>28</v>
      </c>
      <c r="K427" s="5">
        <f t="shared" si="49"/>
        <v>0.19178082191780821</v>
      </c>
      <c r="L427" s="7">
        <f>1</f>
        <v>1</v>
      </c>
      <c r="N427">
        <v>1</v>
      </c>
    </row>
    <row r="428" spans="1:32" ht="18" customHeight="1" x14ac:dyDescent="0.25">
      <c r="A428">
        <v>1331617037</v>
      </c>
      <c r="B428" t="s">
        <v>394</v>
      </c>
      <c r="C428" t="s">
        <v>18</v>
      </c>
      <c r="D428" s="1">
        <v>46118.920283298612</v>
      </c>
      <c r="E428" s="2">
        <f t="shared" ca="1" si="43"/>
        <v>15</v>
      </c>
      <c r="F428" s="2" t="str">
        <f t="shared" ca="1" si="44"/>
        <v>15-19 dias</v>
      </c>
      <c r="G428" s="3">
        <f t="shared" si="45"/>
        <v>4</v>
      </c>
      <c r="H428" s="3">
        <f t="shared" si="46"/>
        <v>2026</v>
      </c>
      <c r="I428" s="3">
        <f t="shared" si="47"/>
        <v>146</v>
      </c>
      <c r="J428" s="3">
        <f t="shared" si="48"/>
        <v>28</v>
      </c>
      <c r="K428" s="5">
        <f t="shared" si="49"/>
        <v>0.19178082191780821</v>
      </c>
      <c r="L428" s="7">
        <f>1</f>
        <v>1</v>
      </c>
      <c r="N428">
        <v>1</v>
      </c>
      <c r="Y428">
        <v>1</v>
      </c>
    </row>
    <row r="429" spans="1:32" ht="18" customHeight="1" x14ac:dyDescent="0.25">
      <c r="A429">
        <v>1339135998</v>
      </c>
      <c r="B429" t="s">
        <v>450</v>
      </c>
      <c r="C429" t="s">
        <v>7</v>
      </c>
      <c r="D429" s="1">
        <v>46132.796296840279</v>
      </c>
      <c r="E429" s="2">
        <f t="shared" ca="1" si="43"/>
        <v>1</v>
      </c>
      <c r="F429" s="2" t="str">
        <f t="shared" ca="1" si="44"/>
        <v>0-14 dias</v>
      </c>
      <c r="G429" s="3">
        <f t="shared" si="45"/>
        <v>4</v>
      </c>
      <c r="H429" s="3">
        <f t="shared" si="46"/>
        <v>2026</v>
      </c>
      <c r="I429" s="3">
        <f t="shared" si="47"/>
        <v>146</v>
      </c>
      <c r="J429" s="3">
        <f t="shared" si="48"/>
        <v>28</v>
      </c>
      <c r="K429" s="5">
        <f t="shared" si="49"/>
        <v>0.19178082191780821</v>
      </c>
      <c r="L429" s="7">
        <f>1</f>
        <v>1</v>
      </c>
      <c r="P429">
        <v>1</v>
      </c>
      <c r="Q429">
        <v>1</v>
      </c>
    </row>
    <row r="430" spans="1:32" ht="18" customHeight="1" x14ac:dyDescent="0.25">
      <c r="A430">
        <v>1326993211</v>
      </c>
      <c r="B430" t="s">
        <v>451</v>
      </c>
      <c r="C430" t="s">
        <v>242</v>
      </c>
      <c r="D430" s="1">
        <v>46111.546088680552</v>
      </c>
      <c r="E430" s="2">
        <f t="shared" ca="1" si="43"/>
        <v>22</v>
      </c>
      <c r="F430" s="2" t="str">
        <f t="shared" ca="1" si="44"/>
        <v>20-24 dias</v>
      </c>
      <c r="G430" s="3">
        <f t="shared" si="45"/>
        <v>3</v>
      </c>
      <c r="H430" s="3">
        <f t="shared" si="46"/>
        <v>2026</v>
      </c>
      <c r="I430" s="3">
        <f t="shared" si="47"/>
        <v>284</v>
      </c>
      <c r="J430" s="3">
        <f t="shared" si="48"/>
        <v>194</v>
      </c>
      <c r="K430" s="5">
        <f t="shared" si="49"/>
        <v>0.68309859154929575</v>
      </c>
      <c r="L430" s="7">
        <f>1</f>
        <v>1</v>
      </c>
      <c r="Z430" t="s">
        <v>312</v>
      </c>
      <c r="AA430">
        <v>1</v>
      </c>
      <c r="AE430">
        <v>1</v>
      </c>
    </row>
    <row r="431" spans="1:32" ht="18" customHeight="1" x14ac:dyDescent="0.25">
      <c r="A431">
        <v>1331467807</v>
      </c>
      <c r="B431" t="s">
        <v>395</v>
      </c>
      <c r="C431" t="s">
        <v>18</v>
      </c>
      <c r="D431" s="1">
        <v>46118.795019722224</v>
      </c>
      <c r="E431" s="2">
        <f t="shared" ca="1" si="43"/>
        <v>15</v>
      </c>
      <c r="F431" s="2" t="str">
        <f t="shared" ca="1" si="44"/>
        <v>15-19 dias</v>
      </c>
      <c r="G431" s="3">
        <f t="shared" si="45"/>
        <v>4</v>
      </c>
      <c r="H431" s="3">
        <f t="shared" si="46"/>
        <v>2026</v>
      </c>
      <c r="I431" s="3">
        <f t="shared" si="47"/>
        <v>146</v>
      </c>
      <c r="J431" s="3">
        <f t="shared" si="48"/>
        <v>28</v>
      </c>
      <c r="K431" s="5">
        <f t="shared" si="49"/>
        <v>0.19178082191780821</v>
      </c>
      <c r="L431" s="7">
        <f>1</f>
        <v>1</v>
      </c>
      <c r="Y431">
        <v>1</v>
      </c>
    </row>
    <row r="432" spans="1:32" ht="18" customHeight="1" x14ac:dyDescent="0.25">
      <c r="A432">
        <v>1313292599</v>
      </c>
      <c r="B432" t="s">
        <v>245</v>
      </c>
      <c r="C432" t="s">
        <v>21</v>
      </c>
      <c r="D432" s="1">
        <v>46090.919993148149</v>
      </c>
      <c r="E432" s="2">
        <f t="shared" ca="1" si="43"/>
        <v>43</v>
      </c>
      <c r="F432" s="2" t="str">
        <f t="shared" ca="1" si="44"/>
        <v>31-60 dias</v>
      </c>
      <c r="G432" s="3">
        <f t="shared" si="45"/>
        <v>3</v>
      </c>
      <c r="H432" s="3">
        <f t="shared" si="46"/>
        <v>2026</v>
      </c>
      <c r="I432" s="3">
        <f t="shared" si="47"/>
        <v>284</v>
      </c>
      <c r="J432" s="3">
        <f t="shared" si="48"/>
        <v>194</v>
      </c>
      <c r="K432" s="5">
        <f t="shared" si="49"/>
        <v>0.68309859154929575</v>
      </c>
      <c r="L432" s="7">
        <f>1</f>
        <v>1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 spans="1:32" ht="18" customHeight="1" x14ac:dyDescent="0.25">
      <c r="A433">
        <v>1310840243</v>
      </c>
      <c r="B433" t="s">
        <v>246</v>
      </c>
      <c r="C433" t="s">
        <v>5</v>
      </c>
      <c r="D433" s="1">
        <v>46087.795609351851</v>
      </c>
      <c r="E433" s="2">
        <f t="shared" ca="1" si="43"/>
        <v>46</v>
      </c>
      <c r="F433" s="2" t="str">
        <f t="shared" ca="1" si="44"/>
        <v>31-60 dias</v>
      </c>
      <c r="G433" s="3">
        <f t="shared" si="45"/>
        <v>3</v>
      </c>
      <c r="H433" s="3">
        <f t="shared" si="46"/>
        <v>2026</v>
      </c>
      <c r="I433" s="3">
        <f t="shared" si="47"/>
        <v>284</v>
      </c>
      <c r="J433" s="3">
        <f t="shared" si="48"/>
        <v>194</v>
      </c>
      <c r="K433" s="5">
        <f t="shared" si="49"/>
        <v>0.68309859154929575</v>
      </c>
      <c r="L433" s="7">
        <f>1</f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 t="s">
        <v>312</v>
      </c>
      <c r="AA433">
        <v>1</v>
      </c>
      <c r="AE433">
        <v>1</v>
      </c>
      <c r="AF433" s="1">
        <v>46115.605239236123</v>
      </c>
    </row>
    <row r="434" spans="1:32" ht="18" customHeight="1" x14ac:dyDescent="0.25">
      <c r="A434">
        <v>1319289755</v>
      </c>
      <c r="B434" t="s">
        <v>247</v>
      </c>
      <c r="C434" t="s">
        <v>5</v>
      </c>
      <c r="D434" s="1">
        <v>46098.793841041668</v>
      </c>
      <c r="E434" s="2">
        <f t="shared" ca="1" si="43"/>
        <v>35</v>
      </c>
      <c r="F434" s="2" t="str">
        <f t="shared" ca="1" si="44"/>
        <v>31-60 dias</v>
      </c>
      <c r="G434" s="3">
        <f t="shared" si="45"/>
        <v>3</v>
      </c>
      <c r="H434" s="3">
        <f t="shared" si="46"/>
        <v>2026</v>
      </c>
      <c r="I434" s="3">
        <f t="shared" si="47"/>
        <v>284</v>
      </c>
      <c r="J434" s="3">
        <f t="shared" si="48"/>
        <v>194</v>
      </c>
      <c r="K434" s="5">
        <f t="shared" si="49"/>
        <v>0.68309859154929575</v>
      </c>
      <c r="L434" s="7">
        <f>1</f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 t="s">
        <v>312</v>
      </c>
      <c r="AA434">
        <v>1</v>
      </c>
      <c r="AC434">
        <v>1</v>
      </c>
      <c r="AE434">
        <v>1</v>
      </c>
      <c r="AF434" s="1">
        <v>46115.513077233787</v>
      </c>
    </row>
    <row r="435" spans="1:32" ht="18" customHeight="1" x14ac:dyDescent="0.25">
      <c r="A435">
        <v>1315965000</v>
      </c>
      <c r="B435" t="s">
        <v>248</v>
      </c>
      <c r="C435" t="s">
        <v>5</v>
      </c>
      <c r="D435" s="1">
        <v>46093.796381249987</v>
      </c>
      <c r="E435" s="2">
        <f t="shared" ca="1" si="43"/>
        <v>40</v>
      </c>
      <c r="F435" s="2" t="str">
        <f t="shared" ca="1" si="44"/>
        <v>31-60 dias</v>
      </c>
      <c r="G435" s="3">
        <f t="shared" si="45"/>
        <v>3</v>
      </c>
      <c r="H435" s="3">
        <f t="shared" si="46"/>
        <v>2026</v>
      </c>
      <c r="I435" s="3">
        <f t="shared" si="47"/>
        <v>284</v>
      </c>
      <c r="J435" s="3">
        <f t="shared" si="48"/>
        <v>194</v>
      </c>
      <c r="K435" s="5">
        <f t="shared" si="49"/>
        <v>0.68309859154929575</v>
      </c>
      <c r="L435" s="7">
        <f>1</f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 t="s">
        <v>312</v>
      </c>
      <c r="AA435">
        <v>1</v>
      </c>
      <c r="AE435">
        <v>1</v>
      </c>
      <c r="AF435" s="1">
        <v>46106.643124386574</v>
      </c>
    </row>
    <row r="436" spans="1:32" ht="18" customHeight="1" x14ac:dyDescent="0.25">
      <c r="A436">
        <v>1322756751</v>
      </c>
      <c r="B436" t="s">
        <v>249</v>
      </c>
      <c r="C436" t="s">
        <v>5</v>
      </c>
      <c r="D436" s="1">
        <v>46104.79581030093</v>
      </c>
      <c r="E436" s="2">
        <f t="shared" ca="1" si="43"/>
        <v>29</v>
      </c>
      <c r="F436" s="2" t="str">
        <f t="shared" ca="1" si="44"/>
        <v>25-30 dias</v>
      </c>
      <c r="G436" s="3">
        <f t="shared" si="45"/>
        <v>3</v>
      </c>
      <c r="H436" s="3">
        <f t="shared" si="46"/>
        <v>2026</v>
      </c>
      <c r="I436" s="3">
        <f t="shared" si="47"/>
        <v>284</v>
      </c>
      <c r="J436" s="3">
        <f t="shared" si="48"/>
        <v>194</v>
      </c>
      <c r="K436" s="5">
        <f t="shared" si="49"/>
        <v>0.68309859154929575</v>
      </c>
      <c r="L436" s="7">
        <f>1</f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AE436">
        <v>1</v>
      </c>
      <c r="AF436" s="1">
        <v>46127.843148414351</v>
      </c>
    </row>
    <row r="437" spans="1:32" ht="18" customHeight="1" x14ac:dyDescent="0.25">
      <c r="A437">
        <v>1313798479</v>
      </c>
      <c r="B437" t="s">
        <v>250</v>
      </c>
      <c r="C437" t="s">
        <v>21</v>
      </c>
      <c r="D437" s="1">
        <v>46091.627267453703</v>
      </c>
      <c r="E437" s="2">
        <f t="shared" ca="1" si="43"/>
        <v>42</v>
      </c>
      <c r="F437" s="2" t="str">
        <f t="shared" ca="1" si="44"/>
        <v>31-60 dias</v>
      </c>
      <c r="G437" s="3">
        <f t="shared" si="45"/>
        <v>3</v>
      </c>
      <c r="H437" s="3">
        <f t="shared" si="46"/>
        <v>2026</v>
      </c>
      <c r="I437" s="3">
        <f t="shared" si="47"/>
        <v>284</v>
      </c>
      <c r="J437" s="3">
        <f t="shared" si="48"/>
        <v>194</v>
      </c>
      <c r="K437" s="5">
        <f t="shared" si="49"/>
        <v>0.68309859154929575</v>
      </c>
      <c r="L437" s="7">
        <f>1</f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32" ht="18" customHeight="1" x14ac:dyDescent="0.25">
      <c r="A438">
        <v>1315763221</v>
      </c>
      <c r="B438" t="s">
        <v>250</v>
      </c>
      <c r="C438" t="s">
        <v>21</v>
      </c>
      <c r="D438" s="1">
        <v>46093.627460740739</v>
      </c>
      <c r="E438" s="2">
        <f t="shared" ca="1" si="43"/>
        <v>40</v>
      </c>
      <c r="F438" s="2" t="str">
        <f t="shared" ca="1" si="44"/>
        <v>31-60 dias</v>
      </c>
      <c r="G438" s="3">
        <f t="shared" si="45"/>
        <v>3</v>
      </c>
      <c r="H438" s="3">
        <f t="shared" si="46"/>
        <v>2026</v>
      </c>
      <c r="I438" s="3">
        <f t="shared" si="47"/>
        <v>284</v>
      </c>
      <c r="J438" s="3">
        <f t="shared" si="48"/>
        <v>194</v>
      </c>
      <c r="K438" s="5">
        <f t="shared" si="49"/>
        <v>0.68309859154929575</v>
      </c>
      <c r="L438" s="7">
        <f>1</f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32" ht="18" customHeight="1" x14ac:dyDescent="0.25">
      <c r="A439">
        <v>1335309614</v>
      </c>
      <c r="B439" t="s">
        <v>452</v>
      </c>
      <c r="C439" t="s">
        <v>7</v>
      </c>
      <c r="D439" s="1">
        <v>46125.797089050931</v>
      </c>
      <c r="E439" s="2">
        <f t="shared" ca="1" si="43"/>
        <v>8</v>
      </c>
      <c r="F439" s="2" t="str">
        <f t="shared" ca="1" si="44"/>
        <v>0-14 dias</v>
      </c>
      <c r="G439" s="3">
        <f t="shared" si="45"/>
        <v>4</v>
      </c>
      <c r="H439" s="3">
        <f t="shared" si="46"/>
        <v>2026</v>
      </c>
      <c r="I439" s="3">
        <f t="shared" si="47"/>
        <v>146</v>
      </c>
      <c r="J439" s="3">
        <f t="shared" si="48"/>
        <v>28</v>
      </c>
      <c r="K439" s="5">
        <f t="shared" si="49"/>
        <v>0.19178082191780821</v>
      </c>
      <c r="L439" s="7">
        <f>1</f>
        <v>1</v>
      </c>
      <c r="R439">
        <v>1</v>
      </c>
    </row>
    <row r="440" spans="1:32" ht="18" customHeight="1" x14ac:dyDescent="0.25">
      <c r="A440">
        <v>1327202712</v>
      </c>
      <c r="B440" t="s">
        <v>292</v>
      </c>
      <c r="C440" t="s">
        <v>5</v>
      </c>
      <c r="D440" s="1">
        <v>46111.730744375003</v>
      </c>
      <c r="E440" s="2">
        <f t="shared" ca="1" si="43"/>
        <v>22</v>
      </c>
      <c r="F440" s="2" t="str">
        <f t="shared" ca="1" si="44"/>
        <v>20-24 dias</v>
      </c>
      <c r="G440" s="3">
        <f t="shared" si="45"/>
        <v>3</v>
      </c>
      <c r="H440" s="3">
        <f t="shared" si="46"/>
        <v>2026</v>
      </c>
      <c r="I440" s="3">
        <f t="shared" si="47"/>
        <v>284</v>
      </c>
      <c r="J440" s="3">
        <f t="shared" si="48"/>
        <v>194</v>
      </c>
      <c r="K440" s="5">
        <f t="shared" si="49"/>
        <v>0.68309859154929575</v>
      </c>
      <c r="L440" s="7">
        <f>1</f>
        <v>1</v>
      </c>
      <c r="N440">
        <v>1</v>
      </c>
      <c r="AD440">
        <v>1</v>
      </c>
      <c r="AF440" s="1">
        <v>46126.561129016212</v>
      </c>
    </row>
    <row r="441" spans="1:32" ht="18" customHeight="1" x14ac:dyDescent="0.25">
      <c r="A441">
        <v>1333385531</v>
      </c>
      <c r="B441" t="s">
        <v>396</v>
      </c>
      <c r="C441" t="s">
        <v>11</v>
      </c>
      <c r="D441" s="1">
        <v>46121.795399085648</v>
      </c>
      <c r="E441" s="2">
        <f t="shared" ca="1" si="43"/>
        <v>12</v>
      </c>
      <c r="F441" s="2" t="str">
        <f t="shared" ca="1" si="44"/>
        <v>0-14 dias</v>
      </c>
      <c r="G441" s="3">
        <f t="shared" si="45"/>
        <v>4</v>
      </c>
      <c r="H441" s="3">
        <f t="shared" si="46"/>
        <v>2026</v>
      </c>
      <c r="I441" s="3">
        <f t="shared" si="47"/>
        <v>146</v>
      </c>
      <c r="J441" s="3">
        <f t="shared" si="48"/>
        <v>28</v>
      </c>
      <c r="K441" s="5">
        <f t="shared" si="49"/>
        <v>0.19178082191780821</v>
      </c>
      <c r="L441" s="7">
        <f>1</f>
        <v>1</v>
      </c>
    </row>
    <row r="442" spans="1:32" ht="18" customHeight="1" x14ac:dyDescent="0.25">
      <c r="A442">
        <v>1312965299</v>
      </c>
      <c r="B442" t="s">
        <v>251</v>
      </c>
      <c r="C442" t="s">
        <v>21</v>
      </c>
      <c r="D442" s="1">
        <v>46090.644648831018</v>
      </c>
      <c r="E442" s="2">
        <f t="shared" ca="1" si="43"/>
        <v>43</v>
      </c>
      <c r="F442" s="2" t="str">
        <f t="shared" ca="1" si="44"/>
        <v>31-60 dias</v>
      </c>
      <c r="G442" s="3">
        <f t="shared" si="45"/>
        <v>3</v>
      </c>
      <c r="H442" s="3">
        <f t="shared" si="46"/>
        <v>2026</v>
      </c>
      <c r="I442" s="3">
        <f t="shared" si="47"/>
        <v>284</v>
      </c>
      <c r="J442" s="3">
        <f t="shared" si="48"/>
        <v>194</v>
      </c>
      <c r="K442" s="5">
        <f t="shared" si="49"/>
        <v>0.68309859154929575</v>
      </c>
      <c r="L442" s="7">
        <f>1</f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4</v>
      </c>
    </row>
    <row r="443" spans="1:32" ht="18" customHeight="1" x14ac:dyDescent="0.25">
      <c r="A443">
        <v>1337203921</v>
      </c>
      <c r="B443" t="s">
        <v>453</v>
      </c>
      <c r="C443" t="s">
        <v>7</v>
      </c>
      <c r="D443" s="1">
        <v>46128.546907604163</v>
      </c>
      <c r="E443" s="2">
        <f t="shared" ca="1" si="43"/>
        <v>5</v>
      </c>
      <c r="F443" s="2" t="str">
        <f t="shared" ca="1" si="44"/>
        <v>0-14 dias</v>
      </c>
      <c r="G443" s="3">
        <f t="shared" si="45"/>
        <v>4</v>
      </c>
      <c r="H443" s="3">
        <f t="shared" si="46"/>
        <v>2026</v>
      </c>
      <c r="I443" s="3">
        <f t="shared" si="47"/>
        <v>146</v>
      </c>
      <c r="J443" s="3">
        <f t="shared" si="48"/>
        <v>28</v>
      </c>
      <c r="K443" s="5">
        <f t="shared" si="49"/>
        <v>0.19178082191780821</v>
      </c>
      <c r="L443" s="7">
        <f>1</f>
        <v>1</v>
      </c>
      <c r="Y443">
        <v>1</v>
      </c>
    </row>
    <row r="444" spans="1:32" ht="18" customHeight="1" x14ac:dyDescent="0.25">
      <c r="A444">
        <v>1339134608</v>
      </c>
      <c r="B444" t="s">
        <v>454</v>
      </c>
      <c r="C444" t="s">
        <v>7</v>
      </c>
      <c r="D444" s="1">
        <v>46132.794596851847</v>
      </c>
      <c r="E444" s="2">
        <f t="shared" ca="1" si="43"/>
        <v>1</v>
      </c>
      <c r="F444" s="2" t="str">
        <f t="shared" ca="1" si="44"/>
        <v>0-14 dias</v>
      </c>
      <c r="G444" s="3">
        <f t="shared" si="45"/>
        <v>4</v>
      </c>
      <c r="H444" s="3">
        <f t="shared" si="46"/>
        <v>2026</v>
      </c>
      <c r="I444" s="3">
        <f t="shared" si="47"/>
        <v>146</v>
      </c>
      <c r="J444" s="3">
        <f t="shared" si="48"/>
        <v>28</v>
      </c>
      <c r="K444" s="5">
        <f t="shared" si="49"/>
        <v>0.19178082191780821</v>
      </c>
      <c r="L444" s="7">
        <f>1</f>
        <v>1</v>
      </c>
      <c r="N444">
        <v>1</v>
      </c>
    </row>
    <row r="445" spans="1:32" ht="18" customHeight="1" x14ac:dyDescent="0.25">
      <c r="A445">
        <v>1310027875</v>
      </c>
      <c r="B445" t="s">
        <v>252</v>
      </c>
      <c r="C445" t="s">
        <v>11</v>
      </c>
      <c r="D445" s="1">
        <v>46086.795183645838</v>
      </c>
      <c r="E445" s="2">
        <f t="shared" ca="1" si="43"/>
        <v>47</v>
      </c>
      <c r="F445" s="2" t="str">
        <f t="shared" ca="1" si="44"/>
        <v>31-60 dias</v>
      </c>
      <c r="G445" s="3">
        <f t="shared" si="45"/>
        <v>3</v>
      </c>
      <c r="H445" s="3">
        <f t="shared" si="46"/>
        <v>2026</v>
      </c>
      <c r="I445" s="3">
        <f t="shared" si="47"/>
        <v>284</v>
      </c>
      <c r="J445" s="3">
        <f t="shared" si="48"/>
        <v>194</v>
      </c>
      <c r="K445" s="5">
        <f t="shared" si="49"/>
        <v>0.68309859154929575</v>
      </c>
      <c r="L445" s="7">
        <f>1</f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32" ht="18" customHeight="1" x14ac:dyDescent="0.25">
      <c r="A446">
        <v>1313170134</v>
      </c>
      <c r="B446" t="s">
        <v>253</v>
      </c>
      <c r="C446" t="s">
        <v>5</v>
      </c>
      <c r="D446" s="1">
        <v>46090.803068148147</v>
      </c>
      <c r="E446" s="2">
        <f t="shared" ca="1" si="43"/>
        <v>43</v>
      </c>
      <c r="F446" s="2" t="str">
        <f t="shared" ca="1" si="44"/>
        <v>31-60 dias</v>
      </c>
      <c r="G446" s="3">
        <f t="shared" si="45"/>
        <v>3</v>
      </c>
      <c r="H446" s="3">
        <f t="shared" si="46"/>
        <v>2026</v>
      </c>
      <c r="I446" s="3">
        <f t="shared" si="47"/>
        <v>284</v>
      </c>
      <c r="J446" s="3">
        <f t="shared" si="48"/>
        <v>194</v>
      </c>
      <c r="K446" s="5">
        <f t="shared" si="49"/>
        <v>0.68309859154929575</v>
      </c>
      <c r="L446" s="7">
        <f>1</f>
        <v>1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AC446">
        <v>1</v>
      </c>
      <c r="AF446" s="1">
        <v>46108.740138240741</v>
      </c>
    </row>
    <row r="447" spans="1:32" ht="18" customHeight="1" x14ac:dyDescent="0.25">
      <c r="A447">
        <v>1333723923</v>
      </c>
      <c r="B447" t="s">
        <v>397</v>
      </c>
      <c r="C447" t="s">
        <v>7</v>
      </c>
      <c r="D447" s="1">
        <v>46122.567474606483</v>
      </c>
      <c r="E447" s="2">
        <f t="shared" ca="1" si="43"/>
        <v>11</v>
      </c>
      <c r="F447" s="2" t="str">
        <f t="shared" ca="1" si="44"/>
        <v>0-14 dias</v>
      </c>
      <c r="G447" s="3">
        <f t="shared" si="45"/>
        <v>4</v>
      </c>
      <c r="H447" s="3">
        <f t="shared" si="46"/>
        <v>2026</v>
      </c>
      <c r="I447" s="3">
        <f t="shared" si="47"/>
        <v>146</v>
      </c>
      <c r="J447" s="3">
        <f t="shared" si="48"/>
        <v>28</v>
      </c>
      <c r="K447" s="5">
        <f t="shared" si="49"/>
        <v>0.19178082191780821</v>
      </c>
      <c r="L447" s="7">
        <f>1</f>
        <v>1</v>
      </c>
    </row>
    <row r="448" spans="1:32" ht="18" customHeight="1" x14ac:dyDescent="0.25">
      <c r="A448">
        <v>1333493467</v>
      </c>
      <c r="B448" t="s">
        <v>397</v>
      </c>
      <c r="C448" t="s">
        <v>7</v>
      </c>
      <c r="D448" s="1">
        <v>46121.920792106481</v>
      </c>
      <c r="E448" s="2">
        <f t="shared" ca="1" si="43"/>
        <v>12</v>
      </c>
      <c r="F448" s="2" t="str">
        <f t="shared" ca="1" si="44"/>
        <v>0-14 dias</v>
      </c>
      <c r="G448" s="3">
        <f t="shared" si="45"/>
        <v>4</v>
      </c>
      <c r="H448" s="3">
        <f t="shared" si="46"/>
        <v>2026</v>
      </c>
      <c r="I448" s="3">
        <f t="shared" si="47"/>
        <v>146</v>
      </c>
      <c r="J448" s="3">
        <f t="shared" si="48"/>
        <v>28</v>
      </c>
      <c r="K448" s="5">
        <f t="shared" si="49"/>
        <v>0.19178082191780821</v>
      </c>
      <c r="L448" s="7">
        <f>1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E131-5C2E-4E85-AA5C-FEABFB66DE8E}">
  <dimension ref="A3:M10"/>
  <sheetViews>
    <sheetView workbookViewId="0">
      <selection activeCell="I30" sqref="I30"/>
    </sheetView>
  </sheetViews>
  <sheetFormatPr defaultRowHeight="13.8" x14ac:dyDescent="0.25"/>
  <cols>
    <col min="1" max="1" width="24" bestFit="1" customWidth="1"/>
    <col min="2" max="2" width="21.09765625" style="3" bestFit="1" customWidth="1"/>
    <col min="3" max="3" width="17.796875" style="3" bestFit="1" customWidth="1"/>
    <col min="4" max="4" width="22.59765625" style="3" bestFit="1" customWidth="1"/>
    <col min="5" max="5" width="18.59765625" style="3" bestFit="1" customWidth="1"/>
    <col min="6" max="6" width="25.5" style="3" bestFit="1" customWidth="1"/>
    <col min="7" max="7" width="10.3984375" style="3" bestFit="1" customWidth="1"/>
    <col min="8" max="8" width="17.296875" style="3" bestFit="1" customWidth="1"/>
    <col min="9" max="9" width="9.19921875" style="3" bestFit="1" customWidth="1"/>
    <col min="10" max="10" width="25.5" style="3" bestFit="1" customWidth="1"/>
    <col min="11" max="11" width="10.3984375" style="3" bestFit="1" customWidth="1"/>
    <col min="12" max="13" width="8.796875" style="3"/>
  </cols>
  <sheetData>
    <row r="3" spans="1:11" x14ac:dyDescent="0.25">
      <c r="A3" s="8" t="s">
        <v>269</v>
      </c>
      <c r="B3" s="10" t="s">
        <v>268</v>
      </c>
      <c r="H3"/>
      <c r="I3"/>
      <c r="J3"/>
      <c r="K3"/>
    </row>
    <row r="4" spans="1:11" x14ac:dyDescent="0.25">
      <c r="A4" s="8" t="s">
        <v>261</v>
      </c>
      <c r="B4" s="3" t="s">
        <v>21</v>
      </c>
      <c r="C4" s="3" t="s">
        <v>15</v>
      </c>
      <c r="D4" s="3" t="s">
        <v>7</v>
      </c>
      <c r="E4" s="3" t="s">
        <v>118</v>
      </c>
      <c r="F4" s="3" t="s">
        <v>18</v>
      </c>
      <c r="G4" s="3" t="s">
        <v>267</v>
      </c>
      <c r="H4"/>
      <c r="I4"/>
      <c r="J4"/>
      <c r="K4"/>
    </row>
    <row r="5" spans="1:11" x14ac:dyDescent="0.25">
      <c r="A5" s="9" t="s">
        <v>262</v>
      </c>
      <c r="C5" s="3">
        <v>3</v>
      </c>
      <c r="D5" s="3">
        <v>70</v>
      </c>
      <c r="E5" s="3">
        <v>1</v>
      </c>
      <c r="G5" s="3">
        <v>74</v>
      </c>
      <c r="H5"/>
      <c r="I5"/>
      <c r="J5"/>
      <c r="K5"/>
    </row>
    <row r="6" spans="1:11" x14ac:dyDescent="0.25">
      <c r="A6" s="9" t="s">
        <v>263</v>
      </c>
      <c r="B6" s="3">
        <v>7</v>
      </c>
      <c r="C6" s="3">
        <v>2</v>
      </c>
      <c r="E6" s="3">
        <v>2</v>
      </c>
      <c r="F6" s="3">
        <v>29</v>
      </c>
      <c r="G6" s="3">
        <v>40</v>
      </c>
      <c r="H6"/>
      <c r="I6"/>
      <c r="J6"/>
      <c r="K6"/>
    </row>
    <row r="7" spans="1:11" x14ac:dyDescent="0.25">
      <c r="A7" s="9" t="s">
        <v>264</v>
      </c>
      <c r="B7" s="3">
        <v>10</v>
      </c>
      <c r="C7" s="3">
        <v>3</v>
      </c>
      <c r="E7" s="3">
        <v>1</v>
      </c>
      <c r="G7" s="3">
        <v>14</v>
      </c>
      <c r="H7"/>
      <c r="I7"/>
      <c r="J7"/>
      <c r="K7"/>
    </row>
    <row r="8" spans="1:11" x14ac:dyDescent="0.25">
      <c r="A8" s="9" t="s">
        <v>265</v>
      </c>
      <c r="B8" s="3">
        <v>6</v>
      </c>
      <c r="C8" s="3">
        <v>8</v>
      </c>
      <c r="E8" s="3">
        <v>1</v>
      </c>
      <c r="G8" s="3">
        <v>15</v>
      </c>
      <c r="H8"/>
      <c r="I8"/>
      <c r="J8"/>
      <c r="K8"/>
    </row>
    <row r="9" spans="1:11" x14ac:dyDescent="0.25">
      <c r="A9" s="9" t="s">
        <v>266</v>
      </c>
      <c r="D9" s="3">
        <v>1</v>
      </c>
      <c r="F9" s="3">
        <v>1</v>
      </c>
      <c r="G9" s="3">
        <v>2</v>
      </c>
      <c r="H9"/>
      <c r="I9"/>
      <c r="J9"/>
      <c r="K9"/>
    </row>
    <row r="10" spans="1:11" x14ac:dyDescent="0.25">
      <c r="A10" s="9" t="s">
        <v>267</v>
      </c>
      <c r="B10" s="3">
        <v>23</v>
      </c>
      <c r="C10" s="3">
        <v>16</v>
      </c>
      <c r="D10" s="3">
        <v>71</v>
      </c>
      <c r="E10" s="3">
        <v>5</v>
      </c>
      <c r="F10" s="3">
        <v>30</v>
      </c>
      <c r="G10" s="3">
        <v>145</v>
      </c>
      <c r="H10"/>
      <c r="I10"/>
      <c r="J10"/>
      <c r="K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9B8C-FF29-42D3-BA21-A689E1526EC4}">
  <dimension ref="A3:C7"/>
  <sheetViews>
    <sheetView workbookViewId="0">
      <selection activeCell="N4" sqref="N4"/>
    </sheetView>
  </sheetViews>
  <sheetFormatPr defaultRowHeight="13.8" x14ac:dyDescent="0.25"/>
  <cols>
    <col min="1" max="1" width="17.69921875" bestFit="1" customWidth="1"/>
    <col min="2" max="2" width="20.5" bestFit="1" customWidth="1"/>
    <col min="3" max="3" width="12.3984375" bestFit="1" customWidth="1"/>
  </cols>
  <sheetData>
    <row r="3" spans="1:3" x14ac:dyDescent="0.25">
      <c r="A3" s="8" t="s">
        <v>261</v>
      </c>
      <c r="B3" t="s">
        <v>271</v>
      </c>
      <c r="C3" t="s">
        <v>272</v>
      </c>
    </row>
    <row r="4" spans="1:3" x14ac:dyDescent="0.25">
      <c r="A4" s="9">
        <v>2026</v>
      </c>
      <c r="B4" s="4">
        <v>0.36059479553903401</v>
      </c>
      <c r="C4" s="6">
        <v>1</v>
      </c>
    </row>
    <row r="5" spans="1:3" x14ac:dyDescent="0.25">
      <c r="A5" s="11">
        <v>2</v>
      </c>
      <c r="B5" s="4">
        <v>0.41176470588235303</v>
      </c>
      <c r="C5" s="6">
        <v>1</v>
      </c>
    </row>
    <row r="6" spans="1:3" x14ac:dyDescent="0.25">
      <c r="A6" s="11">
        <v>3</v>
      </c>
      <c r="B6" s="4">
        <v>0.35714285714285732</v>
      </c>
      <c r="C6" s="6">
        <v>1</v>
      </c>
    </row>
    <row r="7" spans="1:3" x14ac:dyDescent="0.25">
      <c r="A7" s="9" t="s">
        <v>267</v>
      </c>
      <c r="B7" s="4">
        <v>0.36059479553903401</v>
      </c>
      <c r="C7" s="6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AF43-E83B-4A12-BC2F-F80818B89211}">
  <dimension ref="A1"/>
  <sheetViews>
    <sheetView workbookViewId="0">
      <selection activeCell="T35" sqref="T35"/>
    </sheetView>
  </sheetViews>
  <sheetFormatPr defaultRowHeight="13.8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091597-961a-405f-8f2a-7ed2042b53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BA582D8868A04C8EAD830DDC19FA40" ma:contentTypeVersion="16" ma:contentTypeDescription="Crie um novo documento." ma:contentTypeScope="" ma:versionID="52eebc5063a07a41d371f93fb2ed9611">
  <xsd:schema xmlns:xsd="http://www.w3.org/2001/XMLSchema" xmlns:xs="http://www.w3.org/2001/XMLSchema" xmlns:p="http://schemas.microsoft.com/office/2006/metadata/properties" xmlns:ns3="4ffb0cd3-0413-4648-9263-6604f71fbc13" xmlns:ns4="78091597-961a-405f-8f2a-7ed2042b5306" targetNamespace="http://schemas.microsoft.com/office/2006/metadata/properties" ma:root="true" ma:fieldsID="1607fef6b50f9acf4648883278c6f315" ns3:_="" ns4:_="">
    <xsd:import namespace="4ffb0cd3-0413-4648-9263-6604f71fbc13"/>
    <xsd:import namespace="78091597-961a-405f-8f2a-7ed2042b530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b0cd3-0413-4648-9263-6604f71fbc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91597-961a-405f-8f2a-7ed2042b5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2B0BF-672F-4F25-8F46-51A8EB5C1027}">
  <ds:schemaRefs>
    <ds:schemaRef ds:uri="http://purl.org/dc/dcmitype/"/>
    <ds:schemaRef ds:uri="http://purl.org/dc/elements/1.1/"/>
    <ds:schemaRef ds:uri="4ffb0cd3-0413-4648-9263-6604f71fbc13"/>
    <ds:schemaRef ds:uri="78091597-961a-405f-8f2a-7ed2042b5306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00B9A2E-0C1C-417D-AEF6-984A68E6E8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D3C773-7393-45EA-B028-8D986706E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b0cd3-0413-4648-9263-6604f71fbc13"/>
    <ds:schemaRef ds:uri="78091597-961a-405f-8f2a-7ed2042b5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Report</vt:lpstr>
      <vt:lpstr>Aging do Backlog de Devoluções</vt:lpstr>
      <vt:lpstr>% De Pedidos Devolvidos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Bueno</dc:creator>
  <cp:lastModifiedBy>Julio Bueno</cp:lastModifiedBy>
  <dcterms:created xsi:type="dcterms:W3CDTF">2026-03-29T19:24:13Z</dcterms:created>
  <dcterms:modified xsi:type="dcterms:W3CDTF">2026-04-22T13:57:48Z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0x01010073BA582D8868A04C8EAD830DDC19FA40</vt:lpwstr>
  </property>
</Properties>
</file>